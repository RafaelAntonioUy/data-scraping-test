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LienT\Documents\GitHub\data-scraping-test\"/>
    </mc:Choice>
  </mc:AlternateContent>
  <xr:revisionPtr revIDLastSave="0" documentId="13_ncr:1_{C3ABB303-5765-4203-B7EC-B36EF3231081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Image URL" sheetId="1" r:id="rId1"/>
    <sheet name="Specifications" sheetId="2" r:id="rId2"/>
  </sheets>
  <externalReferences>
    <externalReference r:id="rId3"/>
  </externalReferences>
  <definedNames>
    <definedName name="_xlnm._FilterDatabase" localSheetId="0" hidden="1">'Image URL'!$A$1:$A$83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85" i="1" l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" i="2"/>
  <c r="A74" i="1"/>
  <c r="A75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<sst xmlns="http://schemas.openxmlformats.org/spreadsheetml/2006/main" count="1655" uniqueCount="707">
  <si>
    <t>Image URL</t>
  </si>
  <si>
    <t>EAN</t>
  </si>
  <si>
    <t>Name</t>
  </si>
  <si>
    <t>Outer Carton</t>
  </si>
  <si>
    <t>Color</t>
  </si>
  <si>
    <t>LSA</t>
  </si>
  <si>
    <t>6</t>
  </si>
  <si>
    <t>Transparent</t>
  </si>
  <si>
    <t>24</t>
  </si>
  <si>
    <t>Brown</t>
  </si>
  <si>
    <t>Green</t>
  </si>
  <si>
    <t>12</t>
  </si>
  <si>
    <t>White</t>
  </si>
  <si>
    <t>Orange</t>
  </si>
  <si>
    <t>1</t>
  </si>
  <si>
    <t>Blue</t>
  </si>
  <si>
    <t>2</t>
  </si>
  <si>
    <t>4</t>
  </si>
  <si>
    <t>G385-33-301</t>
  </si>
  <si>
    <t>https://www.eldorado-international.com/images/product_images/info_images/LSA-5012548469176.jpg</t>
  </si>
  <si>
    <t>5012548469176</t>
  </si>
  <si>
    <t>LSA | G385-33-301 | Vienna Serving Serveerplateau With Dome 33cm</t>
  </si>
  <si>
    <t>3</t>
  </si>
  <si>
    <t>P204-02-517</t>
  </si>
  <si>
    <t>https://www.eldorado-international.com/images/product_images/info_images/LSA-5012548620270.jpg</t>
  </si>
  <si>
    <t>5012548620270</t>
  </si>
  <si>
    <t>LSA | P204-02-517 | Lotta Wooden Tray</t>
  </si>
  <si>
    <t>8</t>
  </si>
  <si>
    <t>48</t>
  </si>
  <si>
    <t>G060-09-301</t>
  </si>
  <si>
    <t>https://www.eldorado-international.com/images/product_images/info_images/LSA-5012548436543.jpg</t>
  </si>
  <si>
    <t>5012548436543</t>
  </si>
  <si>
    <t>LSA | G060-09-301 | Gio Drinking Water Glass Low 310ml</t>
  </si>
  <si>
    <t>Red</t>
  </si>
  <si>
    <t>Multicolor</t>
  </si>
  <si>
    <t>G1048-15-301</t>
  </si>
  <si>
    <t>https://www.eldorado-international.com/images/product_images/info_images/LSA-5012548510540.jpg</t>
  </si>
  <si>
    <t>5012548510540</t>
  </si>
  <si>
    <t>LSA | G1048-15-301 | Ivalo Serving Dome With Wooden Base Ø 15cm</t>
  </si>
  <si>
    <t>G1048-21-301</t>
  </si>
  <si>
    <t>https://www.eldorado-international.com/images/product_images/info_images/LSA-5012548510571.jpg</t>
  </si>
  <si>
    <t>5012548510571</t>
  </si>
  <si>
    <t>LSA | G1048-21-301 | Ivalo Serving Dome With Wooden Base Ø 22cm</t>
  </si>
  <si>
    <t>G1079-10-301</t>
  </si>
  <si>
    <t>https://www.eldorado-international.com/images/product_images/info_images/LSA-5012548514067.jpg</t>
  </si>
  <si>
    <t>5012548514067</t>
  </si>
  <si>
    <t>LSA | G1079-10-301 | Paddle Serving Dome Set Of 3 Pieces</t>
  </si>
  <si>
    <t>G1219-00-301</t>
  </si>
  <si>
    <t>https://www.eldorado-international.com/images/product_images/info_images/LSA-5012548527616.jpg</t>
  </si>
  <si>
    <t>5012548527616</t>
  </si>
  <si>
    <t>LSA | G1219-00-301 | Whisky Islay Connoisseur Set Of 6 Pieces</t>
  </si>
  <si>
    <t>G1389-15-359</t>
  </si>
  <si>
    <t>https://www.eldorado-international.com/images/product_images/info_images/LSA-5012548552953.jpg</t>
  </si>
  <si>
    <t>5012548552953</t>
  </si>
  <si>
    <t>LSA | G1389-15-359 | Gin Balloon Glass 420ml Platinum Set Of 2 Pieces</t>
  </si>
  <si>
    <t>Silver</t>
  </si>
  <si>
    <t>Gold</t>
  </si>
  <si>
    <t>G1619-09-301</t>
  </si>
  <si>
    <t>https://www.eldorado-international.com/images/product_images/info_images/LSA-5012548568909.jpg</t>
  </si>
  <si>
    <t>5012548568909</t>
  </si>
  <si>
    <t>LSA | G1619-09-301 | Borough Cocktail Saucer 240ml Set Of 4 Pieces</t>
  </si>
  <si>
    <t>G1635-04-301</t>
  </si>
  <si>
    <t>https://www.eldorado-international.com/images/product_images/info_images/LSA-5012548570339.jpg</t>
  </si>
  <si>
    <t>5012548570339</t>
  </si>
  <si>
    <t>LSA | G1635-04-301 | Vodka Shot 50ml Set Of 2 Pieces</t>
  </si>
  <si>
    <t>G1646-00-301</t>
  </si>
  <si>
    <t>https://www.eldorado-international.com/images/product_images/info_images/LSA-5012548572067.jpg</t>
  </si>
  <si>
    <t>5012548572067</t>
  </si>
  <si>
    <t>LSA | G1646-00-301 | Boris Whisky Set Of 3 Pieces</t>
  </si>
  <si>
    <t>G1747-14-127</t>
  </si>
  <si>
    <t>https://www.eldorado-international.com/images/product_images/info_images/LSA-5012548587603.jpg</t>
  </si>
  <si>
    <t>5012548587603</t>
  </si>
  <si>
    <t>LSA | G1747-14-127 | Arc Contrast Tumbler 380ml Moss x 2</t>
  </si>
  <si>
    <t>G271-14-991</t>
  </si>
  <si>
    <t>https://www.eldorado-international.com/images/product_images/info_images/LSA-5012548467127.jpg</t>
  </si>
  <si>
    <t>5012548467127</t>
  </si>
  <si>
    <t>LSA | G271-14-991 | Bar Beer Glasses 400ml Set Of 4 Pieces</t>
  </si>
  <si>
    <t>G916-24-301</t>
  </si>
  <si>
    <t>https://www.eldorado-international.com/images/product_images/info_images/LSA-5012548479601.jpg</t>
  </si>
  <si>
    <t>5012548479601</t>
  </si>
  <si>
    <t>LSA | G916-24-301 | Serve Serving Serving Dome 2 Parts 22cm</t>
  </si>
  <si>
    <t>G977-15-294</t>
  </si>
  <si>
    <t>https://www.eldorado-international.com/images/product_images/info_images/LSA-5012548497216.jpg</t>
  </si>
  <si>
    <t>5012548497216</t>
  </si>
  <si>
    <t>LSA | G977-15-294 | Polka Water Glass 420ml Set Of 4 Pieces</t>
  </si>
  <si>
    <t>G989-03-301</t>
  </si>
  <si>
    <t>https://www.eldorado-international.com/images/product_images/info_images/LSA-5012548504112.jpg</t>
  </si>
  <si>
    <t>5012548504112</t>
  </si>
  <si>
    <t>LSA | G989-03-301 | Lotta Serving Dome Ø 32cm</t>
  </si>
  <si>
    <t>G1217-36-301</t>
  </si>
  <si>
    <t>https://www.eldorado-international.com/images/product_images/info_images/LSA-5012548527852.jpg</t>
  </si>
  <si>
    <t>5012548527852</t>
  </si>
  <si>
    <t>LSA | G1217-36-301 | Whisky Islay Decanter 1l</t>
  </si>
  <si>
    <t>G1612-43-301</t>
  </si>
  <si>
    <t>https://www.eldorado-international.com/images/product_images/info_images/LSA-5012548567872.jpg</t>
  </si>
  <si>
    <t>5012548567872</t>
  </si>
  <si>
    <t>LSA | G1612-43-301 | Void Jug 1.2l</t>
  </si>
  <si>
    <t>G1690-36-301</t>
  </si>
  <si>
    <t>https://www.eldorado-international.com/images/product_images/info_images/LSA-5012548577109.jpg</t>
  </si>
  <si>
    <t>5012548577109</t>
  </si>
  <si>
    <t>LSA | G1690-36-301 | Cask Whisky Rectangle Decanter 1l Clear</t>
  </si>
  <si>
    <t>G1691-36-301</t>
  </si>
  <si>
    <t>https://www.eldorado-international.com/images/product_images/info_images/LSA-5012548577147.jpg</t>
  </si>
  <si>
    <t>5012548577147</t>
  </si>
  <si>
    <t>LSA | G1691-36-301 | Cask Whisky Square Decanter 1l Clear</t>
  </si>
  <si>
    <t>G263-95-991</t>
  </si>
  <si>
    <t>https://www.eldorado-international.com/images/product_images/info_images/LSA-5012548467486.jpg</t>
  </si>
  <si>
    <t>5012548467486</t>
  </si>
  <si>
    <t>LSA | G263-95-991 | Bar Carafe 2.65l</t>
  </si>
  <si>
    <t>G1171-24-988</t>
  </si>
  <si>
    <t>https://www.eldorado-international.com/images/product_images/info_images/LSA-5012548524202.jpg</t>
  </si>
  <si>
    <t>5012548524202</t>
  </si>
  <si>
    <t>LSA | G1171-24-988 | Mia Bowl Ø 16.5cm</t>
  </si>
  <si>
    <t>G1182-09-358</t>
  </si>
  <si>
    <t>https://www.eldorado-international.com/images/product_images/info_images/LSA-5012548531989.jpg</t>
  </si>
  <si>
    <t>5012548531989</t>
  </si>
  <si>
    <t>LSA | G1182-09-358 | Host Bowl Ø 9.5cm</t>
  </si>
  <si>
    <t>G1182-15-359</t>
  </si>
  <si>
    <t>https://www.eldorado-international.com/images/product_images/info_images/LSA-5012548531880.jpg</t>
  </si>
  <si>
    <t>5012548531880</t>
  </si>
  <si>
    <t>LSA | G1182-15-359 | Host Bowl Ø 15cm</t>
  </si>
  <si>
    <t>G503-28-301</t>
  </si>
  <si>
    <t>https://www.eldorado-international.com/images/product_images/info_images/LSA-5012548479557.jpg</t>
  </si>
  <si>
    <t>5012548479557</t>
  </si>
  <si>
    <t>LSA | G503-28-301 | Serve Serving Bowl Ø 27.5cm</t>
  </si>
  <si>
    <t>G990-02-301</t>
  </si>
  <si>
    <t>https://www.eldorado-international.com/images/product_images/info_images/LSA-5012548504174.jpg</t>
  </si>
  <si>
    <t>5012548504174</t>
  </si>
  <si>
    <t>LSA | G990-02-301 | Lotta Serveer Platter Ø 31cm</t>
  </si>
  <si>
    <t>P218-26-997</t>
  </si>
  <si>
    <t>https://www.eldorado-international.com/images/product_images/info_images/LSA-5012548622106.jpg</t>
  </si>
  <si>
    <t>5012548622106</t>
  </si>
  <si>
    <t>LSA | P218-26-997 | Dine Serving Salad Bowl With Wooden Couvert 24cm</t>
  </si>
  <si>
    <t>W114-01-250</t>
  </si>
  <si>
    <t>https://www.eldorado-international.com/images/product_images/info_images/LSA-5012548534973.jpg</t>
  </si>
  <si>
    <t>5012548534973</t>
  </si>
  <si>
    <t>LSA | W114-01-250 | Utility Board Ash &amp; Leather Handle Ø 25cm</t>
  </si>
  <si>
    <t>W195-01-000</t>
  </si>
  <si>
    <t>https://www.eldorado-international.com/images/product_images/info_images/LSA-5012548992544.jpg</t>
  </si>
  <si>
    <t>5012548992544</t>
  </si>
  <si>
    <t>LSA | W195-01-000 | Borough Trio Board Set</t>
  </si>
  <si>
    <t>https://www.eldorado-international.com/images/product_images/info_images/LSA-5012548573620.jpg</t>
  </si>
  <si>
    <t>5012548573620</t>
  </si>
  <si>
    <t>G1618-22-301</t>
  </si>
  <si>
    <t>LSA | G1618-22-301 | Chevron Tealight Holder H 6cm Assorted Set Of 4 Pieces</t>
  </si>
  <si>
    <t>G1655-07-610</t>
  </si>
  <si>
    <t>https://www.eldorado-international.com/images/product_images/info_images/LSA-5012548575723.jpg</t>
  </si>
  <si>
    <t>5012548575723</t>
  </si>
  <si>
    <t>LSA | G1655-07-610 | Rotunda Tealight Holder/Vase H7cm Sapphire</t>
  </si>
  <si>
    <t>G1662-08-141</t>
  </si>
  <si>
    <t>https://www.eldorado-international.com/images/product_images/info_images/LSA-5012548574689.jpg</t>
  </si>
  <si>
    <t>5012548574689</t>
  </si>
  <si>
    <t>LSA | G1662-08-141 | Epoque Tealight Holder H 8.5cm Amber/Lustre</t>
  </si>
  <si>
    <t>G1706-08-895</t>
  </si>
  <si>
    <t>https://www.eldorado-international.com/images/product_images/info_images/LSA-5012548578045.jpg</t>
  </si>
  <si>
    <t>5012548578045</t>
  </si>
  <si>
    <t>LSA | G1706-08-895 | Lagoon Tealight Holder/Vase H8cm Sea Green</t>
  </si>
  <si>
    <t>G368-08-552</t>
  </si>
  <si>
    <t>https://www.eldorado-international.com/images/product_images/info_images/LSA-5012548501661.jpg</t>
  </si>
  <si>
    <t>5012548501661</t>
  </si>
  <si>
    <t>LSA | G368-08-552 | Flower Colour Tealightholder Ø 9cm</t>
  </si>
  <si>
    <t>Beige</t>
  </si>
  <si>
    <t>G991-23-301</t>
  </si>
  <si>
    <t>https://www.eldorado-international.com/images/product_images/info_images/LSA-5012548504235.jpg</t>
  </si>
  <si>
    <t>5012548504235</t>
  </si>
  <si>
    <t>LSA | G991-23-301 | Lotta Lantern H 22.5cm</t>
  </si>
  <si>
    <t>G1072-09-301</t>
  </si>
  <si>
    <t>https://www.eldorado-international.com/images/product_images/info_images/LSA-5012548513619.jpg</t>
  </si>
  <si>
    <t>5012548513619</t>
  </si>
  <si>
    <t>LSA | G1072-09-301 | Flower Single Vase Ø 8.5cm</t>
  </si>
  <si>
    <t>G1608-31-153</t>
  </si>
  <si>
    <t>https://www.eldorado-international.com/images/product_images/info_images/LSA-5012548566561.jpg</t>
  </si>
  <si>
    <t>5012548566561</t>
  </si>
  <si>
    <t>LSA | G1608-31-153 | Boulder Vase 31cm</t>
  </si>
  <si>
    <t>https://www.eldorado-international.com/images/product_images/info_images/LSA-5012548574863.jpg</t>
  </si>
  <si>
    <t>5012548574863</t>
  </si>
  <si>
    <t>G1655-14-301</t>
  </si>
  <si>
    <t>https://www.eldorado-international.com/images/product_images/info_images/LSA-5012548573422.jpg</t>
  </si>
  <si>
    <t>5012548573422</t>
  </si>
  <si>
    <t>LSA | G1655-14-301 | Rotunda Wide Vase H 14cm</t>
  </si>
  <si>
    <t>G1655-15-610</t>
  </si>
  <si>
    <t>https://www.eldorado-international.com/images/product_images/info_images/LSA-5012548575808.jpg</t>
  </si>
  <si>
    <t>5012548575808</t>
  </si>
  <si>
    <t>LSA | G1655-15-610 | Rotunda Vase H15cm Sapphire</t>
  </si>
  <si>
    <t>G1663-13-140</t>
  </si>
  <si>
    <t>LSA | G1663-13-140 | Epoque Vase H 13.5cm</t>
  </si>
  <si>
    <t>G429-32-301</t>
  </si>
  <si>
    <t>https://www.eldorado-international.com/images/product_images/info_images/LSA-5012548498800.jpg</t>
  </si>
  <si>
    <t>5012548498800</t>
  </si>
  <si>
    <t>LSA | G429-32-301 | Flower Bouquet Vase Ø 17cm</t>
  </si>
  <si>
    <t>G594-11-301</t>
  </si>
  <si>
    <t>https://www.eldorado-international.com/images/product_images/info_images/LSA-5012548502705.jpg</t>
  </si>
  <si>
    <t>5012548502705</t>
  </si>
  <si>
    <t>LSA | G594-11-301 | Flower Bouquet Vase Ø 16.5cm</t>
  </si>
  <si>
    <t>G597-17-301</t>
  </si>
  <si>
    <t>https://www.eldorado-international.com/images/product_images/info_images/LSA-5012548475979.jpg</t>
  </si>
  <si>
    <t>5012548475979</t>
  </si>
  <si>
    <t>LSA | G597-17-301 | Flower Bouquet Vase Ø 17cm</t>
  </si>
  <si>
    <t>G612-17-301</t>
  </si>
  <si>
    <t>https://www.eldorado-international.com/images/product_images/info_images/LSA-5012548476006.jpg</t>
  </si>
  <si>
    <t>5012548476006</t>
  </si>
  <si>
    <t>LSA | G612-17-301 | Flower Single Vase Ø 6cm</t>
  </si>
  <si>
    <t>G686-41-301</t>
  </si>
  <si>
    <t>https://www.eldorado-international.com/images/product_images/info_images/LSA-5012548475894.jpg</t>
  </si>
  <si>
    <t>5012548475894</t>
  </si>
  <si>
    <t>LSA | G686-41-301 | Flower Single Vase Ø 16.5cm</t>
  </si>
  <si>
    <t>G991-24-301</t>
  </si>
  <si>
    <t>https://www.eldorado-international.com/images/product_images/info_images/LSA-5012548504266.jpg</t>
  </si>
  <si>
    <t>5012548504266</t>
  </si>
  <si>
    <t>LSA | G991-24-301 | Lotta Vase H 18cm</t>
  </si>
  <si>
    <t>G1712-24-148</t>
  </si>
  <si>
    <t>https://www.eldorado-international.com/images/product_images/info_images/LSA-5012548578724.jpg</t>
  </si>
  <si>
    <t>5012548578724</t>
  </si>
  <si>
    <t>LSA | G1712-24-148 | Wicker Container &amp; Lid Ø 15cm /H24.5cm Clear</t>
  </si>
  <si>
    <t>G1284-09-301B</t>
  </si>
  <si>
    <t>https://www.eldorado-international.com/images/product_images/info_images/LSA-5012548582622.jpg</t>
  </si>
  <si>
    <t>5012548582622</t>
  </si>
  <si>
    <t>LSA | G1284-09-301B | Otis White Wine Glass 8oz Clear x 2</t>
  </si>
  <si>
    <t>G1620-24-301</t>
  </si>
  <si>
    <t>https://www.eldorado-international.com/images/product_images/info_images/LSA-5012548574603.jpg</t>
  </si>
  <si>
    <t>5012548574603</t>
  </si>
  <si>
    <t>LSA | G1620-24-301 | Epoque Champagne Saucer 150ml Set Of 2 Pieces</t>
  </si>
  <si>
    <t>G1748-09-301</t>
  </si>
  <si>
    <t>https://www.eldorado-international.com/images/product_images/info_images/LSA-5012548584077.jpg</t>
  </si>
  <si>
    <t>5012548584077</t>
  </si>
  <si>
    <t>LSA | G1748-09-301 | Arc Champagne Flute 240ml Clear Set Of 4 Pieces</t>
  </si>
  <si>
    <t>G259-26-991</t>
  </si>
  <si>
    <t>https://www.eldorado-international.com/images/product_images/info_images/LSA-5012548467448.jpg</t>
  </si>
  <si>
    <t>5012548467448</t>
  </si>
  <si>
    <t>LSA | G259-26-991 | Bar Champagne Cooler 26cm</t>
  </si>
  <si>
    <t>G474-04-985</t>
  </si>
  <si>
    <t>https://www.eldorado-international.com/images/product_images/info_images/LSA-5012548493546.jpg</t>
  </si>
  <si>
    <t>5012548493546</t>
  </si>
  <si>
    <t>LSA | G474-04-985 | Moya Champagne Glass 170ml Set Of 2 Pieces</t>
  </si>
  <si>
    <t>G730-11-776B</t>
  </si>
  <si>
    <t>https://www.eldorado-international.com/images/product_images/info_images/LSA-5012548582479.jpg</t>
  </si>
  <si>
    <t>5012548582479</t>
  </si>
  <si>
    <t>LSA | G730-11-776B | Aurelia Champagne Saucer 10oz Clear Optic x 2</t>
  </si>
  <si>
    <t>G846-14-985</t>
  </si>
  <si>
    <t>https://www.eldorado-international.com/images/product_images/info_images/LSA-5012548493669.jpg</t>
  </si>
  <si>
    <t>5012548493669</t>
  </si>
  <si>
    <t>LSA | G846-14-985 | Moya Wine Glass 395ml Set Of 2 Pieces</t>
  </si>
  <si>
    <t>G939-27-991</t>
  </si>
  <si>
    <t>https://www.eldorado-international.com/images/product_images/info_images/LSA-5012548466748.jpg</t>
  </si>
  <si>
    <t>5012548466748</t>
  </si>
  <si>
    <t>LSA | G939-27-991 | Wine Red Wine Glass 750ml Set Of 4 Pieces</t>
  </si>
  <si>
    <t>G989-02-301</t>
  </si>
  <si>
    <t>https://www.black-by-design.co.uk/images/lsa-international-lotta-cake-cheese-dome-and-ash-base-p141-439_image.jpg</t>
  </si>
  <si>
    <t>G261-68-991</t>
  </si>
  <si>
    <t>https://www.black-by-design.co.uk/images/lsa-international-bar-tapered-mouthblown-jug-1-9l-p7196-36586_image.jpg</t>
  </si>
  <si>
    <t>G507-31-301</t>
  </si>
  <si>
    <t>https://www.black-by-design.co.uk/images/lsa-international-serve-glass-cakestand-31cm-p185-564_image.jpg</t>
  </si>
  <si>
    <t>G1389-15-200</t>
  </si>
  <si>
    <t>https://www.black-by-design.co.uk/images/lsa-international-gin-balloon-glasses-420ml-set-of-2-p3490-13318_image.jpg</t>
  </si>
  <si>
    <t>G1500-28-301</t>
  </si>
  <si>
    <t>https://www.black-by-design.co.uk/images/lsa-international-ivalo-cake-cheese-pastries-dome-on-ash-stand-28cm-p5850-27107_image.jpg</t>
  </si>
  <si>
    <t>G1240-26-301</t>
  </si>
  <si>
    <t>https://www.black-by-design.co.uk/images/lsa-international-city-cake-cheese-dome-and-walnut-stand-p6305-30154_image.jpg</t>
  </si>
  <si>
    <t>G008-01-992</t>
  </si>
  <si>
    <t>https://www.black-by-design.co.uk/images/lsa-international-boris-vodka-shot-glasses-set-of-2-p7925-42250_image.jpg</t>
  </si>
  <si>
    <t>G1048-31-301</t>
  </si>
  <si>
    <t>https://www.black-by-design.co.uk/images/lsa-international-ivalo-cake-cheese-pastries-dome-on-ash-base-32cm-p1134-3034_image.jpg</t>
  </si>
  <si>
    <t>G902-24-301</t>
  </si>
  <si>
    <t>https://www.black-by-design.co.uk/images/lsa-international-low-klara-cakestand-p1138-3041_image.jpg</t>
  </si>
  <si>
    <t>G902-30-301</t>
  </si>
  <si>
    <t>https://www.black-by-design.co.uk/images/lsa-international-tall-klara-cakestand-p1139-36268_image.jpg</t>
  </si>
  <si>
    <t>G846-11-985</t>
  </si>
  <si>
    <t>https://www.black-by-design.co.uk/images/lsa-international-moya-cocktail-glasses-set-of-2-p3507-11208_image.jpg</t>
  </si>
  <si>
    <t>G1472-25-200</t>
  </si>
  <si>
    <t>https://www.black-by-design.co.uk/images/lsa-international-gin-grand-balloon-glasses-690ml-set-of-2-p4491-16827_image.jpg</t>
  </si>
  <si>
    <t>G1468-24-301</t>
  </si>
  <si>
    <t>https://www.black-by-design.co.uk/images/lsa-international-gin-balloon-glasses-680ml-set-of-4-p4775-19927_image.jpg</t>
  </si>
  <si>
    <t>G1655-14-610</t>
  </si>
  <si>
    <t>https://www.black-by-design.co.uk/images/lsa-international-rotunda-wide-vase-sapphire-blue-p6080-28535_image.jpg</t>
  </si>
  <si>
    <t>G1240-32-301</t>
  </si>
  <si>
    <t>https://www.black-by-design.co.uk/images/lsa-international-city-cake-cheese-dome-and-walnut-base-p6306-30160_image.jpg</t>
  </si>
  <si>
    <t>G1688-36-301</t>
  </si>
  <si>
    <t>https://www.black-by-design.co.uk/images/lsa-international-cask-whisky-oblong-decanter-1l-p6363-31703_image.jpg</t>
  </si>
  <si>
    <t>G107-86-991</t>
  </si>
  <si>
    <t>https://www.black-by-design.co.uk/images/lsa-international-wine-collection-wine-carafe-2-4l-p6696-33369_image.jpg</t>
  </si>
  <si>
    <t>https://images.cdn.inspogroup.net/H0IjHhSWrapBF6wcr4bpiUYVTqRu68AKbBAgfmhV6oQ/bg:ffffff/h:880/w:660/czM6L/y9zdH/lsaWdodC1pbWctcHJvY2Vzc2luZy9waG90b2JveC81MTFlNTAwMjA0ZjYzNjc2MjE2OWQzZTMwYjBhMjcxYi5qcGc</t>
  </si>
  <si>
    <t>G1663-18-142</t>
  </si>
  <si>
    <t>https://m.media-amazon.com/images/I/61G2rqJIHIL._AC_SL1500_.jpg</t>
  </si>
  <si>
    <t>G005-09-371</t>
  </si>
  <si>
    <t>Turquoise</t>
  </si>
  <si>
    <t>G005-09-372</t>
  </si>
  <si>
    <t>https://m.media-amazon.com/images/I/61lYqemcyvL._AC_SL1500_.jpg</t>
  </si>
  <si>
    <t>Violet</t>
  </si>
  <si>
    <t>G005-09-391</t>
  </si>
  <si>
    <t>https://m.media-amazon.com/images/I/61Q0iNQZZzL._AC_SX679_.jpg</t>
  </si>
  <si>
    <t>G005-09-804</t>
  </si>
  <si>
    <t>https://m.media-amazon.com/images/I/71JFx4TqKPL._SX679_.jpg</t>
  </si>
  <si>
    <t>G005-09-834</t>
  </si>
  <si>
    <t>Lime</t>
  </si>
  <si>
    <t>https://www.vsenavareni.cz/upload/img/00002aae49/hi-g005-09-834.jpg</t>
  </si>
  <si>
    <t>G005-09-909</t>
  </si>
  <si>
    <t>Black</t>
  </si>
  <si>
    <t>https://m.media-amazon.com/images/I/51hOBKmnReL._SL1300_.jpg</t>
  </si>
  <si>
    <t>G008-09-992</t>
  </si>
  <si>
    <t>https://m.media-amazon.com/images/I/61nKP0yfU3L._AC_SL1500_.jpg</t>
  </si>
  <si>
    <t>Clear</t>
  </si>
  <si>
    <t>G008-12-992</t>
  </si>
  <si>
    <t>https://m.media-amazon.com/images/I/61xAmpMD9cL._AC_SL1500_.jpg</t>
  </si>
  <si>
    <t>G016-09-301</t>
  </si>
  <si>
    <t>https://m.media-amazon.com/images/I/51h+5zWSWgS._AC_SL1500_.jpg</t>
  </si>
  <si>
    <t>G016-09-985</t>
  </si>
  <si>
    <t>https://m.media-amazon.com/images/I/71k3DTOgIKL._AC_SL1500_.jpg</t>
  </si>
  <si>
    <t>https://ourhome.ph/cdn/shop/products/MiaHighball_2.jpg?v=1667792098&amp;width=1200</t>
  </si>
  <si>
    <t>G029-15-300</t>
  </si>
  <si>
    <t>G039-11-968</t>
  </si>
  <si>
    <t>https://m.media-amazon.com/images/I/412OsLajRkL._AC_SY879_.jpg</t>
  </si>
  <si>
    <t>G039-13-968</t>
  </si>
  <si>
    <t>https://m.media-amazon.com/images/I/61mrP14R8VL._AC_SX679_.jpg</t>
  </si>
  <si>
    <t>https://www.lsa-international.com/cdn/shop/files/G1578-13-161_3_574f22ba-ae9a-4ab2-829d-497aafe7cc86.jpg?v=1771322849&amp;width=2500</t>
  </si>
  <si>
    <t>Sky</t>
  </si>
  <si>
    <t>G039-13-969</t>
  </si>
  <si>
    <t>G060-09-148</t>
  </si>
  <si>
    <t>G060-09-150</t>
  </si>
  <si>
    <t>Amber</t>
  </si>
  <si>
    <t>Jade</t>
  </si>
  <si>
    <t>https://m.media-amazon.com/images/I/61gpTmjsDEL._AC_SL1500_.jpg</t>
  </si>
  <si>
    <t>https://m.media-amazon.com/images/I/61h+F9uX-eL._AC_SL1500_.jpg</t>
  </si>
  <si>
    <t>https://m.media-amazon.com/images/I/615oVW06NNL._AC_SX679_.jpg</t>
  </si>
  <si>
    <t>G094-02-969</t>
  </si>
  <si>
    <t>G1011-00-301</t>
  </si>
  <si>
    <t>https://m.media-amazon.com/images/I/61deBzkZ57L._AC_SX679_.jpg</t>
  </si>
  <si>
    <t>G1019-24-301</t>
  </si>
  <si>
    <t>https://www.lsa-international.com/cdn/shop/files/G700-40-301_1.jpg?v=1771323035&amp;width=2500</t>
  </si>
  <si>
    <t>G103-63-991</t>
  </si>
  <si>
    <t>https://m.media-amazon.com/images/I/61wgjKLzsML._AC_SL1500_.jpg</t>
  </si>
  <si>
    <t>G1035-31-301</t>
  </si>
  <si>
    <t>https://www.chefsupplies.ca/cdn/shop/products/LSA-International-Serve-Dessert-Comport-LG1035-31-301.jpg?v=1745995301</t>
  </si>
  <si>
    <t>G1039-48-391</t>
  </si>
  <si>
    <t>https://www.lsa-international.com/cdn/shop/files/G992-36-301_1_01a2f5d0-915e-49ae-8558-7264c48dea48.jpg?v=1771322941&amp;width=2500</t>
  </si>
  <si>
    <t>G1040-62-391</t>
  </si>
  <si>
    <t>https://www.lsa-international.com/cdn/shop/files/G1040-62-301_1.jpg?v=1771322925&amp;width=2500</t>
  </si>
  <si>
    <t>G1052-12-301</t>
  </si>
  <si>
    <t>https://www.newformsdesign.com/images/prodotti/1885-10-serve-honey-pot-G1052-12-301.jpg</t>
  </si>
  <si>
    <t>G939-12-991</t>
  </si>
  <si>
    <t>https://www.newformsdesign.com/images/prodotti/1993-10-wine-glasses-lsa-international-G939-12-991.jpg</t>
  </si>
  <si>
    <t>G225-27-985</t>
  </si>
  <si>
    <t>https://www.newformsdesign.com/images/prodotti/1987-10-g225-27-985-moya-brocca.jpg</t>
  </si>
  <si>
    <t>P216-08-517</t>
  </si>
  <si>
    <t>https://www.newformsdesign.com/images/prodotti/1998-10-LSA-P216-08-517-bowls-set.jpg</t>
  </si>
  <si>
    <t>https://www.lsa-international.com/cdn/shop/files/G912-26-301_3_85283ed3-e5a8-43d1-afc0-b895659918b6.jpg?v=1771323009&amp;width=2500</t>
  </si>
  <si>
    <t>G1060-53-301</t>
  </si>
  <si>
    <t>https://m.media-amazon.com/images/I/31VZNtcNeYL._AC_.jpg</t>
  </si>
  <si>
    <t>G1069-10-301</t>
  </si>
  <si>
    <t>G1070-05-301</t>
  </si>
  <si>
    <t>https://m.media-amazon.com/images/I/21ZJffnEKnL._AC_.jpg</t>
  </si>
  <si>
    <t>G1084-11-301</t>
  </si>
  <si>
    <t>https://m.media-amazon.com/images/I/71LRyCoannL._AC_SX300_SY300_QL70_FMwebp_.jpg</t>
  </si>
  <si>
    <t>G1085-15-301</t>
  </si>
  <si>
    <t>https://www.lsa-international.com/cdn/shop/files/G1085-15-301_2_d5f9f41d-6b78-4f49-8112-031bb861966d.jpg?v=1771322932&amp;width=2500</t>
  </si>
  <si>
    <t>G1085-29-301</t>
  </si>
  <si>
    <t>https://www.lsa-international.com/cdn/shop/files/G1085-29-301_2_31291d0a-909b-48dd-9e0d-3e0cffa836a8.jpg?v=1771322916&amp;width=2500</t>
  </si>
  <si>
    <t>G1090-36-301</t>
  </si>
  <si>
    <t>https://www.linenmill.ie/wp-content/uploads/2021/11/5buaYdrc.jpeg</t>
  </si>
  <si>
    <t>G1097-36-263</t>
  </si>
  <si>
    <t>https://i.ebayimg.com/images/g/slwAAOSwdkZkcKKZ/s-l1600.webp</t>
  </si>
  <si>
    <t>G1149-15-361</t>
  </si>
  <si>
    <t>https://m.media-amazon.com/images/I/71qp7x+tfeL._AC_SL1500_.jpg</t>
  </si>
  <si>
    <t>G1149-15-373</t>
  </si>
  <si>
    <t>https://shesliving.com/web/product/big/yulis_10497.jpg</t>
  </si>
  <si>
    <t>https://m.media-amazon.com/images/I/81T4x-w7lUL._AC_SX679_.jpg</t>
  </si>
  <si>
    <t>G1149-15-801</t>
  </si>
  <si>
    <t>G1149-15-459</t>
  </si>
  <si>
    <t>https://m.media-amazon.com/images/I/81OhqwMvyHL._AC_SL1500_.jpg</t>
  </si>
  <si>
    <t>G1159-14-301</t>
  </si>
  <si>
    <t>https://www.lsa-international.com/cdn/shop/files/G385-33-301_2.jpg?v=1771323079&amp;width=2500</t>
  </si>
  <si>
    <t>G1160-22-301</t>
  </si>
  <si>
    <t>G1160-30-301</t>
  </si>
  <si>
    <t>G1161-16-359</t>
  </si>
  <si>
    <t>https://m.media-amazon.com/images/I/711i0nHQdeL._AC_SL1500_.jpg</t>
  </si>
  <si>
    <t>G1173-22-988</t>
  </si>
  <si>
    <t>https://m.media-amazon.com/images/I/71Muf2elxoL._AC_SL1500_.jpg</t>
  </si>
  <si>
    <t>G1182-09-301</t>
  </si>
  <si>
    <t>https://www.lsa-international.com/cdn/shop/files/G1182-09-358_1_ef731f9f-d489-47e0-ba12-19e972ceae5b_1024x1024.jpg?v=1771322671</t>
  </si>
  <si>
    <t>G1182-09-358A</t>
  </si>
  <si>
    <t>G1182-09-359</t>
  </si>
  <si>
    <t>https://i.ebayimg.com/images/g/0PQAAeSwUTtpAkrR/s-l1600.webp</t>
  </si>
  <si>
    <t>G1182-09-391A</t>
  </si>
  <si>
    <t>G1182-15-358</t>
  </si>
  <si>
    <t>G1213-09-301</t>
  </si>
  <si>
    <t>https://m.media-amazon.com/images/I/41h78dy5UcL._AC_SY300_SX300_QL70_FMwebp_.jpg</t>
  </si>
  <si>
    <t>G1218-36-301</t>
  </si>
  <si>
    <t>https://i.ebayimg.com/images/g/FIUAAOSwjlRm849h/s-l1600.webp</t>
  </si>
  <si>
    <t>G1236-71-301</t>
  </si>
  <si>
    <t>https://m.media-amazon.com/images/I/51l5MwT5mGL._AC_SL1000_.jpg</t>
  </si>
  <si>
    <t>G1239-13-301</t>
  </si>
  <si>
    <t>https://m.media-amazon.com/images/I/41Z5cZDJMmL._AC_SL1002_.jpg</t>
  </si>
  <si>
    <t>G1239-21-301</t>
  </si>
  <si>
    <t>https://www.lsa-international.com/cdn/shop/files/G1239-21-301_2_35a65290-c8d7-4663-972b-5f940fc45b2a.jpg?v=1771322832&amp;width=2500</t>
  </si>
  <si>
    <t>G1240-13-301</t>
  </si>
  <si>
    <t>https://www.amazon.sg/LSA-International-G1240-32-301-O12-5in-%C3%9812-5in/dp/B015I493CI?th=1</t>
  </si>
  <si>
    <t>G1240-22-301</t>
  </si>
  <si>
    <t>G1242-00-301</t>
  </si>
  <si>
    <t>https://media.lulop.com/media/getimage/l/103608/1/640,480</t>
  </si>
  <si>
    <t>G1284-11-301</t>
  </si>
  <si>
    <t>https://www.eldorado-international.com/images/product_images/original_images/LSA-5012548582660.jpg</t>
  </si>
  <si>
    <t>G1285-22-301</t>
  </si>
  <si>
    <t>https://m.media-amazon.com/images/I/61RHvjMN0XL._AC_SL1500_.jpg</t>
  </si>
  <si>
    <t>G1285-27-301</t>
  </si>
  <si>
    <t>https://m.media-amazon.com/images/I/51zYJL7x5RL._AC_SL1500_.jpg</t>
  </si>
  <si>
    <t>G1291-12-301</t>
  </si>
  <si>
    <t>https://i.ebayimg.com/images/g/6u0AAOSwhW1oE3Ok/s-l1600.webp</t>
  </si>
  <si>
    <t>G1291-16-301</t>
  </si>
  <si>
    <t>https://m.media-amazon.com/images/I/51i7efvUmRL._SX425_.jpg</t>
  </si>
  <si>
    <t>G1293-13-301</t>
  </si>
  <si>
    <t>https://s3.xeno.work/img/2020/03/18271672.jpg</t>
  </si>
  <si>
    <t>G1326-27-301</t>
  </si>
  <si>
    <t>https://m.media-amazon.com/images/I/61LbBzjpVAL._AC_SY450_.jpg</t>
  </si>
  <si>
    <t>G136-31-301</t>
  </si>
  <si>
    <t>https://m.media-amazon.com/images/I/717rGM5mXRL._AC_SY300_SX300_QL70_ML2_.jpg</t>
  </si>
  <si>
    <t>G1367-08-301</t>
  </si>
  <si>
    <t>https://m.media-amazon.com/images/I/71kVNWUulLL._AC_SL1500_.jpg</t>
  </si>
  <si>
    <t>G1369-20-985</t>
  </si>
  <si>
    <t>https://m.media-amazon.com/images/I/71Sawn2-dWL._AC_SL1500_.jpg</t>
  </si>
  <si>
    <t>G1389-15-759</t>
  </si>
  <si>
    <t>https://m.media-amazon.com/images/I/51XJKafRMHL._AC_SY450_.jpg</t>
  </si>
  <si>
    <t>G1437-80-301</t>
  </si>
  <si>
    <t>https://m.media-amazon.com/images/I/41UgcKQ50NL._AC_SL1000_.jpg</t>
  </si>
  <si>
    <t>G1551-19-610</t>
  </si>
  <si>
    <t>https://m.media-amazon.com/images/I/61EfDN4snhL._AC_SY300_SX300_QL70_FMwebp_.jpg</t>
  </si>
  <si>
    <t>G1551-19-835</t>
  </si>
  <si>
    <t>https://m.media-amazon.com/images/I/610AYv2Q6ZL._AC_SL1500_.jpg</t>
  </si>
  <si>
    <t>G1563-14-301</t>
  </si>
  <si>
    <t>https://m.media-amazon.com/images/I/612RBcrgrBL._SL1500_.jpg</t>
  </si>
  <si>
    <t>G1592-26-991</t>
  </si>
  <si>
    <t>https://m.media-amazon.com/images/I/61bq2tEzpjL._AC_SY300_SX300_QL70_ML2_.jpg</t>
  </si>
  <si>
    <t>G1592-30-991</t>
  </si>
  <si>
    <t>https://m.media-amazon.com/images/I/71yk0Tl9qWL._AC_SL1500_.jpg</t>
  </si>
  <si>
    <t>G1618-16-301</t>
  </si>
  <si>
    <t>https://m.media-amazon.com/images/I/613rLnHy8LL._AC_SL1500_.jpg</t>
  </si>
  <si>
    <t>G1633-25-301</t>
  </si>
  <si>
    <t>https://m.media-amazon.com/images/I/611YFDsGISL._AC_SL1500_.jpg</t>
  </si>
  <si>
    <t>G1635-02-301</t>
  </si>
  <si>
    <t>https://www.lsa-international.com/cdn/shop/files/g1635-02-301-5.jpg?v=1771323078&amp;width=2500</t>
  </si>
  <si>
    <t>G1655-20-610</t>
  </si>
  <si>
    <t>https://m.media-amazon.com/images/I/81-lNr+P7ZL._AC_SY300_SX300_QL70_FMwebp_.jpg</t>
  </si>
  <si>
    <t>G1655-26-610</t>
  </si>
  <si>
    <t>https://cdn.etrias.nl/media/cache/product_md/g/1/g1655-20-6101-no-bg.png</t>
  </si>
  <si>
    <t>G1655-37-610</t>
  </si>
  <si>
    <t>https://m.media-amazon.com/images/I/71+8w7whyUL._AC_SY450_.jpg</t>
  </si>
  <si>
    <t>https://m.media-amazon.com/images/I/4133OyjzrpL._AC_SL1000_.jpg</t>
  </si>
  <si>
    <t>G1662-08-140</t>
  </si>
  <si>
    <t>G1662-08-142</t>
  </si>
  <si>
    <t>https://www.lsa-international.com/cdn/shop/files/G1662-08-142_1_1024x1024.jpg?v=1771322694</t>
  </si>
  <si>
    <t>G1663-13-141</t>
  </si>
  <si>
    <t>https://i.ebayimg.com/images/g/yo4AAeSwEE5pN3JK/s-l500.jpg</t>
  </si>
  <si>
    <t>https://m.media-amazon.com/images/I/51eEjkDndXL._AC_SL1500_.jpg</t>
  </si>
  <si>
    <t>G1663-18-141</t>
  </si>
  <si>
    <t>https://m.media-amazon.com/images/I/61mLTf4SDJL._AC_SL1000_.jpg</t>
  </si>
  <si>
    <t>G1664-30-140</t>
  </si>
  <si>
    <t>https://m.media-amazon.com/images/I/611S2nY8jbL._AC_SY300_SX300_QL70_FMwebp_.jpg</t>
  </si>
  <si>
    <t>G1664-48-142</t>
  </si>
  <si>
    <t>https://i.ebayimg.com/images/g/CuUAAeSw0bRphqiD/s-l300.jpg</t>
  </si>
  <si>
    <t>G1677-00-301</t>
  </si>
  <si>
    <t>https://www.black-by-design.co.uk/images/lsa-international-plateau-duo-carafe-set-plant-pot-on-ash-cork-base-p6365-31708_image.jpg</t>
  </si>
  <si>
    <t>G171-39-992</t>
  </si>
  <si>
    <t>https://m.media-amazon.com/images/I/61vWWhjpwwL._AC_SL1500_.jpg</t>
  </si>
  <si>
    <t>G1711-29-148</t>
  </si>
  <si>
    <t>https://m.media-amazon.com/images/I/71Y71he0c8L._AC_SL1500_.jpg</t>
  </si>
  <si>
    <t>G1737-25-301</t>
  </si>
  <si>
    <t>https://m.media-amazon.com/images/I/61P7mPP5pmL._AC_SY606_.jpg</t>
  </si>
  <si>
    <t>G1738-30-301</t>
  </si>
  <si>
    <t>G1739-35-301</t>
  </si>
  <si>
    <t>G174-00-301</t>
  </si>
  <si>
    <t>https://cdn-images.farfetch-contents.com/19/79/60/92/19796092_44952195_1000.jpg</t>
  </si>
  <si>
    <t>https://m.media-amazon.com/images/I/51eSvyG1moL._AC_SY300_SX300_QL70_ML2_.jpg</t>
  </si>
  <si>
    <t>G1745-12-301</t>
  </si>
  <si>
    <t>G1747-09-301</t>
  </si>
  <si>
    <t>https://strataportland.com/cdn/shop/files/P1013983_000dbf51-d754-47e1-a607-355724cdfad3_1800x1800.jpg?v=1700623398</t>
  </si>
  <si>
    <t>G1747-14-126</t>
  </si>
  <si>
    <t>G1747-14-128</t>
  </si>
  <si>
    <t>G1747-14-129</t>
  </si>
  <si>
    <t>https://decodine.com/cdn/shop/files/Untitleddesign_85.png?v=1763660048&amp;width=1800</t>
  </si>
  <si>
    <t>https://decodine.com/cdn/shop/files/g1747-14-128_1.webp?v=1763660125&amp;width=1800</t>
  </si>
  <si>
    <t>https://decodine.com/cdn/shop/files/g1747-14-129_1.webp?v=1763660125&amp;width=1800</t>
  </si>
  <si>
    <t>https://elshubbo-cdn.sirv.com/ecookshop/products/G1747-14-301.jpg?profile=600</t>
  </si>
  <si>
    <t>G1747-14-301</t>
  </si>
  <si>
    <t>G1748-12-301</t>
  </si>
  <si>
    <t>https://elshubbo-cdn.sirv.com/ecookshop/products/G1748-12-301.jpg?profile=1200</t>
  </si>
  <si>
    <t>G175-28-992</t>
  </si>
  <si>
    <t>https://www.lsa-international.com/cdn/shop/files/G459-00-381_2.jpg?v=1771322858&amp;width=2500</t>
  </si>
  <si>
    <t>G1753-07-165</t>
  </si>
  <si>
    <t>https://image.rakuten.co.jp/alot-ls/cabinet/08877236/ldp17_1.jpg</t>
  </si>
  <si>
    <t>G197-29-992</t>
  </si>
  <si>
    <t>https://www.hartsofstur.com/media/catalog/product/B/I/BI09-G197-29-992-LSA-Boris-Jug.jpg?quality=80&amp;fit=bounds&amp;height=500&amp;width=500&amp;canvas=500:500</t>
  </si>
  <si>
    <t>G201-60-301</t>
  </si>
  <si>
    <t>https://m.media-amazon.com/images/I/61msjXgy9nL._AC_SL1500_.jpg</t>
  </si>
  <si>
    <t>G211-36-992</t>
  </si>
  <si>
    <t>https://m.media-amazon.com/images/I/61Tx9DHzR9L._AC_SL1500_.jpg</t>
  </si>
  <si>
    <t>G211-54-371</t>
  </si>
  <si>
    <t>https://www.vsetkonavarenie.sk/upload/img/00002ec6fe/hi-g211-54-371.jpg</t>
  </si>
  <si>
    <t>G211-54-372</t>
  </si>
  <si>
    <t>G211-54-389</t>
  </si>
  <si>
    <t>https://m.media-amazon.com/images/I/61DpmUYq0EL.jpg</t>
  </si>
  <si>
    <t>https://m.media-amazon.com/images/I/611SrAsO7mL.jpg</t>
  </si>
  <si>
    <t>G211-54-391</t>
  </si>
  <si>
    <t>https://m.media-amazon.com/images/I/614nbbrlZaL.jpg</t>
  </si>
  <si>
    <t>G211-54-804</t>
  </si>
  <si>
    <t>https://m.media-amazon.com/images/I/61kkKGq0RUL.jpg</t>
  </si>
  <si>
    <t>G211-54-909</t>
  </si>
  <si>
    <t>G211-54-992</t>
  </si>
  <si>
    <t>G216-14-301</t>
  </si>
  <si>
    <t>https://www.hartsofstur.com/media/catalog/product/O/O/OO10-G216-14-301-LSA-Ono-Jug.jpg?quality=80&amp;fit=bounds&amp;height=500&amp;width=500&amp;canvas=500:500</t>
  </si>
  <si>
    <t>https://www.lsa-international.com/cdn/shop/files/G1621-39-301_3_e278855a-d74b-4cb2-beae-f502ee724451.jpg?v=1771322801&amp;width=2500</t>
  </si>
  <si>
    <t>G217-31-296</t>
  </si>
  <si>
    <t>https://www.hartsofstur.com/media/catalog/product/M/V/MV20-G225-27-985-LSA-Moya-Jug.jpg?quality=80&amp;fit=bounds&amp;height=500&amp;width=500&amp;canvas=500:500</t>
  </si>
  <si>
    <t>G231-13-301</t>
  </si>
  <si>
    <t>https://m.media-amazon.com/images/I/713feoyzjpL._AC_SY879_.jpg</t>
  </si>
  <si>
    <t>G245-09-381</t>
  </si>
  <si>
    <t>https://www.artelia.com.my/cdn/shop/files/fgfhfh-1.png?v=1762164908&amp;width=400</t>
  </si>
  <si>
    <t>G259-19-991</t>
  </si>
  <si>
    <t>https://m.media-amazon.com/images/I/71xvgJhCDWL._SL1059_.jpg</t>
  </si>
  <si>
    <t>G294-14-301</t>
  </si>
  <si>
    <t>https://www.lsa-international.com/cdn/shop/files/G294-14-301_1_680e0dc0-be41-470c-a862-4b6d82418c33.jpg?v=1771323048&amp;width=2500</t>
  </si>
  <si>
    <t>https://www.lsa-international.com/cdn/shop/files/G294-15-301_1_481b48f1-749b-49c0-a9d2-f8d827968b12.jpg?v=1771323006&amp;width=2500</t>
  </si>
  <si>
    <t>G294-15-301</t>
  </si>
  <si>
    <t>G297-24-301</t>
  </si>
  <si>
    <t>https://www.lsa-international.com/cdn/shop/files/G297-24-301_1.jpg?v=1771323031&amp;width=2500</t>
  </si>
  <si>
    <t>G297-40-301</t>
  </si>
  <si>
    <t>G302-06-987</t>
  </si>
  <si>
    <t>https://m.media-amazon.com/images/I/71Ym4ixLk5L._AC_SX300_SY300_QL70_ML2_.jpg</t>
  </si>
  <si>
    <t>G302-07-991</t>
  </si>
  <si>
    <t>G315-39-301</t>
  </si>
  <si>
    <t>https://m.media-amazon.com/images/I/71apLgcYe2L._SY879_.jpg</t>
  </si>
  <si>
    <t>https://www.wineglassesandglassware.co.uk/images/lsa-midi-wine-glass.jpg.webp</t>
  </si>
  <si>
    <t>https://m.media-amazon.com/images/I/71jA9AeWOzL._AC_SX679_.jpg</t>
  </si>
  <si>
    <t>G330-12-301</t>
  </si>
  <si>
    <t>https://m.media-amazon.com/images/I/61Zo4O9oGBL._AC_SL1000_.jpg</t>
  </si>
  <si>
    <t>G330-36-301</t>
  </si>
  <si>
    <t>G331-13-301</t>
  </si>
  <si>
    <t>https://www.lsa-international.com/cdn/shop/files/G331-13-301_1_f9a96c00-2b48-4672-a6a9-450ca2ed3031.jpg?v=1771322937&amp;width=2500</t>
  </si>
  <si>
    <t>G331-18-301</t>
  </si>
  <si>
    <t>G342-30-834</t>
  </si>
  <si>
    <t>https://www.lsa-international.com/cdn/shop/collections/Champagne_Flutes_-_Brand_2_Wine_Lifestyle_Catalogue_Reshoot_3.2_2500x1667_sRGB_a39484ac-10f4-4df3-a142-ea84e5deb1a2.webp?v=1772816075&amp;width=800</t>
  </si>
  <si>
    <t>G350-11-301</t>
  </si>
  <si>
    <t>https://m.media-amazon.com/images/I/614JOVEGf8L._SL1010_.jpg</t>
  </si>
  <si>
    <t>G357-34-301</t>
  </si>
  <si>
    <t>https://magichome.sk/sites/magichome.sk/files/styles/product_thumbnail/public/product_images/martini_midi_1.jpg?itok=X8HMyg2q</t>
  </si>
  <si>
    <t>G368-08-835</t>
  </si>
  <si>
    <t>https://m.media-amazon.com/images/I/71yyUHgkfwL._AC_SY450_.jpg</t>
  </si>
  <si>
    <t>G426-34-301</t>
  </si>
  <si>
    <t>Ash</t>
  </si>
  <si>
    <t>https://www.lsa-international.com/cdn/shop/files/g990-02-301_2_14.jpg?v=1771322929&amp;width=2500</t>
  </si>
  <si>
    <t>G443-25-301</t>
  </si>
  <si>
    <t>https://m.media-amazon.com/images/I/71GQJ4bQEqL._AC_SL1500_.jpg</t>
  </si>
  <si>
    <t>G459-00-381</t>
  </si>
  <si>
    <t>https://www.hartsofstur.com/media/catalog/product/F/L/FL02-G459-00-381-LSA-Flask-Decanter-Clear-0-8L.jpg?quality=80&amp;fit=bounds&amp;height=500&amp;width=500&amp;canvas=500:500</t>
  </si>
  <si>
    <t>G464-23-301</t>
  </si>
  <si>
    <t>https://m.media-amazon.com/images/I/61lYZbNtyNL._AC_SL1500_.jpg</t>
  </si>
  <si>
    <t>G474-01-985</t>
  </si>
  <si>
    <t>https://www.hartsofstur.com/media/catalog/product/M/V/MV19-G474-01-985-LSA-Moya-Liqueur-Glasses.jpg?quality=80&amp;fit=bounds&amp;height=500&amp;width=500&amp;canvas=500:500</t>
  </si>
  <si>
    <t>G495-22-301</t>
  </si>
  <si>
    <t>https://www.bakersmarkets.com/wp-content/uploads/2026/1/1768990526/lsa-serve-trifle-giftboxed-22-cm-clear-g495-22-301-1768990532.webp</t>
  </si>
  <si>
    <t>G507-36-301</t>
  </si>
  <si>
    <t>https://m.media-amazon.com/images/I/81PtVOHoNVL._AC_SY606_.jpg</t>
  </si>
  <si>
    <t>G570-06-268</t>
  </si>
  <si>
    <t>https://m.media-amazon.com/images/I/51DrDJSJuGL._AC_SL1000_.jpg</t>
  </si>
  <si>
    <t>Cranberry</t>
  </si>
  <si>
    <t>G570-06-590</t>
  </si>
  <si>
    <t>Berry</t>
  </si>
  <si>
    <t>G573-00-348</t>
  </si>
  <si>
    <t>https://i.ebayimg.com/images/g/jF0AAeSwcQFprAyT/s-l1600.webp</t>
  </si>
  <si>
    <t>Raspberry Pink</t>
  </si>
  <si>
    <t>G573-00-351</t>
  </si>
  <si>
    <t>https://i.ebayimg.com/images/g/uCsAAOSwbK9kPGoL/s-l1600.webp</t>
  </si>
  <si>
    <t>Sky Blue</t>
  </si>
  <si>
    <t>G573-00-358</t>
  </si>
  <si>
    <t>https://m.media-amazon.com/images/I/61Z03s-ZCjL._SL1500_.jpg</t>
  </si>
  <si>
    <t>G573-00-359</t>
  </si>
  <si>
    <t>https://www.robeys.co.uk/wp-content/uploads/2022/08/plat-8.png</t>
  </si>
  <si>
    <t>Platinum</t>
  </si>
  <si>
    <t>G602-13-301</t>
  </si>
  <si>
    <t>https://www.lsa-international.com/cdn/shop/files/G602-13-301_1.jpg?v=1771322893&amp;width=2500</t>
  </si>
  <si>
    <t>G617-25-301</t>
  </si>
  <si>
    <t>https://www.lsa-international.com/cdn/shop/files/G617-25-301_2_fd79526c-8b93-4ff7-baeb-14a62e47d86f.jpg?v=1771323038&amp;width=2500</t>
  </si>
  <si>
    <t>G666-05-991</t>
  </si>
  <si>
    <t>https://cdn-images.farfetch-contents.com/15/32/55/03/15325503_26870529_1000.jpg</t>
  </si>
  <si>
    <t>G668-35-301</t>
  </si>
  <si>
    <t>https://cdn-images.farfetch-contents.com/15/32/55/27/15325527_26866623_1000.jpg</t>
  </si>
  <si>
    <t>G687-30-301</t>
  </si>
  <si>
    <t>https://m.media-amazon.com/images/I/61-XIb2ZcoL._AC_SL1500_.jpg</t>
  </si>
  <si>
    <t>G705-16-335</t>
  </si>
  <si>
    <t>G730-11-991</t>
  </si>
  <si>
    <t>https://m.media-amazon.com/images/I/41O+eFfNVkL._AC_SY450_.jpg</t>
  </si>
  <si>
    <t>G740-40-301</t>
  </si>
  <si>
    <t>https://m.media-amazon.com/images/I/61f8D8myvJL._AC_SL1500_.jpg</t>
  </si>
  <si>
    <t>G753-35-301</t>
  </si>
  <si>
    <t>https://m.media-amazon.com/images/I/71JGgemLRRL._AC_SL1500_.jpg</t>
  </si>
  <si>
    <t>G778-29-301</t>
  </si>
  <si>
    <t>G780-23-301</t>
  </si>
  <si>
    <t>G783-54-301</t>
  </si>
  <si>
    <t>https://www.wineglassesandglassware.co.uk/119261636/buy-online</t>
  </si>
  <si>
    <t>G803-24-802</t>
  </si>
  <si>
    <t>https://ileoni.com/cdn/shop/files/Screenshot2024-04-22at5.51.45PM_1400x.png?v=1713833532</t>
  </si>
  <si>
    <t>https://ourhome.ph/cdn/shop/products/ServingDish12cm.jpg?v=1667792325&amp;width=1200</t>
  </si>
  <si>
    <t>G817-26-981</t>
  </si>
  <si>
    <t>G837-10-985</t>
  </si>
  <si>
    <t>https://m.media-amazon.com/images/I/71plQcUNuCL._AC_SY450_.jpg</t>
  </si>
  <si>
    <t>G841-17-301</t>
  </si>
  <si>
    <t>https://www.abraxascookshop.com/cdn/shop/products/G841-17-992_4_2048x.jpg?v=1756311392</t>
  </si>
  <si>
    <t>G847-28-985</t>
  </si>
  <si>
    <t>https://cdchomedesigncenter.com/Data/Sites/1/Product/14331/G847-28-985.jpg</t>
  </si>
  <si>
    <t>G850-25-651</t>
  </si>
  <si>
    <t>https://images-na.ssl-images-amazon.com/images/I/41xhARvma3L._SL500_._AC_SL500_.jpg</t>
  </si>
  <si>
    <t>Mocha</t>
  </si>
  <si>
    <t>https://www.black-by-design.co.uk/images/lsa-international-serve-cakestand-and-dome-26-5cm-p1137-3038_medium.jpg</t>
  </si>
  <si>
    <t>G875-25-301</t>
  </si>
  <si>
    <t>G875-31-301</t>
  </si>
  <si>
    <t>https://slimages.macysassets.com/is/image/MCY/products/5/optimized/27770485_fpx.tif?op_sharpen=1&amp;wid=1500&amp;fit=fit%2C1&amp;fmt=webp</t>
  </si>
  <si>
    <t>G878-28-301</t>
  </si>
  <si>
    <t>https://cdn.everythingkitchens.com/media/catalog/product/cache/1e92cb92f6cdc27d285ff0da8b2b8583/a/d/adazc.jpg</t>
  </si>
  <si>
    <t>G879-11-301</t>
  </si>
  <si>
    <t>https://m.media-amazon.com/images/I/81NASeacKNL._AC_SX679_.jpg</t>
  </si>
  <si>
    <t>G887-13-991</t>
  </si>
  <si>
    <t>https://m.media-amazon.com/images/I/41sdx05xgeL._AC_SL1000_.jpg</t>
  </si>
  <si>
    <t>G887-19-991</t>
  </si>
  <si>
    <t>https://m.media-amazon.com/images/I/61vuVBNIv1L._AC_SL1500_.jpg</t>
  </si>
  <si>
    <t>G888-17-301</t>
  </si>
  <si>
    <t>https://static2.flymee.jp/product_images/ac29-17632/20181116193635664.jpg</t>
  </si>
  <si>
    <t>G888-32-301</t>
  </si>
  <si>
    <t>G893-00-301</t>
  </si>
  <si>
    <t>https://www.wineglassesandglassware.co.uk/images/lsa-midi-cocktail-glass.jpg.webp</t>
  </si>
  <si>
    <t>G894-11-301</t>
  </si>
  <si>
    <t>https://m.media-amazon.com/images/I/71vKfTsoXHL._AC_SX679_.jpg</t>
  </si>
  <si>
    <t>G900-00-301</t>
  </si>
  <si>
    <t>https://image.made-in-china.com/202f0j00KeCqcbPBEpka/Romanian-Galle-Glass-Vase-Antique-Imitation-for-Home.webp</t>
  </si>
  <si>
    <t>G906-20-301</t>
  </si>
  <si>
    <t>https://img.edilportale.com/product-thumbs/b_LSA_MADRID-CHAMPAGNE-BUCKET_V4wMgsrFqi.jpeg</t>
  </si>
  <si>
    <t>https://m.media-amazon.com/images/I/71mhFjjZY1L._AC_SL1500_.jpg</t>
  </si>
  <si>
    <t>G911-12-301</t>
  </si>
  <si>
    <t>G912-26-301</t>
  </si>
  <si>
    <t>https://static.wixstatic.com/media/ab1138_5ca2187e54bc44fe835bd1fdb579bded~mv2.jpg/v1/fill/w_498,h_496,al_c,q_80,usm_0.66_1.00_0.01,enc_avif,quality_auto/ab1138_5ca2187e54bc44fe835bd1fdb579bded~mv2.jpg</t>
  </si>
  <si>
    <t>G912-38-301</t>
  </si>
  <si>
    <t>https://cdn.mohd.it/cache/image/format=webp/media/catalog/product/p/o/porta-biscotti.jpg</t>
  </si>
  <si>
    <t>G914-33-301</t>
  </si>
  <si>
    <t>https://m.media-amazon.com/images/I/71qp8qbULoL._AC_SL1500_.jpg</t>
  </si>
  <si>
    <t>G915-20-301</t>
  </si>
  <si>
    <t>https://cdn-images.farfetch-contents.com/15/32/55/47/15325547_26866689_322.jpg</t>
  </si>
  <si>
    <t>G915-32-301</t>
  </si>
  <si>
    <t>G915-33-301</t>
  </si>
  <si>
    <t>G919-08-301</t>
  </si>
  <si>
    <t>https://scontent.fceb3-1.fna.fbcdn.net/v/t39.30808-6/503154774_4043487252556807_6236687268857140040_n.jpg?stp=dst-jpg_s590x590_tt6&amp;_nc_cat=105&amp;ccb=1-7&amp;_nc_sid=13d280&amp;_nc_eui2=AeHu5Lqi37gBvUv3gme-qnYD2swYN0nmEZLazBg3SeYRks7BsHxEFIkvK5609yeHNfzxLM7e0xXs19aR9cpJf3h2&amp;_nc_ohc=TnTfA02BklkQ7kNvwHMjK6x&amp;_nc_oc=AdrAE03uXfv6LCg1C1nRMEEu9tet2q0fMwdZnC2g3TlateRgp7ue_tDwK75dKaxZjH8&amp;_nc_zt=23&amp;_nc_ht=scontent.fceb3-1.fna&amp;_nc_gid=dASH_znYBlWBbNWOm047Pw&amp;_nc_ss=7a32e&amp;oh=00_AfxFlFG5qix7ujQkuc3SI3S76Us3Ky5867u_kHBH8lypHA&amp;oe=69CAB866</t>
  </si>
  <si>
    <t>G932-14-268</t>
  </si>
  <si>
    <t>https://m.media-amazon.com/images/I/61ybAmPNjxL._SL1500_.jpg</t>
  </si>
  <si>
    <t>G932-14-968</t>
  </si>
  <si>
    <t>https://m.media-amazon.com/images/I/61VCj81lSoL._SL1500_.jpg</t>
  </si>
  <si>
    <t>Apple</t>
  </si>
  <si>
    <t>G932-14-969</t>
  </si>
  <si>
    <t>https://m.media-amazon.com/images/I/61Xrq15M7tL._SL1500_.jpg</t>
  </si>
  <si>
    <t>G940-23-982</t>
  </si>
  <si>
    <t>https://www.wineglassesandglassware.co.uk/images/lsa-elina-comport-23cm.jpg.webp</t>
  </si>
  <si>
    <t>G940-32-982</t>
  </si>
  <si>
    <t>G951-08-987</t>
  </si>
  <si>
    <t>https://m.media-amazon.com/images/I/71DPiCrvHuL._AC_SX300_SY300_QL70_ML2_.jpg</t>
  </si>
  <si>
    <t>Black stripes</t>
  </si>
  <si>
    <t>G972-14-301</t>
  </si>
  <si>
    <t>https://m.media-amazon.com/images/I/71FneayVB1L._AC_SL1500_.jpg</t>
  </si>
  <si>
    <t>G973-35-301</t>
  </si>
  <si>
    <t>https://d25-a.sdn.cz/d_25/c_img_G_Ff/ilvvn7.jpeg?fl=res%2C350%2C350%2C1%7Cwebp%2C80</t>
  </si>
  <si>
    <t>G974-40-301</t>
  </si>
  <si>
    <t>https://finelinefurnitureandaccessories.com/cdn/shop/files/2120_1160x_crop_center.jpg?v=1729578029</t>
  </si>
  <si>
    <t>G976-14-301</t>
  </si>
  <si>
    <t>https://www.magasin.nu/storage/DCA4C954984357FF0AD70799F6A7804E518984F59C707CC804D9E0E82ED477DC/de1d2f8002df4be99721085189bc6c80/jpg/media/075f479f487844379d050db10ffe3af7/lsa35_1.jpg</t>
  </si>
  <si>
    <t>G976-14-381</t>
  </si>
  <si>
    <t>G976-16-301</t>
  </si>
  <si>
    <t>G976-16-381</t>
  </si>
  <si>
    <t>G990-01-301</t>
  </si>
  <si>
    <t>https://m.media-amazon.com/images/I/81KtWTqGg-L._AC_SX522_.jpg</t>
  </si>
  <si>
    <t>G991-13-301</t>
  </si>
  <si>
    <t>https://www.lsa-international.com/cdn/shop/files/G991-13-301_1_dbe63077-50a4-4a0b-997d-69eea6636fa6.jpg?v=1771322939&amp;width=2500</t>
  </si>
  <si>
    <t>G993-14-301</t>
  </si>
  <si>
    <t>https://m.media-amazon.com/images/I/61eVUK67DXL._AC_SL1500_.jpg</t>
  </si>
  <si>
    <t>G993-19-301</t>
  </si>
  <si>
    <t>P057-46-678</t>
  </si>
  <si>
    <t>P079-20-997</t>
  </si>
  <si>
    <t>P097-34-997</t>
  </si>
  <si>
    <t>P188-14-361</t>
  </si>
  <si>
    <t>P188-14-551</t>
  </si>
  <si>
    <t>P188-14-725</t>
  </si>
  <si>
    <t>P203-03-517</t>
  </si>
  <si>
    <t>P249-16-517</t>
  </si>
  <si>
    <t>P249-22-517</t>
  </si>
  <si>
    <t>https://cdn.mohd.it/cache/image/width=1200,format=webp/media/catalog/product/b/a/baratt-1.jpg</t>
  </si>
  <si>
    <t>https://media.diy.com/is/image/KingfisherDigital/lsa-palazzo-contemporary-pearl-finish-teapot-1-3l~5012548629716_01c_MP?$MOB_PREV$&amp;$width=600&amp;$height=600</t>
  </si>
  <si>
    <t>https://m.media-amazon.com/images/I/61P8aMxXHGL._AC_SL1500_.jpg</t>
  </si>
  <si>
    <t>https://www.linenmill.ie/wp-content/uploads/2021/11/nZr6q3Zo.jpeg</t>
  </si>
  <si>
    <t>Cranberry Haze</t>
  </si>
  <si>
    <t>https://m.media-amazon.com/images/I/71DsZGv5S4L._AC_SL1500_.jpg</t>
  </si>
  <si>
    <t>https://m.media-amazon.com/images/I/71fvJJhdhBL._AC_SY879_.jpg</t>
  </si>
  <si>
    <t>Green Haze</t>
  </si>
  <si>
    <t>https://m.media-amazon.com/images/I/71lqPHeKDhL._AC_SL1500_.jpg</t>
  </si>
  <si>
    <t>Blue Haze</t>
  </si>
  <si>
    <t>https://papilleurbaine.com/cdn/shop/products/lotta-ensemble-a-olives-avec-base-en-frene-227545.jpg?v=1757295307&amp;width=1920</t>
  </si>
  <si>
    <t>Ash wood</t>
  </si>
  <si>
    <t>https://i.pinimg.com/736x/52/e9/d6/52e9d6ba60ae223dd0a6a158d564122b.jpg</t>
  </si>
  <si>
    <t>Ash base</t>
  </si>
  <si>
    <t>Sapphire Blue</t>
  </si>
  <si>
    <t>MFR catalog No. 2</t>
  </si>
  <si>
    <t>Group Name</t>
  </si>
  <si>
    <t>Item Description</t>
  </si>
  <si>
    <t xml:space="preserve"> MFR Catalog No.</t>
  </si>
  <si>
    <t>Item No.</t>
  </si>
  <si>
    <t>MFR Catalog 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</si>
</sst>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Appot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ienT/Downloads/L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Item No.</v>
          </cell>
          <cell r="B1" t="str">
            <v>Mfr Catalog No.</v>
          </cell>
          <cell r="C1" t="str">
            <v>Mfr Catalog No.2</v>
          </cell>
          <cell r="E1" t="str">
            <v>Item Description</v>
          </cell>
        </row>
        <row r="2">
          <cell r="A2" t="str">
            <v>5344- G1663-18-142</v>
          </cell>
          <cell r="B2" t="str">
            <v>G1663-18-142</v>
          </cell>
          <cell r="C2" t="str">
            <v>G1663-18-142</v>
          </cell>
          <cell r="E2" t="str">
            <v>LSA, G1663-18-142, EPOQUE VASE H18CM PEACOCK/LUSTRE (ID)</v>
          </cell>
        </row>
        <row r="3">
          <cell r="A3" t="str">
            <v>5344-G005-09-371</v>
          </cell>
          <cell r="B3" t="str">
            <v>AS04</v>
          </cell>
          <cell r="C3" t="str">
            <v>G005-09-371</v>
          </cell>
          <cell r="E3" t="str">
            <v>(DCWSL21)  #AS04 340ml GLASS TUMBLER, TURQUOISE/ASHER (LSA) 6PCS/CTN</v>
          </cell>
        </row>
        <row r="4">
          <cell r="A4" t="str">
            <v>5344-G005-09-372</v>
          </cell>
          <cell r="B4" t="str">
            <v>AS05</v>
          </cell>
          <cell r="C4" t="str">
            <v>G005-09-372</v>
          </cell>
          <cell r="E4" t="str">
            <v>(DCWSL21)  #AS05 340ml GLASS TUMBLER, VIOLET/ASHER (LSA) 6PCS/CTN</v>
          </cell>
        </row>
        <row r="5">
          <cell r="A5" t="str">
            <v>5344-G005-09-391</v>
          </cell>
          <cell r="B5" t="str">
            <v>AS06</v>
          </cell>
          <cell r="C5" t="str">
            <v>G005-09-391</v>
          </cell>
          <cell r="E5" t="str">
            <v>(DCWSL21)  #AS06 340ml GLASS TUMBLER, WHITE/ASHER  (LSA) 6PCS/CTN</v>
          </cell>
        </row>
        <row r="6">
          <cell r="A6" t="str">
            <v>5344-G005-09-804</v>
          </cell>
          <cell r="C6" t="str">
            <v>G005-09-804</v>
          </cell>
          <cell r="E6" t="str">
            <v>(DCWSL19) #AS03 340ml GLASS TUMBLER, RED/ASHER (LSA)</v>
          </cell>
        </row>
        <row r="7">
          <cell r="A7" t="str">
            <v>5344-G005-09-834</v>
          </cell>
          <cell r="B7" t="str">
            <v>AS02</v>
          </cell>
          <cell r="C7" t="str">
            <v>G005-09-834</v>
          </cell>
          <cell r="E7" t="str">
            <v>(DCWSL21)  #AS02 340ml GLASS TUMBLER, LIME/ASHER (LSA) 6PCS/CTN</v>
          </cell>
        </row>
        <row r="8">
          <cell r="A8" t="str">
            <v>5344-G005-09-909</v>
          </cell>
          <cell r="C8" t="str">
            <v>G005-09-909</v>
          </cell>
          <cell r="E8" t="str">
            <v>(DCWSL19) #AS01 340ml GLASS TUMBLER, BLACK/ASHER (LSA)</v>
          </cell>
        </row>
        <row r="9">
          <cell r="A9" t="str">
            <v>5344-G008-01-992</v>
          </cell>
          <cell r="B9" t="str">
            <v>G008-01-992</v>
          </cell>
          <cell r="C9" t="str">
            <v>G008-01-992</v>
          </cell>
          <cell r="E9" t="str">
            <v>(Old Code:#G008-01-301)#BI05 50ml VODKA GLASS, CLEAR/BORIS(LSA) 3PCS/CTN (SELL BY SET)</v>
          </cell>
        </row>
        <row r="10">
          <cell r="A10" t="str">
            <v>5344-G008-09-992</v>
          </cell>
          <cell r="B10" t="str">
            <v>G008-09-992</v>
          </cell>
          <cell r="C10" t="str">
            <v>G008-09-992</v>
          </cell>
          <cell r="E10" t="str">
            <v>(Old Code:#G008-09-301) #BI06 260ml TUMBLER GLASS, CLEAR/BORIS(LSA) 3PCS/CTN (SELL BY SET)</v>
          </cell>
        </row>
        <row r="11">
          <cell r="A11" t="str">
            <v>5344-G008-12-992</v>
          </cell>
          <cell r="B11" t="str">
            <v>G008-12-992</v>
          </cell>
          <cell r="C11" t="str">
            <v>G008-12-992</v>
          </cell>
          <cell r="E11" t="str">
            <v>(WSL19)(Old Code:#G008-12-301) #BI07 360ml HIGHBALL GLASS, CLEAR/BORIS (LSA) 3PCS/CTN (SELL BY SET)</v>
          </cell>
        </row>
        <row r="12">
          <cell r="A12" t="str">
            <v>5344-G016-09-301</v>
          </cell>
          <cell r="C12" t="str">
            <v>G016-09-301</v>
          </cell>
          <cell r="E12" t="str">
            <v>(DCWSL19)(New:G016-09-985) #MV14 330ml TUMBLER GLASS, CLEAR/MOYA (LSA) 2PCS/SET (SELL BY SET)</v>
          </cell>
        </row>
        <row r="13">
          <cell r="A13" t="str">
            <v>5344-G016-09-985</v>
          </cell>
          <cell r="B13" t="str">
            <v>MV14</v>
          </cell>
          <cell r="C13" t="str">
            <v>G016-09-985</v>
          </cell>
          <cell r="E13" t="str">
            <v>(WSL19) #MV14 330ml TUMBLER, CLEAR/MOYA (LSA) (SET OF 2PCS)(3/CTN) (SELL BY SET)</v>
          </cell>
        </row>
        <row r="14">
          <cell r="A14" t="str">
            <v>5344-G029-15-300</v>
          </cell>
          <cell r="C14" t="str">
            <v>G029-15-300</v>
          </cell>
          <cell r="E14" t="str">
            <v>(DCWSL19)(*SELL BY PC) 425ml HIGHBALL, PLATINIUM/CELESTE (LSA) 4PCS/SET</v>
          </cell>
        </row>
        <row r="15">
          <cell r="A15" t="str">
            <v>5344-G039-11-968</v>
          </cell>
          <cell r="C15" t="str">
            <v>G039-11-968</v>
          </cell>
          <cell r="E15" t="str">
            <v>(DCWSL19)(*SELL BY PC) 325ml TUMBLER, APPLE/HAZE (LSA)</v>
          </cell>
        </row>
        <row r="16">
          <cell r="A16" t="str">
            <v>5344-G039-13-968</v>
          </cell>
          <cell r="C16" t="str">
            <v>G039-13-968</v>
          </cell>
          <cell r="E16" t="str">
            <v>(DCWSL19)(*SELL BY PC)  400ml HIGHBALL, APPLE/HAZE (LSA)</v>
          </cell>
        </row>
        <row r="17">
          <cell r="A17" t="str">
            <v>5344-G039-13-969</v>
          </cell>
          <cell r="C17" t="str">
            <v>G039-13-969</v>
          </cell>
          <cell r="E17" t="str">
            <v>(DCWSL19)(*SELL BY PC) 400ml HIGHBALL, SKY/HAZE (LSA)</v>
          </cell>
        </row>
        <row r="18">
          <cell r="A18" t="str">
            <v>5344-G060-09-148</v>
          </cell>
          <cell r="B18" t="str">
            <v>GM01</v>
          </cell>
          <cell r="C18" t="str">
            <v>G060-09-148</v>
          </cell>
          <cell r="E18" t="str">
            <v>(SELL IN BOX OF 4PCS) LSA #GM01 LSA GEMS TUMBLER ASSORTED AMBER 10OZ (4PCS/CTN)</v>
          </cell>
        </row>
        <row r="19">
          <cell r="A19" t="str">
            <v>5344-G060-09-150</v>
          </cell>
          <cell r="B19" t="str">
            <v>G060-09-150</v>
          </cell>
          <cell r="C19" t="str">
            <v>G060-09-150</v>
          </cell>
          <cell r="E19" t="str">
            <v>(SELL IN BOX OF 4PCS) IDMOQ16PCS LSA #GM03 LSA GEMS TUMBLER ASSORTED JADE 10OZ (4PCS/CTN)</v>
          </cell>
        </row>
        <row r="20">
          <cell r="A20" t="str">
            <v>5344-G060-09-301</v>
          </cell>
          <cell r="B20" t="str">
            <v>G060-09-301</v>
          </cell>
          <cell r="C20" t="str">
            <v>G060-09-301</v>
          </cell>
          <cell r="E20" t="str">
            <v>LSA #GI01/#GIO H7xW8cm, 310ml TUMBLER CLEAR/LOW 48PCS/CTN</v>
          </cell>
        </row>
        <row r="21">
          <cell r="A21" t="str">
            <v>5344-G094-02-969</v>
          </cell>
          <cell r="C21" t="str">
            <v>G094-02-969</v>
          </cell>
          <cell r="E21" t="str">
            <v>(DCWSL19)(*SELL BY PC) 80ml VODKA GLASS, SKY/HAZE (LSA) 4PCS/CTN</v>
          </cell>
        </row>
        <row r="22">
          <cell r="A22" t="str">
            <v>5344-G1011-00-301</v>
          </cell>
          <cell r="B22" t="str">
            <v>LL03</v>
          </cell>
          <cell r="C22" t="str">
            <v>G1011-00-301</v>
          </cell>
          <cell r="E22" t="str">
            <v>(IDMOQ4SETS) #LL03, 50ml, SET OF 4PCS, ASSORTED VODKA GLASS, CLEAR, LULU (LSA) 1SET/CTN</v>
          </cell>
        </row>
        <row r="23">
          <cell r="A23" t="str">
            <v>5344-G1019-24-301</v>
          </cell>
          <cell r="C23" t="str">
            <v>G1019-24-301</v>
          </cell>
          <cell r="E23" t="str">
            <v>(DCWSL19) 24cm STORM LANTERN, CLEAR/HELIX (LSA)</v>
          </cell>
        </row>
        <row r="24">
          <cell r="A24" t="str">
            <v>5344-G1020-35-675</v>
          </cell>
          <cell r="C24" t="str">
            <v>G1020-35-675</v>
          </cell>
          <cell r="E24" t="str">
            <v>(DCWSL19) #HX08 H35cm HELIX VASE, BLUE TEAL (LSA)</v>
          </cell>
        </row>
        <row r="25">
          <cell r="A25" t="str">
            <v>5344-G1020-45-301</v>
          </cell>
          <cell r="C25" t="str">
            <v>G1020-45-301</v>
          </cell>
          <cell r="E25" t="str">
            <v>(DCWSL19) H45cm VASE, CLEAR/HELIX (LSA)</v>
          </cell>
        </row>
        <row r="26">
          <cell r="A26" t="str">
            <v>5344-G103-63-991</v>
          </cell>
          <cell r="B26" t="str">
            <v>WI12</v>
          </cell>
          <cell r="C26" t="str">
            <v>G103-63-991</v>
          </cell>
          <cell r="E26" t="str">
            <v>(DCWSL21)  #WI12 1.75ltr WINE GLASS WATER CARAFE/DECANTER (LSA) 2PCS/CTN</v>
          </cell>
        </row>
        <row r="27">
          <cell r="A27" t="str">
            <v>5344-G1035-31-301</v>
          </cell>
          <cell r="B27" t="str">
            <v>G1035-31-301</v>
          </cell>
          <cell r="C27" t="str">
            <v>G1035-31-301</v>
          </cell>
          <cell r="E27" t="str">
            <v>#SZ34, DIA31cm DESSERT COMPORT, CLEAR/SERVE (LSA) 4PCS/CTN</v>
          </cell>
        </row>
        <row r="28">
          <cell r="A28" t="str">
            <v>5344-G1039-48-391</v>
          </cell>
          <cell r="C28" t="str">
            <v>G1039-48-391</v>
          </cell>
          <cell r="E28" t="str">
            <v>(DCWSL19) H48cm VASE &amp; ASH BASE, WHITE/LOTTA (LSA)</v>
          </cell>
        </row>
        <row r="29">
          <cell r="A29" t="str">
            <v>5344-G1040-62-391</v>
          </cell>
          <cell r="C29" t="str">
            <v>G1040-62-391</v>
          </cell>
          <cell r="E29" t="str">
            <v>(DCWSL19) H62cm VASE/LANTERN &amp; ASH BASE, WHITE/LOTTA (LSA)</v>
          </cell>
        </row>
        <row r="30">
          <cell r="A30" t="str">
            <v>5344-G1048-15-301</v>
          </cell>
          <cell r="B30" t="str">
            <v>G1048-15-301</v>
          </cell>
          <cell r="C30" t="str">
            <v>G1048-15-301</v>
          </cell>
          <cell r="E30" t="str">
            <v>LSA G1048-15-301 #IV01 DOME/ASH BASE CLEAR/IVALO DIA15xH15.5cm  (4PCS/CTN)</v>
          </cell>
        </row>
        <row r="31">
          <cell r="A31" t="str">
            <v>5344-G1048-21-301</v>
          </cell>
          <cell r="B31" t="str">
            <v>G1048-21-301</v>
          </cell>
          <cell r="C31" t="str">
            <v>G1048-21-301</v>
          </cell>
          <cell r="E31" t="str">
            <v>LSA G1048-21-301 #IV02 DOME/ASH BASE CLEAR/IVALO DIA22xH28.5cm (2PCS/CTN)</v>
          </cell>
        </row>
        <row r="32">
          <cell r="A32" t="str">
            <v>5344-G1048-31-301</v>
          </cell>
          <cell r="B32" t="str">
            <v>G1048-31-301</v>
          </cell>
          <cell r="C32" t="str">
            <v>G1048-31-301</v>
          </cell>
          <cell r="E32" t="str">
            <v>#IV03 DIA32xH20.5cm DOME/ASH BASE, CLEAR/IVALO (LSA) 2PCS/CTN</v>
          </cell>
        </row>
        <row r="33">
          <cell r="A33" t="str">
            <v>5344-G1052-12-301</v>
          </cell>
          <cell r="B33" t="str">
            <v>G1052-12-301</v>
          </cell>
          <cell r="C33" t="str">
            <v>G1052-12-301</v>
          </cell>
          <cell r="E33" t="str">
            <v>#SZ35 H12.5cm HONEY POT &amp; OAK DIPPER, CLEAR/SERVE (LSA) 3PCS/CTN</v>
          </cell>
        </row>
        <row r="34">
          <cell r="A34" t="str">
            <v>5344-G1060-53-301</v>
          </cell>
          <cell r="C34" t="str">
            <v>G1060-53-301</v>
          </cell>
          <cell r="E34" t="str">
            <v>(DCWSL19) #MX11 H53cm TALL GIANT CLEAR GLASS BONBON JAR/MAXA (LSA)</v>
          </cell>
        </row>
        <row r="35">
          <cell r="A35" t="str">
            <v>5344-G1069-10-301</v>
          </cell>
          <cell r="B35" t="str">
            <v>OF05</v>
          </cell>
          <cell r="C35" t="str">
            <v>G1069-10-301</v>
          </cell>
          <cell r="E35" t="str">
            <v>(ID)(PX/PC,SELL IN BOX OF 4PCS) H15.5xW9.5cm 280ml CHAMPAGNE/COCKTAIL GLASS, CLEAR/OTIS(LSA)3/CTN</v>
          </cell>
        </row>
        <row r="36">
          <cell r="A36" t="str">
            <v>5344-G107-86-991</v>
          </cell>
          <cell r="B36" t="str">
            <v>G107-86-991</v>
          </cell>
          <cell r="C36" t="str">
            <v>G107-86-991</v>
          </cell>
          <cell r="E36" t="str">
            <v>#WI10 2.4ltr GLASS WINE CARAFE/DECANTER, WINE (LSA) 2PCS/CTN</v>
          </cell>
        </row>
        <row r="37">
          <cell r="A37" t="str">
            <v>5344-G1070-05-301</v>
          </cell>
          <cell r="B37" t="str">
            <v>OF04</v>
          </cell>
          <cell r="C37" t="str">
            <v>G1070-05-301</v>
          </cell>
          <cell r="E37" t="str">
            <v>(WSL19)(PX/PC, SELL IN BOX OF 4PCS) H26xW4cm 150ml CHAMPAGNE FLUTE, CLEAR/OTIS (LSA) 3PCS/CTN (SELL BY SET)</v>
          </cell>
        </row>
        <row r="38">
          <cell r="A38" t="str">
            <v>5344-G1072-09-301</v>
          </cell>
          <cell r="B38" t="str">
            <v>G1072-09-301</v>
          </cell>
          <cell r="C38" t="str">
            <v>G1072-09-301</v>
          </cell>
          <cell r="E38" t="str">
            <v>(IDMOQ12PCS) #FW27, H9.5cm CLEAR MINI TABLE VASE, FLOWER (LSA) 1PC/CTN</v>
          </cell>
        </row>
        <row r="39">
          <cell r="A39" t="str">
            <v>5344-G1079-10-301</v>
          </cell>
          <cell r="C39" t="str">
            <v>G1079-10-301</v>
          </cell>
          <cell r="E39" t="str">
            <v>(DCWSL19) #PX08 L45cm DOME TRIO &amp; OAK PADDLE, CLEAR/PADDLE (LSA)</v>
          </cell>
        </row>
        <row r="40">
          <cell r="A40" t="str">
            <v>5344-G1084-11-301</v>
          </cell>
          <cell r="B40" t="str">
            <v>G1084-11-301</v>
          </cell>
          <cell r="C40" t="str">
            <v>G1084-11-301</v>
          </cell>
          <cell r="E40" t="str">
            <v>LSA G1084-11-301 #IV04 CONTAINER &amp; ASH LID CLEAR/IVALO DIA28xH11cm (2PCS/CTN)</v>
          </cell>
        </row>
        <row r="41">
          <cell r="A41" t="str">
            <v>5344-G1085-15-301</v>
          </cell>
          <cell r="B41" t="str">
            <v>G1085-15-301</v>
          </cell>
          <cell r="C41" t="str">
            <v>G1085-15-301</v>
          </cell>
          <cell r="E41" t="str">
            <v>LSA G1085-15-301 #IV05 CONTAINER &amp; ASH LID CLEAR/IVALO  H15.5cm (4PCS/CTN)</v>
          </cell>
        </row>
        <row r="42">
          <cell r="A42" t="str">
            <v>5344-G1085-29-301</v>
          </cell>
          <cell r="B42" t="str">
            <v>G1085-29-301</v>
          </cell>
          <cell r="C42" t="str">
            <v>G1085-29-301</v>
          </cell>
          <cell r="E42" t="str">
            <v>#IV06 H29.5cm CONTAINER &amp; ASH LID, CLEAR/IVALO (LSA) 2PCS/CTN</v>
          </cell>
        </row>
        <row r="43">
          <cell r="A43" t="str">
            <v>5344-G1090-36-301</v>
          </cell>
          <cell r="C43" t="str">
            <v>G1090-36-301</v>
          </cell>
          <cell r="E43" t="str">
            <v>(DCWSL19) DIA36cm ONO BOWL, CLEAR (LSA)</v>
          </cell>
        </row>
        <row r="44">
          <cell r="A44" t="str">
            <v>5344-G1097-36-263</v>
          </cell>
          <cell r="C44" t="str">
            <v>G1097-36-263</v>
          </cell>
          <cell r="E44" t="str">
            <v>(DCWSL19) H36cm VASE, PEBBLE/CHALK (LSA)</v>
          </cell>
        </row>
        <row r="45">
          <cell r="A45" t="str">
            <v>5344-G1149-15-361</v>
          </cell>
          <cell r="C45" t="str">
            <v>G1149-15-361</v>
          </cell>
          <cell r="E45" t="str">
            <v>(DCWSL19) #R102 500ml WATER/WINE TUMBLER, MARINE/RIO (LSA)</v>
          </cell>
        </row>
        <row r="46">
          <cell r="A46" t="str">
            <v>5344-G1149-15-373</v>
          </cell>
          <cell r="C46" t="str">
            <v>G1149-15-373</v>
          </cell>
          <cell r="E46" t="str">
            <v>(DCWSL19) #R101 500ml WATER/WINE TUMBLER, CHERRY/RIO (LSA)</v>
          </cell>
        </row>
        <row r="47">
          <cell r="A47" t="str">
            <v>5344-G1149-15-459</v>
          </cell>
          <cell r="C47" t="str">
            <v>G1149-15-459</v>
          </cell>
          <cell r="E47" t="str">
            <v>(DCWSL19) #R103 500ml  WATER/WINE TUMBLER, OCEAN/RIO (LSA)</v>
          </cell>
        </row>
        <row r="48">
          <cell r="A48" t="str">
            <v>5344-G1149-15-801</v>
          </cell>
          <cell r="C48" t="str">
            <v>G1149-15-801</v>
          </cell>
          <cell r="E48" t="str">
            <v>(DCWSL19) #R106 500m WATER/WINE TUMBLER, WILLOW/RIO (LSA)</v>
          </cell>
        </row>
        <row r="49">
          <cell r="A49" t="str">
            <v>5344-G1159-14-301</v>
          </cell>
          <cell r="B49" t="str">
            <v>VI07</v>
          </cell>
          <cell r="C49" t="str">
            <v>G1159-14-301</v>
          </cell>
          <cell r="E49" t="str">
            <v>(DCWSL21)  #VI07 DIA14xH16.5cm VIENNA DOME, CLEAR (LSA) 4PCS/CTN</v>
          </cell>
        </row>
        <row r="50">
          <cell r="A50" t="str">
            <v>5344-G1160-22-301</v>
          </cell>
          <cell r="B50" t="str">
            <v>G1160-22-301</v>
          </cell>
          <cell r="C50" t="str">
            <v>G1160-22-301</v>
          </cell>
          <cell r="E50" t="str">
            <v>(*DC24)#VI08 DIA22.5xH18cm VIENNA DOME, CLEAR (LSA) 2PCS/CTN</v>
          </cell>
        </row>
        <row r="51">
          <cell r="A51" t="str">
            <v>5344-G1160-30-301</v>
          </cell>
          <cell r="B51" t="str">
            <v>VI09</v>
          </cell>
          <cell r="C51" t="str">
            <v>G1160-30-301</v>
          </cell>
          <cell r="E51" t="str">
            <v>(DCWSL21)  #VI09 DIA30xH21cm VIENNA DOME, CLEAR (LSA) 2PCS/CTN</v>
          </cell>
        </row>
        <row r="52">
          <cell r="A52" t="str">
            <v>5344-G1161-16-359</v>
          </cell>
          <cell r="B52" t="str">
            <v>PZ34</v>
          </cell>
          <cell r="C52" t="str">
            <v>G1161-16-359</v>
          </cell>
          <cell r="E52" t="str">
            <v>(DCWSL21)  (IDMOQ2) #PZ34 DIA18xH16cm GLASS VASE, PLATINUM/POLKA (LSA) 2PCS/CTN</v>
          </cell>
        </row>
        <row r="53">
          <cell r="A53" t="str">
            <v>5344-G1171-24-988</v>
          </cell>
          <cell r="C53" t="str">
            <v>G1171-24-988</v>
          </cell>
          <cell r="E53" t="str">
            <v>(DCWSL19) #MZ25 24/16.5cm SERVING BOWL &amp; OAK BASE, RECYCLED PART OPTIC, MIA (LSA)</v>
          </cell>
        </row>
        <row r="54">
          <cell r="A54" t="str">
            <v>5344-G1173-22-988</v>
          </cell>
          <cell r="B54" t="str">
            <v>MZ27</v>
          </cell>
          <cell r="C54" t="str">
            <v>G1173-22-988</v>
          </cell>
          <cell r="E54" t="str">
            <v>(DCWSL21)  #MZ27 23.5/22cmxH17.5cm DOME &amp; OAK BASE ,RECYCLED PART OPTIC, MIA (LSA)</v>
          </cell>
        </row>
        <row r="55">
          <cell r="A55" t="str">
            <v>5344-G1182-09-301</v>
          </cell>
          <cell r="B55" t="str">
            <v>G1182-09-301</v>
          </cell>
          <cell r="C55" t="str">
            <v>G1182-09-301</v>
          </cell>
          <cell r="E55" t="str">
            <v>(IDMOQ3PCS) #HS03, DIA15cm CLEAR BOWL, HOST (LSA) 1PC/CTN</v>
          </cell>
        </row>
        <row r="56">
          <cell r="A56" t="str">
            <v>5344-G1182-09-358</v>
          </cell>
          <cell r="B56" t="str">
            <v>G1182-09-358</v>
          </cell>
          <cell r="C56" t="str">
            <v>G1182-09-358</v>
          </cell>
          <cell r="E56" t="str">
            <v>(IDMOQ4PCS) #HS18, DIA9.5cm GOLD BOWL, HOST (LSA) 1PC/CTN</v>
          </cell>
        </row>
        <row r="57">
          <cell r="A57" t="str">
            <v>5344-G1182-09-358A</v>
          </cell>
          <cell r="C57" t="str">
            <v>G1182-09-358A</v>
          </cell>
          <cell r="E57" t="str">
            <v>(DCWSL19) #HS12 DIA9.5xH5.5cm BOWL 50TH YR EDITION, GOLD/HOST (LSA)</v>
          </cell>
        </row>
        <row r="58">
          <cell r="A58" t="str">
            <v>5344-G1182-09-359</v>
          </cell>
          <cell r="B58" t="str">
            <v>HS20</v>
          </cell>
          <cell r="C58" t="str">
            <v>G1182-09-359</v>
          </cell>
          <cell r="E58" t="str">
            <v>(IDMOQ4PCS) #HS20, DIA9.5cm PLATINUM BOWL, HOST (LSA) 1PC/CTN</v>
          </cell>
        </row>
        <row r="59">
          <cell r="A59" t="str">
            <v>5344-G1182-09-391A</v>
          </cell>
          <cell r="C59" t="str">
            <v>G1182-09-391A</v>
          </cell>
          <cell r="E59" t="str">
            <v>(DCWSL19) #HS16 DIA9.5xH5.5cm BOWL 50TH YR EDITION, WHITE/HOST (LSA)</v>
          </cell>
        </row>
        <row r="60">
          <cell r="A60" t="str">
            <v>5344-G1182-15-358</v>
          </cell>
          <cell r="B60" t="str">
            <v>G1182-15-358</v>
          </cell>
          <cell r="C60" t="str">
            <v>G1182-15-358</v>
          </cell>
          <cell r="E60" t="str">
            <v>(ID) LSA, G1182-15-358, HOST BOWL Ø15CM GOLD</v>
          </cell>
        </row>
        <row r="61">
          <cell r="A61" t="str">
            <v>5344-G1182-15-359</v>
          </cell>
          <cell r="B61" t="str">
            <v>G1182-15-359</v>
          </cell>
          <cell r="C61" t="str">
            <v>G1182-15-359</v>
          </cell>
          <cell r="E61" t="str">
            <v>(IDMOQ3PCS) #HS21, DIA15cm PLATINUM BOWL, HOST (LSA) 1PC/CTN</v>
          </cell>
        </row>
        <row r="62">
          <cell r="A62" t="str">
            <v>5344-G1213-09-301</v>
          </cell>
          <cell r="B62" t="str">
            <v>G1213-09-301</v>
          </cell>
          <cell r="C62" t="str">
            <v>G1213-09-301</v>
          </cell>
          <cell r="E62" t="str">
            <v>(*PX/PC,SELL BY SET)#WH04 H10xW6.5cm, 250ml WHISKY TUMBLER W/WALNUT COASTER, ISLAY (LSA)(3/CTN) (SELL BY SET)</v>
          </cell>
        </row>
        <row r="63">
          <cell r="A63" t="str">
            <v>5344-G1217-36-301</v>
          </cell>
          <cell r="B63" t="str">
            <v>G1217-36-301</v>
          </cell>
          <cell r="C63" t="str">
            <v>G1217-36-301</v>
          </cell>
          <cell r="E63" t="str">
            <v>(WSL19) #WH03 1.0ltr WHISKY DECANTER W/WALNUT BASE, ISLAY (LSA) 2PCS/CTN</v>
          </cell>
        </row>
        <row r="64">
          <cell r="A64" t="str">
            <v>5344-G1218-36-301</v>
          </cell>
          <cell r="B64" t="str">
            <v>WH01</v>
          </cell>
          <cell r="C64" t="str">
            <v>G1218-36-301</v>
          </cell>
          <cell r="E64" t="str">
            <v>(WSL19) #WH01 H25xW13.5cm, 1.0ltr WHISKY DECANTER W/WALNUT BASE, ARRAN (LSA) 2PCS/CTN</v>
          </cell>
        </row>
        <row r="65">
          <cell r="A65" t="str">
            <v>5344-G1219-00-301</v>
          </cell>
          <cell r="B65" t="str">
            <v>G1219-00-301</v>
          </cell>
          <cell r="C65" t="str">
            <v>G1219-00-301</v>
          </cell>
          <cell r="E65" t="str">
            <v>#WH10 L44cm WHISKY CONNOISEUR SET W/WALNUT TRAY, ISLAY (LSA)</v>
          </cell>
        </row>
        <row r="66">
          <cell r="A66" t="str">
            <v>5344-G1236-71-301</v>
          </cell>
          <cell r="C66" t="str">
            <v>G1236-71-301</v>
          </cell>
          <cell r="E66" t="str">
            <v>(DCWSL19) #CG12 H30cm, 2.0ltr BAR JUG &amp; STIRRER, CLEAR/CITY (LSA) 1PC/CTN</v>
          </cell>
        </row>
        <row r="67">
          <cell r="A67" t="str">
            <v>5344-G1239-13-301</v>
          </cell>
          <cell r="B67" t="str">
            <v>CJ01</v>
          </cell>
          <cell r="C67" t="str">
            <v>G1239-13-301</v>
          </cell>
          <cell r="E67" t="str">
            <v>(DC25) #CJ01 DIA13xH10.5cm BOWL &amp; WALNUT LID, CLEAR/CITY (LSA) 4PCS/CTN</v>
          </cell>
        </row>
        <row r="68">
          <cell r="A68" t="str">
            <v>5344-G1239-21-301</v>
          </cell>
          <cell r="B68" t="str">
            <v>G1239-21-301</v>
          </cell>
          <cell r="C68" t="str">
            <v>G1239-21-301</v>
          </cell>
          <cell r="E68" t="str">
            <v>#CJ02 DIA22xH19cm BOWL &amp; WALNUT LID, CLEAR/CITY (LSA)</v>
          </cell>
        </row>
        <row r="69">
          <cell r="A69" t="str">
            <v>5344-G1240-13-301</v>
          </cell>
          <cell r="B69" t="str">
            <v>CJ04</v>
          </cell>
          <cell r="C69" t="str">
            <v>G1240-13-301</v>
          </cell>
          <cell r="E69" t="str">
            <v>(DCWSL21)  #CJ04 DIA13xH11cm DOME &amp; WALNUT BASE, CLEAR/CITY (LSA)</v>
          </cell>
        </row>
        <row r="70">
          <cell r="A70" t="str">
            <v>5344-G1240-22-301</v>
          </cell>
          <cell r="B70" t="str">
            <v>G1240-22-301</v>
          </cell>
          <cell r="C70" t="str">
            <v>G1240-22-301</v>
          </cell>
          <cell r="E70" t="str">
            <v>LSA #CJ05 Ø22xH22cm CITY DOME &amp; WALNUT BASE CLEAR</v>
          </cell>
        </row>
        <row r="71">
          <cell r="A71" t="str">
            <v>5344-G1240-26-301</v>
          </cell>
          <cell r="B71" t="str">
            <v>G1240-26-301</v>
          </cell>
          <cell r="C71" t="str">
            <v>G1240-26-301</v>
          </cell>
          <cell r="E71" t="str">
            <v>LSA, #CJ08 DIAØ26xH25cm CITY DOME &amp; WALNUT STAND CLEAR</v>
          </cell>
        </row>
        <row r="72">
          <cell r="A72" t="str">
            <v>5344-G1240-32-301</v>
          </cell>
          <cell r="B72" t="str">
            <v>G1240-32-301</v>
          </cell>
          <cell r="C72" t="str">
            <v>G1240-32-301</v>
          </cell>
          <cell r="E72" t="str">
            <v>#CJ06 DIA32xH29.5cm DOME &amp; WALNUT BASE, CLEAR/CITY (LSA)</v>
          </cell>
        </row>
        <row r="73">
          <cell r="A73" t="str">
            <v>5344-G1242-00-301</v>
          </cell>
          <cell r="C73" t="str">
            <v>G1242-00-301</v>
          </cell>
          <cell r="E73" t="str">
            <v>(DCWSL19) #IV08 DIA24.5xH26.5cm PUNCH BOWL SET W/ASH LID DIA23cm, CLEAR/IVALO (LSA)</v>
          </cell>
        </row>
        <row r="74">
          <cell r="A74" t="str">
            <v>5344-G1284-09-301B</v>
          </cell>
          <cell r="B74" t="str">
            <v>G1284-09-301B</v>
          </cell>
          <cell r="C74" t="str">
            <v>G1284-09-301B</v>
          </cell>
          <cell r="E74" t="str">
            <v>H8.5xW6.5cm, 240ml WHITE WINE GLASS, CLEAR/OTIS (2/SET) (SELL BY SET)</v>
          </cell>
        </row>
        <row r="75">
          <cell r="A75" t="str">
            <v>5344-G1284-11-301</v>
          </cell>
          <cell r="B75" t="str">
            <v>OF03</v>
          </cell>
          <cell r="C75" t="str">
            <v>G1284-11-301</v>
          </cell>
          <cell r="E75" t="str">
            <v>(WSL19)(PX/PC, SELL IN BOX OF 4PCS) H8.5xW6.5cm, 310ml RED WINE GLASS, CLEAR/OTIS (LSA) (4/SET) (SELL BY SET)</v>
          </cell>
        </row>
        <row r="76">
          <cell r="A76" t="str">
            <v>5344-G1285-22-301</v>
          </cell>
          <cell r="C76" t="str">
            <v>G1285-22-301</v>
          </cell>
          <cell r="E76" t="str">
            <v>(DCWSL19) #CM04 H22xW25.5xD15.5cm CHAMPAGNE BUCKET, CLEAR/CELEBRATE (LSA)</v>
          </cell>
        </row>
        <row r="77">
          <cell r="A77" t="str">
            <v>5344-G1285-27-301</v>
          </cell>
          <cell r="B77" t="str">
            <v>G1285-27-301</v>
          </cell>
          <cell r="C77" t="str">
            <v>G1285-27-301</v>
          </cell>
          <cell r="E77" t="str">
            <v>(WSL19) #CM05 H27xW29xD16cm DUAL CHAMPAGNE BUCKET, CLEAR/CELEBRATE (LSA)</v>
          </cell>
        </row>
        <row r="78">
          <cell r="A78" t="str">
            <v>5344-G1291-12-301</v>
          </cell>
          <cell r="B78" t="str">
            <v>CU12</v>
          </cell>
          <cell r="C78" t="str">
            <v>G1291-12-301</v>
          </cell>
          <cell r="E78" t="str">
            <v>(DCWSL19) #CU12 DIA22xH24.5cm BOWL W/ASH HDL, CLEAR/CIRCLE (LSA)</v>
          </cell>
        </row>
        <row r="79">
          <cell r="A79" t="str">
            <v>5344-G1291-16-301</v>
          </cell>
          <cell r="B79" t="str">
            <v>CU13</v>
          </cell>
          <cell r="C79" t="str">
            <v>G1291-16-301</v>
          </cell>
          <cell r="E79" t="str">
            <v>(DCWSL21)  #CU13 DIA24xH14.5cm CONTAINER W/ASH HDL, CLEAR/CIRCLE (LSA)</v>
          </cell>
        </row>
        <row r="80">
          <cell r="A80" t="str">
            <v>5344-G1293-13-301</v>
          </cell>
          <cell r="B80" t="str">
            <v>UT01</v>
          </cell>
          <cell r="C80" t="str">
            <v>G1293-13-301</v>
          </cell>
          <cell r="E80" t="str">
            <v>(DCWSL19)(ID-MOQ:4) #UT01 18.5cm UTILITY POT &amp; LEATHER HDL, CLEAR (LSA)</v>
          </cell>
        </row>
        <row r="81">
          <cell r="A81" t="str">
            <v>5344-G1326-27-301</v>
          </cell>
          <cell r="B81" t="str">
            <v>UT79</v>
          </cell>
          <cell r="C81" t="str">
            <v>G1326-27-301</v>
          </cell>
          <cell r="E81" t="str">
            <v>(IDMOQ2PCS) #UT79, DIA27cm CLEAR BOWL &amp; ASH SERVERS, UTILITY (LSA) 1PC/CTN</v>
          </cell>
        </row>
        <row r="82">
          <cell r="A82" t="str">
            <v>5344-G136-31-301</v>
          </cell>
          <cell r="B82" t="str">
            <v>OO02</v>
          </cell>
          <cell r="C82" t="str">
            <v>G136-31-301</v>
          </cell>
          <cell r="E82" t="str">
            <v>(DCWSL21)  #OO02 0.88ltr GLASS DECANTER, CLEAR/ONO (LSA)</v>
          </cell>
        </row>
        <row r="83">
          <cell r="A83" t="str">
            <v>5344-G1367-08-301</v>
          </cell>
          <cell r="C83" t="str">
            <v>G1367-08-301</v>
          </cell>
          <cell r="E83" t="str">
            <v>(DCWSL19) #CV01 DIA8xH6.5cm CONTAINER W/ASH LID, CLEAR/CONNECT (LSA)</v>
          </cell>
        </row>
        <row r="84">
          <cell r="A84" t="str">
            <v>5344-G1369-20-985</v>
          </cell>
          <cell r="B84" t="str">
            <v>G1369-20-985</v>
          </cell>
          <cell r="C84" t="str">
            <v>G1369-20-985</v>
          </cell>
          <cell r="E84" t="str">
            <v>550ml BALLON WINE GLASS, CLEAR/MOYA (LSA) 2PCS/SET (SELL BY SET)</v>
          </cell>
        </row>
        <row r="85">
          <cell r="A85" t="str">
            <v>5344-G1389-15-200</v>
          </cell>
          <cell r="B85" t="str">
            <v>G1389-15-200</v>
          </cell>
          <cell r="C85" t="str">
            <v>G1389-15-200</v>
          </cell>
          <cell r="E85" t="str">
            <v>(IDMOQ12) LSA #G1389-15-200 #GN03 GIN BALLOON GLASS 420ML CLEAR  (2PCS/CTN)</v>
          </cell>
        </row>
        <row r="86">
          <cell r="A86" t="str">
            <v>5344-G1389-15-359</v>
          </cell>
          <cell r="B86" t="str">
            <v>G1389-15-359</v>
          </cell>
          <cell r="C86" t="str">
            <v>G1389-15-359</v>
          </cell>
          <cell r="E86" t="str">
            <v>(DC25) LSA, G1389-15-359, GIN BALLOON GLASS 420ML PLATINUM X2 (ID)</v>
          </cell>
        </row>
        <row r="87">
          <cell r="A87" t="str">
            <v>5344-G1389-15-759</v>
          </cell>
          <cell r="B87" t="str">
            <v>G1389-15-759</v>
          </cell>
          <cell r="C87" t="str">
            <v>G1389-15-759</v>
          </cell>
          <cell r="E87" t="str">
            <v>(DC25) (IDMOQ6PCS) #GN12, 420ml GIN BALLOON GLASS, COPPER (LSA) 2PCS/SET</v>
          </cell>
        </row>
        <row r="88">
          <cell r="A88" t="str">
            <v>5344-G1437-80-301</v>
          </cell>
          <cell r="B88" t="str">
            <v>G1437-80-301</v>
          </cell>
          <cell r="C88" t="str">
            <v>G1437-80-301</v>
          </cell>
          <cell r="E88" t="str">
            <v>(MOQ:4) LSA #OO14, 2.25L ONO JUG CLEAR (6PCS/CTN)</v>
          </cell>
        </row>
        <row r="89">
          <cell r="A89" t="str">
            <v>5344-G1468-24-301</v>
          </cell>
          <cell r="B89" t="str">
            <v>G1468-24-301</v>
          </cell>
          <cell r="C89" t="str">
            <v>G1468-24-301</v>
          </cell>
          <cell r="E89" t="str">
            <v>(IDMOQ16PCS) #BL03, 680ml GIN BALLOON GLASS (LSA) 4PCS/SET</v>
          </cell>
        </row>
        <row r="90">
          <cell r="A90" t="str">
            <v>5344-G1472-25-200</v>
          </cell>
          <cell r="B90" t="str">
            <v>G1472-25-200</v>
          </cell>
          <cell r="C90" t="str">
            <v>G1472-25-200</v>
          </cell>
          <cell r="E90" t="str">
            <v>LSA, G1472-25-200, GIN GRAND BALLOON GLASS 690ML CLEAR X2 (ID)</v>
          </cell>
        </row>
        <row r="91">
          <cell r="A91" t="str">
            <v>5344-G1500-28-301</v>
          </cell>
          <cell r="B91" t="str">
            <v>G1500-28-301</v>
          </cell>
          <cell r="C91" t="str">
            <v>G1500-28-301</v>
          </cell>
          <cell r="E91" t="str">
            <v>LSA G1500-28-301 #IV12 ASH STAND &amp; DOME CLEAR/IVALO DIA28cmxHT23cm  (2PCS/CTN)</v>
          </cell>
        </row>
        <row r="92">
          <cell r="A92" t="str">
            <v>5344-G1551-19-610</v>
          </cell>
          <cell r="B92" t="str">
            <v>G1551-19-610</v>
          </cell>
          <cell r="C92" t="str">
            <v>G1551-19-610</v>
          </cell>
          <cell r="E92" t="str">
            <v>(IDPOA) LSA H19cm UTILITY VASE, SAPPHIRE</v>
          </cell>
        </row>
        <row r="93">
          <cell r="A93" t="str">
            <v>5344-G1551-19-835</v>
          </cell>
          <cell r="B93" t="str">
            <v>G1551-19-835</v>
          </cell>
          <cell r="C93" t="str">
            <v>G1551-19-835</v>
          </cell>
          <cell r="E93" t="str">
            <v>(IDPOA) LSA H19cm UTILITY VASE, AMBER</v>
          </cell>
        </row>
        <row r="94">
          <cell r="A94" t="str">
            <v>5344-G1563-14-301</v>
          </cell>
          <cell r="B94" t="str">
            <v>G1563-14-301</v>
          </cell>
          <cell r="C94" t="str">
            <v>G1563-14-301</v>
          </cell>
          <cell r="E94" t="str">
            <v>(IDMOQ12PCS) #RU01, 10x10xH10.5cm, 380ml BALLOON TUMBLER, CLEAR, RUM (LSA) 2PCS/SET</v>
          </cell>
        </row>
        <row r="95">
          <cell r="A95" t="str">
            <v>5344-G1592-26-991</v>
          </cell>
          <cell r="B95" t="str">
            <v>SZ58</v>
          </cell>
          <cell r="C95" t="str">
            <v>G1592-26-991</v>
          </cell>
          <cell r="E95" t="str">
            <v>(IDMOQ3PCS) #SZ58, DIA26cm CLEAR ARCH BOWL, SERVE (LSA) 1PC/CTN</v>
          </cell>
        </row>
        <row r="96">
          <cell r="A96" t="str">
            <v>5344-G1592-30-991</v>
          </cell>
          <cell r="B96" t="str">
            <v>SZ59</v>
          </cell>
          <cell r="C96" t="str">
            <v>G1592-30-991</v>
          </cell>
          <cell r="E96" t="str">
            <v>(IDMOQ3PCS) #SZ59, DIA30cm CLEAR ARCH BOWL, SERVE (LSA) 1PC/CTN</v>
          </cell>
        </row>
        <row r="97">
          <cell r="A97" t="str">
            <v>5344-G1608-31-153</v>
          </cell>
          <cell r="B97" t="str">
            <v>G1608-31-153</v>
          </cell>
          <cell r="C97" t="str">
            <v>G1608-31-153</v>
          </cell>
          <cell r="E97" t="str">
            <v>LSA, G1608-31-153, BOULDER VASE H31CM CHALK THREAD (ID)</v>
          </cell>
        </row>
        <row r="98">
          <cell r="A98" t="str">
            <v>5344-G1612-43-301</v>
          </cell>
          <cell r="B98" t="str">
            <v>G1612-43-301</v>
          </cell>
          <cell r="C98" t="str">
            <v>G1612-43-301</v>
          </cell>
          <cell r="E98" t="str">
            <v>(IDMOQ2) #VO04 W14xH30.5cm, 1.2ltr JUG, VOID (LSA) 1PC/CTN</v>
          </cell>
        </row>
        <row r="99">
          <cell r="A99" t="str">
            <v>5344-G1618-16-301</v>
          </cell>
          <cell r="B99" t="str">
            <v>G1618-16-301</v>
          </cell>
          <cell r="C99" t="str">
            <v>G1618-16-301</v>
          </cell>
          <cell r="E99" t="str">
            <v>(IDMOQ24PCS) #BG06, 440ml PILSNER GLASS, CLEAR, BOROUGH (LSA) 4PCS/SET</v>
          </cell>
        </row>
        <row r="100">
          <cell r="A100" t="str">
            <v>5344-G1618-22-301</v>
          </cell>
          <cell r="B100" t="str">
            <v>G1618-22-301</v>
          </cell>
          <cell r="C100" t="str">
            <v>G1618-22-301</v>
          </cell>
          <cell r="E100" t="str">
            <v>(IDMOQ24PCS) #BG05, 625ml CRAFT BEER GLASS, CLEAR, BOROUGH (LSA) 4PCS/SET</v>
          </cell>
        </row>
        <row r="101">
          <cell r="A101" t="str">
            <v>5344-G1619-09-301</v>
          </cell>
          <cell r="B101" t="str">
            <v>G1619-09-301</v>
          </cell>
          <cell r="C101" t="str">
            <v>G1619-09-301</v>
          </cell>
          <cell r="E101" t="str">
            <v>(IDMOQ24PCS) #BG07, 240ml COCKTAIL GLASS SAUCER, CLEAR, BOROUGH (LSA) 4PCS/SET</v>
          </cell>
        </row>
        <row r="102">
          <cell r="A102" t="str">
            <v>5344-G1620-24-301</v>
          </cell>
          <cell r="B102" t="str">
            <v>G1620-24-301</v>
          </cell>
          <cell r="C102" t="str">
            <v>G1620-24-301</v>
          </cell>
          <cell r="E102" t="str">
            <v>(IDMOQ24PCS) #BG09, 680ml BALLOON GLASS, CLEAR, BOROUGH (LSA) 4PCS/SET</v>
          </cell>
        </row>
        <row r="103">
          <cell r="A103" t="str">
            <v>5344-G1633-25-301</v>
          </cell>
          <cell r="B103" t="str">
            <v>G1633-25-301</v>
          </cell>
          <cell r="C103" t="str">
            <v>G1633-25-301</v>
          </cell>
          <cell r="E103" t="str">
            <v>LSA G1633-25-301 #LW30 LOTTA PEDESTRAL BOWL CLEAR &amp; ASH BASE DIAØ25cm, 2'S/CTN (IDPOA)</v>
          </cell>
        </row>
        <row r="104">
          <cell r="A104" t="str">
            <v>5344-G1635-02-301</v>
          </cell>
          <cell r="B104" t="str">
            <v>VD01</v>
          </cell>
          <cell r="C104" t="str">
            <v>G1635-02-301</v>
          </cell>
          <cell r="E104" t="str">
            <v>(IDMOQ6SETS) #VD01, 4.5xH12cm, SET OF 2PCS, 50ml SHOT GLASS, CLEAR, VODKA (LSA) 1SET/CTN</v>
          </cell>
        </row>
        <row r="105">
          <cell r="A105" t="str">
            <v>5344-G1635-04-301</v>
          </cell>
          <cell r="B105" t="str">
            <v>G1635-04-301</v>
          </cell>
          <cell r="C105" t="str">
            <v>G1635-04-301</v>
          </cell>
          <cell r="E105" t="str">
            <v>50ml / 2oz VODKA SHOT GLASS, CLEAR (LSA) 4PCS/SET (SELL BY SET)</v>
          </cell>
        </row>
        <row r="106">
          <cell r="A106" t="str">
            <v>5344-G1646-00-301</v>
          </cell>
          <cell r="B106" t="str">
            <v>G1646-00-301</v>
          </cell>
          <cell r="C106" t="str">
            <v>G1646-00-301</v>
          </cell>
          <cell r="E106" t="str">
            <v>(IDMOQ2SETS) #BI16, WHISKY SET, CLEAR, BORIS (LSA) 1SET/CTN</v>
          </cell>
        </row>
        <row r="107">
          <cell r="A107" t="str">
            <v>5344-G1655-07-610</v>
          </cell>
          <cell r="B107" t="str">
            <v>G1655-07-610</v>
          </cell>
          <cell r="C107" t="str">
            <v>G1655-07-610</v>
          </cell>
          <cell r="E107" t="str">
            <v>(ID) LSA #RT07, H7CM ROTUNDA TEALIGHT HOLDER/VASE, SAPPHIRE (4PCS/CTN)</v>
          </cell>
        </row>
        <row r="108">
          <cell r="A108" t="str">
            <v>5344-G1655-14-301</v>
          </cell>
          <cell r="B108" t="str">
            <v>G1655-14-301</v>
          </cell>
          <cell r="C108" t="str">
            <v>G1655-14-301</v>
          </cell>
          <cell r="E108" t="str">
            <v>(ID) LSA #RT04 ROTUNDA H14cm WIDE VASE CLEAR (3PCS/CTN)</v>
          </cell>
        </row>
        <row r="109">
          <cell r="A109" t="str">
            <v>5344-G1655-14-610</v>
          </cell>
          <cell r="B109" t="str">
            <v>G1655-14-610</v>
          </cell>
          <cell r="C109" t="str">
            <v>G1655-14-610</v>
          </cell>
          <cell r="E109" t="str">
            <v>LSA #RT10 ROTUNDA WIDE VASE H14CM SAPPHIRE (3PCS/CTN)</v>
          </cell>
        </row>
        <row r="110">
          <cell r="A110" t="str">
            <v>5344-G1655-15-610</v>
          </cell>
          <cell r="B110" t="str">
            <v>G1655-15-610</v>
          </cell>
          <cell r="C110" t="str">
            <v>G1655-15-610</v>
          </cell>
          <cell r="E110" t="str">
            <v>(ID) LSA #RT08, H15CM ROTUNDA VASE, SAPPHIRE (4PCS/CTN)</v>
          </cell>
        </row>
        <row r="111">
          <cell r="A111" t="str">
            <v>5344-G1655-20-610</v>
          </cell>
          <cell r="B111" t="str">
            <v>G1655-20-610</v>
          </cell>
          <cell r="C111" t="str">
            <v>G1655-20-610</v>
          </cell>
          <cell r="E111" t="str">
            <v>LSA #RT09 ROTUNDA VASE H20CM SAPPHIRE (3PCS/CTN)</v>
          </cell>
        </row>
        <row r="112">
          <cell r="A112" t="str">
            <v>5344-G1655-26-610</v>
          </cell>
          <cell r="B112" t="str">
            <v>G1655-26-610</v>
          </cell>
          <cell r="C112" t="str">
            <v>G1655-26-610</v>
          </cell>
          <cell r="E112" t="str">
            <v>LSA #RT11 ROTUNDA LANTERN VASE H26CM SAPPHIRE (3PCS/CTN)</v>
          </cell>
        </row>
        <row r="113">
          <cell r="A113" t="str">
            <v>5344-G1655-37-610</v>
          </cell>
          <cell r="B113" t="str">
            <v>G1655-37-610</v>
          </cell>
          <cell r="C113" t="str">
            <v>G1655-37-610</v>
          </cell>
          <cell r="E113" t="str">
            <v>(ID) LSA #RT12, ROTUNDA VASE H37CM SAPPHIRE (2PCS/CTN)</v>
          </cell>
        </row>
        <row r="114">
          <cell r="A114" t="str">
            <v>5344-G1662-08-140</v>
          </cell>
          <cell r="B114" t="str">
            <v>G1662-08-140</v>
          </cell>
          <cell r="C114" t="str">
            <v>G1662-08-140</v>
          </cell>
          <cell r="E114" t="str">
            <v>LSA, G1662-08-140, EPOQUE TEALIGHT HOLDER H8.5CM SAPPHIRE/LUSTRE (ID)</v>
          </cell>
        </row>
        <row r="115">
          <cell r="A115" t="str">
            <v>5344-G1662-08-141</v>
          </cell>
          <cell r="B115" t="str">
            <v>G1662-08-141</v>
          </cell>
          <cell r="C115" t="str">
            <v>G1662-08-141</v>
          </cell>
          <cell r="E115" t="str">
            <v>LSA, G1662-08-141, EPOQUE TEALIGHT HOLDER H8.5CM AMBER/LUSTRE (ID)</v>
          </cell>
        </row>
        <row r="116">
          <cell r="A116" t="str">
            <v>5344-G1662-08-142</v>
          </cell>
          <cell r="B116" t="str">
            <v>G1662-08-142</v>
          </cell>
          <cell r="C116" t="str">
            <v>G1662-08-142</v>
          </cell>
          <cell r="E116" t="str">
            <v>LSA, G1662-08-142, EPOQUE TEALIGHT HOLDER H8.5CM PEACOCK/LUSTRE (ID)</v>
          </cell>
        </row>
        <row r="117">
          <cell r="A117" t="str">
            <v>5344-G1663-13-140</v>
          </cell>
          <cell r="B117" t="str">
            <v>G1663-13-140</v>
          </cell>
          <cell r="C117" t="str">
            <v>G1663-13-140</v>
          </cell>
          <cell r="E117" t="str">
            <v>LSA #EQ13, H13.5cm VASE, SAPPHIRE/LUSTRE, EPOQUE 3PC/CTN</v>
          </cell>
        </row>
        <row r="118">
          <cell r="A118" t="str">
            <v>5344-G1663-13-141</v>
          </cell>
          <cell r="B118" t="str">
            <v>G1663-13-141</v>
          </cell>
          <cell r="C118" t="str">
            <v>G1663-13-141</v>
          </cell>
          <cell r="E118" t="str">
            <v>(DC25) LSA #EQ12, EPOQUE VASE H13.5CM AMBER/LUSTRE 3PCS/CTN</v>
          </cell>
        </row>
        <row r="119">
          <cell r="A119" t="str">
            <v>5344-G1663-18-141</v>
          </cell>
          <cell r="B119" t="str">
            <v>G1663-18-141</v>
          </cell>
          <cell r="C119" t="str">
            <v>G1663-18-141</v>
          </cell>
          <cell r="E119" t="str">
            <v>LSA #EQ14, H18cm VASE, AMBER/LUSTRE, EPOQUE 1PC/CTN</v>
          </cell>
        </row>
        <row r="120">
          <cell r="A120" t="str">
            <v>5344-G1663-18-142</v>
          </cell>
          <cell r="B120" t="str">
            <v>G1663-18-142</v>
          </cell>
          <cell r="C120" t="str">
            <v>G1663-18-142</v>
          </cell>
          <cell r="E120" t="str">
            <v>LSA #EQ15, H18cm VASE, PEACOCK/LUSTRE, EPOQUE 1PC/CTN</v>
          </cell>
        </row>
        <row r="121">
          <cell r="A121" t="str">
            <v>5344-G1664-30-140</v>
          </cell>
          <cell r="B121" t="str">
            <v>G1664-30-140</v>
          </cell>
          <cell r="C121" t="str">
            <v>G1664-30-140</v>
          </cell>
          <cell r="E121" t="str">
            <v>LSA, G1664-30-140, EPOQUE VASE H30CM SAPPHIRE/LUSTRE (ID)</v>
          </cell>
        </row>
        <row r="122">
          <cell r="A122" t="str">
            <v>5344-G1664-48-142</v>
          </cell>
          <cell r="B122" t="str">
            <v>G1664-48-142</v>
          </cell>
          <cell r="C122" t="str">
            <v>G1664-48-142</v>
          </cell>
          <cell r="E122" t="str">
            <v>LSA, G1664-48-142, EPOQUE VASE H48CM PEACOCK/LUSTRE (ID)</v>
          </cell>
        </row>
        <row r="123">
          <cell r="A123" t="str">
            <v>5344-G1677-00-301</v>
          </cell>
          <cell r="B123" t="str">
            <v>PU03</v>
          </cell>
          <cell r="C123" t="str">
            <v>G1677-00-301</v>
          </cell>
          <cell r="E123" t="str">
            <v>(IDMOQ2SETS) #PU03, L37.5cm PLATEAU DUO SET, CLEAR/ASH/CORK (LSA) 1SET/CTN</v>
          </cell>
        </row>
        <row r="124">
          <cell r="A124" t="str">
            <v>5344-G1688-36-301</v>
          </cell>
          <cell r="B124" t="str">
            <v>G1688-36-301</v>
          </cell>
          <cell r="C124" t="str">
            <v>G1688-36-301</v>
          </cell>
          <cell r="E124" t="str">
            <v>LSA, G1688-36-301, CASK WHISKY OBLONG DECANTER 1L CLEAR (ID)</v>
          </cell>
        </row>
        <row r="125">
          <cell r="A125" t="str">
            <v>5344-G1690-36-301</v>
          </cell>
          <cell r="B125" t="str">
            <v>G1690-36-301</v>
          </cell>
          <cell r="C125" t="str">
            <v>G1690-36-301</v>
          </cell>
          <cell r="E125" t="str">
            <v>LSA, G1690-36-301, CASK WHISKY RECTANGLE DECANTER 1L CLEAR (ID)</v>
          </cell>
        </row>
        <row r="126">
          <cell r="A126" t="str">
            <v>5344-G1691-36-301</v>
          </cell>
          <cell r="B126" t="str">
            <v>G1691-36-301</v>
          </cell>
          <cell r="C126" t="str">
            <v>G1691-36-301</v>
          </cell>
          <cell r="E126" t="str">
            <v>LSA, G1691-36-301, CASK WHISKY SQUARE DECANTER 1L CLEAR (ID)</v>
          </cell>
        </row>
        <row r="127">
          <cell r="A127" t="str">
            <v>5344-G1706-08-895</v>
          </cell>
          <cell r="B127" t="str">
            <v>G1706-08-895</v>
          </cell>
          <cell r="C127" t="str">
            <v>G1706-08-895</v>
          </cell>
          <cell r="E127" t="str">
            <v>(ID) LSA #LG11 LAGOON H 8cm TEALIGHT HOLDER/VASE SEA GREEN (4PCS/CTN)</v>
          </cell>
        </row>
        <row r="128">
          <cell r="A128" t="str">
            <v>5344-G171-39-992</v>
          </cell>
          <cell r="B128" t="str">
            <v>QU03</v>
          </cell>
          <cell r="C128" t="str">
            <v>G171-39-992</v>
          </cell>
          <cell r="E128" t="str">
            <v>#QU03 1.1ltr GLASS DECANTER, CLEAR/QUAD (LSA)</v>
          </cell>
        </row>
        <row r="129">
          <cell r="A129" t="str">
            <v>5344-G1711-29-148</v>
          </cell>
          <cell r="B129" t="str">
            <v>G1711-29-148</v>
          </cell>
          <cell r="C129" t="str">
            <v>G1711-29-148</v>
          </cell>
          <cell r="E129" t="str">
            <v>LSA #WR19 WICKER Ø29cm/H24.5cm DOME &amp; ASH BASE CLEAR (2PCS/CTN)</v>
          </cell>
        </row>
        <row r="130">
          <cell r="A130" t="str">
            <v>5344-G1712-24-148</v>
          </cell>
          <cell r="B130" t="str">
            <v>G1712-24-148</v>
          </cell>
          <cell r="C130" t="str">
            <v>G1712-24-148</v>
          </cell>
          <cell r="E130" t="str">
            <v>(MOQ:4) LSA #WR21 WICKER Ø15cm/H24.5cm CONTAINER &amp; LID CLEAR (6PCS/CTN)</v>
          </cell>
        </row>
        <row r="131">
          <cell r="A131" t="str">
            <v>5344-G1737-25-301</v>
          </cell>
          <cell r="B131" t="str">
            <v>G1737-25-301</v>
          </cell>
          <cell r="C131" t="str">
            <v>G1737-25-301</v>
          </cell>
          <cell r="E131" t="str">
            <v>LSA #LH01 SIGNATURE Ø19.5cm/H25.5cm CLOCHE DOME &amp; OAK BASE CAKE STAND</v>
          </cell>
        </row>
        <row r="132">
          <cell r="A132" t="str">
            <v>5344-G1738-30-301</v>
          </cell>
          <cell r="B132" t="str">
            <v>G1738-30-301</v>
          </cell>
          <cell r="C132" t="str">
            <v>G1738-30-301</v>
          </cell>
          <cell r="E132" t="str">
            <v>LSA #LH02 SIGNATURE Ø26cm/H30.5cm CLOCHE DOME &amp; OAK BASE CAKE STAND</v>
          </cell>
        </row>
        <row r="133">
          <cell r="A133" t="str">
            <v>5344-G1739-35-301</v>
          </cell>
          <cell r="B133" t="str">
            <v>G1739-35-301</v>
          </cell>
          <cell r="C133" t="str">
            <v>G1739-35-301</v>
          </cell>
          <cell r="E133" t="str">
            <v>LSA #LH03 SIGNATURE Ø21cm/H35.5cm CLOCHE PYRAMID DOME &amp; OAK BASE CAKE STAND</v>
          </cell>
        </row>
        <row r="134">
          <cell r="A134" t="str">
            <v>5344-G174-00-301</v>
          </cell>
          <cell r="C134" t="str">
            <v>G174-00-301</v>
          </cell>
          <cell r="E134" t="str">
            <v>(DCWSL19) #HZ01 0.95ltr GLASS DECANTER, CLEAR/HECTOR (LSA)</v>
          </cell>
        </row>
        <row r="135">
          <cell r="A135" t="str">
            <v>5344-G1745-12-301</v>
          </cell>
          <cell r="B135" t="str">
            <v>G1745-12-301</v>
          </cell>
          <cell r="C135" t="str">
            <v>G1745-12-301</v>
          </cell>
          <cell r="E135" t="str">
            <v>LSA #DI67 DINE CHEESE DOME &amp; OAK WDN BOARD L36.5xW16xH18cm</v>
          </cell>
        </row>
        <row r="136">
          <cell r="A136" t="str">
            <v>5344-G1747-09-301</v>
          </cell>
          <cell r="B136" t="str">
            <v>G1747-09-301</v>
          </cell>
          <cell r="C136" t="str">
            <v>G1747-09-301</v>
          </cell>
          <cell r="E136" t="str">
            <v>LSA #G1747-09-301 #AC01 ARC CLEAR 260ml TUMBLER (4PCS/CTN) (SELL BY CTN)</v>
          </cell>
        </row>
        <row r="137">
          <cell r="A137" t="str">
            <v>5344-G1747-14-126</v>
          </cell>
          <cell r="B137" t="str">
            <v>G1747-14-126</v>
          </cell>
          <cell r="C137" t="str">
            <v>G1747-14-126</v>
          </cell>
          <cell r="E137" t="str">
            <v>380ml ARC CONTRAST TUMBLER OCEAN (SET/2) (SELL BY SET)</v>
          </cell>
        </row>
        <row r="138">
          <cell r="A138" t="str">
            <v>5344-G1747-14-127</v>
          </cell>
          <cell r="B138" t="str">
            <v>G1747-14-127</v>
          </cell>
          <cell r="C138" t="str">
            <v>G1747-14-127</v>
          </cell>
          <cell r="E138" t="str">
            <v>380ml ARC CONTRAST TUMBLER MOSS (SET/2) (SELL BY SET)</v>
          </cell>
        </row>
        <row r="139">
          <cell r="A139" t="str">
            <v>5344-G1747-14-128</v>
          </cell>
          <cell r="B139" t="str">
            <v>G1747-14-128</v>
          </cell>
          <cell r="C139" t="str">
            <v>G1747-14-128</v>
          </cell>
          <cell r="E139" t="str">
            <v>380ml ARC CONTRAST TUMBLER MIST (SET/2) (SELL BY SET)</v>
          </cell>
        </row>
        <row r="140">
          <cell r="A140" t="str">
            <v>5344-G1747-14-129</v>
          </cell>
          <cell r="B140" t="str">
            <v>G1747-14-129</v>
          </cell>
          <cell r="C140" t="str">
            <v>G1747-14-129</v>
          </cell>
          <cell r="E140" t="str">
            <v>380ml ARC CONTRAST TUMBLER EARTH (SET/2) (SELL BY SET)</v>
          </cell>
        </row>
        <row r="141">
          <cell r="A141" t="str">
            <v>5344-G1747-14-301</v>
          </cell>
          <cell r="B141" t="str">
            <v>G1747-14-301</v>
          </cell>
          <cell r="C141" t="str">
            <v>G1747-14-301</v>
          </cell>
          <cell r="E141" t="str">
            <v>LSA #G1747-14-301 #AC02 ARC CLEAR 380ml TUMBLER (4PCS/CTN) (SELL BY CTN)</v>
          </cell>
        </row>
        <row r="142">
          <cell r="A142" t="str">
            <v>5344-G1748-09-301</v>
          </cell>
          <cell r="B142" t="str">
            <v>G1748-09-301</v>
          </cell>
          <cell r="C142" t="str">
            <v>G1748-09-301</v>
          </cell>
          <cell r="E142" t="str">
            <v>LSA #G1748-09-301 #AC06 ARC CLEAR 240ml CHAMPAGNE FLUTE (4PCS/CTN) (SELL BY CTN)</v>
          </cell>
        </row>
        <row r="143">
          <cell r="A143" t="str">
            <v>5344-G1748-12-301</v>
          </cell>
          <cell r="B143" t="str">
            <v>G1748-12-301</v>
          </cell>
          <cell r="C143" t="str">
            <v>G1748-12-301</v>
          </cell>
          <cell r="E143" t="str">
            <v>LSA #G1748-12-301 ARC CLEAR 340ml WINE GLASS (4PCS/CTN) (SELL BY CTN)</v>
          </cell>
        </row>
        <row r="144">
          <cell r="A144" t="str">
            <v>5344-G175-28-992</v>
          </cell>
          <cell r="C144" t="str">
            <v>G175-28-992</v>
          </cell>
          <cell r="E144" t="str">
            <v>(DCWSL19) #LS02 0.8ltr DECANTER, CLEAR/LISBON (LSA)</v>
          </cell>
        </row>
        <row r="145">
          <cell r="A145" t="str">
            <v>5344-G1753-07-165</v>
          </cell>
          <cell r="B145" t="str">
            <v>G1753-07-165</v>
          </cell>
          <cell r="C145" t="str">
            <v>G1753-07-165</v>
          </cell>
          <cell r="E145" t="str">
            <v>(ID) LSA #DP17, DAPPLE TEALIGHT HOLDER/VASE H7CM WATER BLUE (2PCS/CTN)</v>
          </cell>
        </row>
        <row r="146">
          <cell r="A146" t="str">
            <v>5344-G197-29-992</v>
          </cell>
          <cell r="B146" t="str">
            <v>G197-29-992</v>
          </cell>
          <cell r="C146" t="str">
            <v>G197-29-992</v>
          </cell>
          <cell r="E146" t="str">
            <v>(WSL19) #BI09 / #B109, BORIS WATER JUG (LSA)</v>
          </cell>
        </row>
        <row r="147">
          <cell r="A147" t="str">
            <v>5344-G201-60-301</v>
          </cell>
          <cell r="C147" t="str">
            <v>G201-60-301</v>
          </cell>
          <cell r="E147" t="str">
            <v>(DCWSL19)(*New Code:G201-60-991) #BR46 1.7ltr GLASS WATER JUG, CLEAR/TAPERED (LSA)</v>
          </cell>
        </row>
        <row r="148">
          <cell r="A148" t="str">
            <v>5344-G205-96-335</v>
          </cell>
          <cell r="C148" t="str">
            <v>G205-96-335</v>
          </cell>
          <cell r="E148" t="str">
            <v>(DCWSL19) 2.7ltr GLASS SPIRAL WATER JUG, CLEAR/MALIKA (LSA)</v>
          </cell>
        </row>
        <row r="149">
          <cell r="A149" t="str">
            <v>5344-G211-36-992</v>
          </cell>
          <cell r="B149" t="str">
            <v>BS02</v>
          </cell>
          <cell r="C149" t="str">
            <v>G211-36-992</v>
          </cell>
          <cell r="E149" t="str">
            <v>(IDMOQ6) #BS02, W16xH16cm, 1.0ltr  JUG, BASIS (LSA) 1PC/CTN</v>
          </cell>
        </row>
        <row r="150">
          <cell r="A150" t="str">
            <v>5344-G211-54-371</v>
          </cell>
          <cell r="C150" t="str">
            <v>G211-54-371</v>
          </cell>
          <cell r="E150" t="str">
            <v>(DCWSL19) #BS07 1.5ltr GLASS JUG, TURQUOISE COLOR/BASIS (LSA)</v>
          </cell>
        </row>
        <row r="151">
          <cell r="A151" t="str">
            <v>5344-G211-54-372</v>
          </cell>
          <cell r="B151" t="str">
            <v>BS09</v>
          </cell>
          <cell r="C151" t="str">
            <v>G211-54-372</v>
          </cell>
          <cell r="E151" t="str">
            <v>(DCWSL19) #BS09 1.5ltr GLASS JUG, VIOLET COLOR/BASIS (LSA)</v>
          </cell>
        </row>
        <row r="152">
          <cell r="A152" t="str">
            <v>5344-G211-54-389</v>
          </cell>
          <cell r="B152" t="str">
            <v>BS05</v>
          </cell>
          <cell r="C152" t="str">
            <v>G211-54-389</v>
          </cell>
          <cell r="E152" t="str">
            <v>(DCWSL19) #BS05 1.5ltr GLASS JUG, LIME COLOR/BASIS (LSA)</v>
          </cell>
        </row>
        <row r="153">
          <cell r="A153" t="str">
            <v>5344-G211-54-391</v>
          </cell>
          <cell r="B153" t="str">
            <v>BS08</v>
          </cell>
          <cell r="C153" t="str">
            <v>G211-54-391</v>
          </cell>
          <cell r="E153" t="str">
            <v>(WSL19) #BS08 1.5ltr GLASS JUG, WHITE COLOR/BASIS (LSA)</v>
          </cell>
        </row>
        <row r="154">
          <cell r="A154" t="str">
            <v>5344-G211-54-804</v>
          </cell>
          <cell r="C154" t="str">
            <v>G211-54-804</v>
          </cell>
          <cell r="E154" t="str">
            <v>(DCWSL19) #BS06 1.5ltr GLASS JUG, RED COLOR/BASIS (LSA)</v>
          </cell>
        </row>
        <row r="155">
          <cell r="A155" t="str">
            <v>5344-G211-54-909</v>
          </cell>
          <cell r="C155" t="str">
            <v>G211-54-909</v>
          </cell>
          <cell r="E155" t="str">
            <v>(DCWSL19) #BS04 1.5ltr GLASS JUG, BLACK COLOR/BASIS (LSA)</v>
          </cell>
        </row>
        <row r="156">
          <cell r="A156" t="str">
            <v>5344-G211-54-992</v>
          </cell>
          <cell r="B156" t="str">
            <v>G211-54-992</v>
          </cell>
          <cell r="C156" t="str">
            <v>G211-54-992</v>
          </cell>
          <cell r="E156" t="str">
            <v>(ID) LSA #BS03 BASIS 1.5ltr JUG CLEAR (6PCS/CTN)</v>
          </cell>
        </row>
        <row r="157">
          <cell r="A157" t="str">
            <v>5344-G216-14-301</v>
          </cell>
          <cell r="B157" t="str">
            <v>OO10</v>
          </cell>
          <cell r="C157" t="str">
            <v>G216-14-301</v>
          </cell>
          <cell r="E157" t="str">
            <v>(DCWSL21) # OO10 0.4ltr JUG, CLEAR/ONO (LSA)</v>
          </cell>
        </row>
        <row r="158">
          <cell r="A158" t="str">
            <v>5344-G217-31-296</v>
          </cell>
          <cell r="C158" t="str">
            <v>G217-31-296</v>
          </cell>
          <cell r="E158" t="str">
            <v>(DCWSL19) #CX09 0.87ltr CARAFE, LIME/CENTRO (LSA)</v>
          </cell>
        </row>
        <row r="159">
          <cell r="A159" t="str">
            <v>5344-G225-27-985</v>
          </cell>
          <cell r="B159" t="str">
            <v>MV20</v>
          </cell>
          <cell r="C159" t="str">
            <v>G225-27-985</v>
          </cell>
          <cell r="E159" t="str">
            <v>(DCWSL19) #MV20 0.75ltr JUG, CLEAR/MOYA (LSA)</v>
          </cell>
        </row>
        <row r="160">
          <cell r="A160" t="str">
            <v>5344-G231-13-301</v>
          </cell>
          <cell r="C160" t="str">
            <v>G231-13-301</v>
          </cell>
          <cell r="E160" t="str">
            <v>(DCWSL20) #SZ01 350ml GLASS SAUCEBOAT &amp; SCOPE, CLEAR/SERVE COLL (LSA)</v>
          </cell>
        </row>
        <row r="161">
          <cell r="A161" t="str">
            <v>5344-G245-09-381</v>
          </cell>
          <cell r="B161" t="str">
            <v>SA13</v>
          </cell>
          <cell r="C161" t="str">
            <v>G245-09-381</v>
          </cell>
          <cell r="E161" t="str">
            <v>(DCWSL19)(*PX/PC,SELL BY SET) 250ml CHAMPAGNE SAUCER, PLATINUM/SAVOY (LSA) (2/SET)</v>
          </cell>
        </row>
        <row r="162">
          <cell r="A162" t="str">
            <v>5344-G259-19-991</v>
          </cell>
          <cell r="B162" t="str">
            <v>BR18</v>
          </cell>
          <cell r="C162" t="str">
            <v>G259-19-991</v>
          </cell>
          <cell r="E162" t="str">
            <v>(DCWSL19) #7142017 / #BR18 DIA17xH19cm GLASS ICE/CHAMPAGNE BUCKET, CLEAR/BAR (LSA)</v>
          </cell>
        </row>
        <row r="163">
          <cell r="A163" t="str">
            <v>5344-G259-26-991</v>
          </cell>
          <cell r="B163" t="str">
            <v>G259-26-991</v>
          </cell>
          <cell r="C163" t="str">
            <v>G259-26-991</v>
          </cell>
          <cell r="E163" t="str">
            <v>#BR17 DIA19xH26cm GLASS CHAMPAGNE BUCKET, CLEAR/BAR (LSA)</v>
          </cell>
        </row>
        <row r="164">
          <cell r="A164" t="str">
            <v>5344-G261-68-991</v>
          </cell>
          <cell r="B164" t="str">
            <v>G261-68-991</v>
          </cell>
          <cell r="C164" t="str">
            <v>G261-68-991</v>
          </cell>
          <cell r="E164" t="str">
            <v>#BR15 1.9ltr TAPERED JUG, BAR (LSA)</v>
          </cell>
        </row>
        <row r="165">
          <cell r="A165" t="str">
            <v>5344-G263-95-991</v>
          </cell>
          <cell r="B165" t="str">
            <v>G263-95-991</v>
          </cell>
          <cell r="C165" t="str">
            <v>G263-95-991</v>
          </cell>
          <cell r="E165" t="str">
            <v>#BR14 2.65ltr GLASS ICE LIP JUG, CLEAR/BAR (LSA) 2PCS/CTN</v>
          </cell>
        </row>
        <row r="166">
          <cell r="A166" t="str">
            <v>5344-G271-14-991</v>
          </cell>
          <cell r="B166" t="str">
            <v>BR12</v>
          </cell>
          <cell r="C166" t="str">
            <v>G271-14-991</v>
          </cell>
          <cell r="E166" t="str">
            <v>(*PRICE/PC,SELL BY SET OF 4) #BR12 400ml 'BAR' CLEAR LAGER GLASS (LSA) 4PCS/SET (SELL BY SET)</v>
          </cell>
        </row>
        <row r="167">
          <cell r="A167" t="str">
            <v>5344-G291-35-272</v>
          </cell>
          <cell r="C167" t="str">
            <v>G291-35-272</v>
          </cell>
          <cell r="E167" t="str">
            <v>(DCWSL19) DIA:35cm PLATTER, INDIGO LINEN (LSA)</v>
          </cell>
        </row>
        <row r="168">
          <cell r="A168" t="str">
            <v>5344-G291-35-658</v>
          </cell>
          <cell r="C168" t="str">
            <v>G291-35-658</v>
          </cell>
          <cell r="E168" t="str">
            <v>(DCWSL19) DIA:35cm PLATTER, WHITE LINEN (LSA)</v>
          </cell>
        </row>
        <row r="169">
          <cell r="A169" t="str">
            <v>5344-G291-35-659</v>
          </cell>
          <cell r="C169" t="str">
            <v>G291-35-659</v>
          </cell>
          <cell r="E169" t="str">
            <v>(DCWSL19) 35cm AURORA PLATTER, FLAME/SAPPHIRE (LSA)</v>
          </cell>
        </row>
        <row r="170">
          <cell r="A170" t="str">
            <v>5344-G291-35-966</v>
          </cell>
          <cell r="C170" t="str">
            <v>G291-35-966</v>
          </cell>
          <cell r="E170" t="str">
            <v>(DCWSL19) DIA35cm PLATTER, TAUPE LINEN (LSA)</v>
          </cell>
        </row>
        <row r="171">
          <cell r="A171" t="str">
            <v>5344-G294-14-301</v>
          </cell>
          <cell r="B171" t="str">
            <v>G294-14-301</v>
          </cell>
          <cell r="C171" t="str">
            <v>G294-14-301</v>
          </cell>
          <cell r="E171" t="str">
            <v>LSA, G294-14-301, UM01, HT:14cm UMBERTO GLASS VASE, CLEAR, 4PCS/CTN</v>
          </cell>
        </row>
        <row r="172">
          <cell r="A172" t="str">
            <v>5344-G294-15-301</v>
          </cell>
          <cell r="B172" t="str">
            <v>G294-15-301</v>
          </cell>
          <cell r="C172" t="str">
            <v>G294-15-301</v>
          </cell>
          <cell r="E172" t="str">
            <v>LSA, G294-15-301, UM02, HT:15cm UMBERTO GLASS VASE, CLEAR, 2PCS/CTN</v>
          </cell>
        </row>
        <row r="173">
          <cell r="A173" t="str">
            <v>5344-G297-24-301</v>
          </cell>
          <cell r="B173" t="str">
            <v>G297-24-301</v>
          </cell>
          <cell r="C173" t="str">
            <v>G297-24-301</v>
          </cell>
          <cell r="E173" t="str">
            <v>(IDMOQ:2) LSA, G297-24-301, UM03, HT:24cm UMBERTO GLASS VASE, CLEAR, 2PC/CTN</v>
          </cell>
        </row>
        <row r="174">
          <cell r="A174" t="str">
            <v>5344-G297-40-301</v>
          </cell>
          <cell r="B174" t="str">
            <v>G297-40-301</v>
          </cell>
          <cell r="C174" t="str">
            <v>G297-40-301</v>
          </cell>
          <cell r="E174" t="str">
            <v>(IDMOQ:2) LSA #G297-40-301, UM06, HT:40cm UMBERTO GLASS VASE, CLEAR, 2PC/CTN</v>
          </cell>
        </row>
        <row r="175">
          <cell r="A175" t="str">
            <v>5344-G302-06-987</v>
          </cell>
          <cell r="B175" t="str">
            <v>JA27</v>
          </cell>
          <cell r="C175" t="str">
            <v>G302-06-987</v>
          </cell>
          <cell r="E175" t="str">
            <v>(DCWSL19)(*PX/PC,SELL BY SET OF 4) JAZZ CHAMP FLUTE ASST BLACK DECORS (LSA) 4PCS/SET (SELL BY SET)</v>
          </cell>
        </row>
        <row r="176">
          <cell r="A176" t="str">
            <v>5344-G302-07-991</v>
          </cell>
          <cell r="B176" t="str">
            <v>G302-07-991</v>
          </cell>
          <cell r="C176" t="str">
            <v>G302-07-991</v>
          </cell>
          <cell r="E176" t="str">
            <v>(*PRICE/PC,SELL BY SET)  #BR21 200ml BAR HOLLOW STEM FLUTE, CLEAR X 2 (LSA) (SELL BY SET)</v>
          </cell>
        </row>
        <row r="177">
          <cell r="A177" t="str">
            <v>5344-G315-39-301</v>
          </cell>
          <cell r="C177" t="str">
            <v>G315-39-301</v>
          </cell>
          <cell r="E177" t="str">
            <v>(DCWSL19) #MQ03 39ml WINE GLASS, CLEAR/MIDI (LSA)</v>
          </cell>
        </row>
        <row r="178">
          <cell r="A178" t="str">
            <v>5344-G315-39-742</v>
          </cell>
          <cell r="C178" t="str">
            <v>G315-39-742</v>
          </cell>
          <cell r="E178" t="str">
            <v>(DCWSL19) H39cm WINE GLASS, PEACOCK/MIDI (LSA)</v>
          </cell>
        </row>
        <row r="179">
          <cell r="A179" t="str">
            <v>5344-G330-12-301</v>
          </cell>
          <cell r="C179" t="str">
            <v>G330-12-301</v>
          </cell>
          <cell r="E179" t="str">
            <v>(DCWSL19) H12cm DIA12cm VASE/CANDLEHOLDER, CLEAR/COLUMN (LSA)</v>
          </cell>
        </row>
        <row r="180">
          <cell r="A180" t="str">
            <v>5344-G330-36-301</v>
          </cell>
          <cell r="C180" t="str">
            <v>G330-36-301</v>
          </cell>
          <cell r="E180" t="str">
            <v>(DCWSL19) H36cm DIA17cm VASE/CANDLEHOLDER, CLEAR/COLUMN (LSA)</v>
          </cell>
        </row>
        <row r="181">
          <cell r="A181" t="str">
            <v>5344-G331-13-301</v>
          </cell>
          <cell r="B181" t="str">
            <v>G331-13-301</v>
          </cell>
          <cell r="C181" t="str">
            <v>G331-13-301</v>
          </cell>
          <cell r="E181" t="str">
            <v>#MI01 13cm GLASS CONTAINER WITH LID,  CLEAR/MAXI (LSA) 3PCS/CTN</v>
          </cell>
        </row>
        <row r="182">
          <cell r="A182" t="str">
            <v>5344-G331-18-301</v>
          </cell>
          <cell r="B182" t="str">
            <v>G331-18-301</v>
          </cell>
          <cell r="C182" t="str">
            <v>G331-18-301</v>
          </cell>
          <cell r="E182" t="str">
            <v>#MI02 18cm GLASS CONTAINER WITH LID, CLEAR/MAXI (LSA)</v>
          </cell>
        </row>
        <row r="183">
          <cell r="A183" t="str">
            <v>5344-G342-30-834</v>
          </cell>
          <cell r="C183" t="str">
            <v>G342-30-834</v>
          </cell>
          <cell r="E183" t="str">
            <v>(DCWSL19) H30cm CHAMPAGNE SAUCER, LIME/MIDI (LSA)</v>
          </cell>
        </row>
        <row r="184">
          <cell r="A184" t="str">
            <v>5344-G350-11-301</v>
          </cell>
          <cell r="B184" t="str">
            <v>G350-11-301</v>
          </cell>
          <cell r="C184" t="str">
            <v>G350-11-301</v>
          </cell>
          <cell r="E184" t="str">
            <v>LSA #FW01 11cm GLASS CLEAR SPRIG FLOWER VASE 4PCS/CTN</v>
          </cell>
        </row>
        <row r="185">
          <cell r="A185" t="str">
            <v>5344-G357-34-301</v>
          </cell>
          <cell r="C185" t="str">
            <v>G357-34-301</v>
          </cell>
          <cell r="E185" t="str">
            <v>(DCWSL19)  #MQ02 H34cm COCKTAIL/MARTINI GLASS, MIDI (LSA)</v>
          </cell>
        </row>
        <row r="186">
          <cell r="A186" t="str">
            <v>5344-G368-08-552</v>
          </cell>
          <cell r="B186" t="str">
            <v>LI20</v>
          </cell>
          <cell r="C186" t="str">
            <v>G368-08-552</v>
          </cell>
          <cell r="E186" t="str">
            <v>#LI20 H8.5cm TEALIGHT HOLDER, MOCHA LIGHT (LSA)</v>
          </cell>
        </row>
        <row r="187">
          <cell r="A187" t="str">
            <v>5344-G368-08-835</v>
          </cell>
          <cell r="B187" t="str">
            <v>LI19</v>
          </cell>
          <cell r="C187" t="str">
            <v>G368-08-835</v>
          </cell>
          <cell r="E187" t="str">
            <v>(WSL19) H8.5cm TEALIGHT HOLDER, AMBER LIGHT(LSA)</v>
          </cell>
        </row>
        <row r="188">
          <cell r="A188" t="str">
            <v>5344-G385-33-301</v>
          </cell>
          <cell r="B188" t="str">
            <v>G385-33-301</v>
          </cell>
          <cell r="C188" t="str">
            <v>G385-33-301</v>
          </cell>
          <cell r="E188" t="str">
            <v>#VI03 33/30cm GLASS PLATE &amp; DOME, CLEAR/VIENNA (LSA)</v>
          </cell>
        </row>
        <row r="189">
          <cell r="A189" t="str">
            <v>5344-G426-34-301</v>
          </cell>
          <cell r="C189" t="str">
            <v>G426-34-301</v>
          </cell>
          <cell r="E189" t="str">
            <v>(DCWSL19) #TO20 34cm, BOWL, CLEAR/TONDO (LSA)</v>
          </cell>
        </row>
        <row r="190">
          <cell r="A190" t="str">
            <v>5344-G429-32-301</v>
          </cell>
          <cell r="B190" t="str">
            <v>G429-32-301</v>
          </cell>
          <cell r="C190" t="str">
            <v>G429-32-301</v>
          </cell>
          <cell r="E190" t="str">
            <v>#FW15 H32cm GRAND POSY VASE, CLEAR/FLOWER (LSA) 2PCS/CTN</v>
          </cell>
        </row>
        <row r="191">
          <cell r="A191" t="str">
            <v>5344-G443-25-301</v>
          </cell>
          <cell r="B191" t="str">
            <v>G443-25-301</v>
          </cell>
          <cell r="C191" t="str">
            <v>G443-25-301</v>
          </cell>
          <cell r="E191" t="str">
            <v>(ID) #FW14 H25cm GRAND BOUQUET VASE, CLEAR/FLOWER (LSA)</v>
          </cell>
        </row>
        <row r="192">
          <cell r="A192" t="str">
            <v>5344-G459-00-381</v>
          </cell>
          <cell r="B192" t="str">
            <v>G459-00-381</v>
          </cell>
          <cell r="C192" t="str">
            <v>G459-00-381</v>
          </cell>
          <cell r="E192" t="str">
            <v>#FL02 0.81ltr FLASK DECANTER, CLEAR/PLAT NECK (LSA)</v>
          </cell>
        </row>
        <row r="193">
          <cell r="A193" t="str">
            <v>5344-G464-23-301</v>
          </cell>
          <cell r="C193" t="str">
            <v>G464-23-301</v>
          </cell>
          <cell r="E193" t="str">
            <v>(DCWSL19) H23.5cm VASE, CLEAR/VERONA (LSA)</v>
          </cell>
        </row>
        <row r="194">
          <cell r="A194" t="str">
            <v>5344-G474-01-985</v>
          </cell>
          <cell r="B194" t="str">
            <v>G474-01-985</v>
          </cell>
          <cell r="C194" t="str">
            <v>G474-01-985</v>
          </cell>
          <cell r="E194" t="str">
            <v>#MV19 50ml LIQUER GLASS, CLEAR/MOYA (LSA) 2PCS/SET (SELL BY SET)</v>
          </cell>
        </row>
        <row r="195">
          <cell r="A195" t="str">
            <v>5344-G474-04-985</v>
          </cell>
          <cell r="B195" t="str">
            <v>G474-04-985</v>
          </cell>
          <cell r="C195" t="str">
            <v>G474-04-985</v>
          </cell>
          <cell r="E195" t="str">
            <v>#MV17 170ml CHAMP FLUTE, CLEAR/MOYA (LSA) 2PCS/SET (SELL BY SET)</v>
          </cell>
        </row>
        <row r="196">
          <cell r="A196" t="str">
            <v>5344-G495-22-301</v>
          </cell>
          <cell r="B196" t="str">
            <v>G495-22-301</v>
          </cell>
          <cell r="C196" t="str">
            <v>G495-22-301</v>
          </cell>
          <cell r="E196" t="str">
            <v>#SZ08 DIA22cm SERVE TALL COMPORT, CLEAR (LSA)</v>
          </cell>
        </row>
        <row r="197">
          <cell r="A197" t="str">
            <v>5344-G503-23-301</v>
          </cell>
          <cell r="C197" t="str">
            <v>G503-23-301</v>
          </cell>
          <cell r="E197" t="str">
            <v>(DCWSL19) #SZ09 23cm GLASS TALL BOWL, CLEAR/SERVE (LSA)</v>
          </cell>
        </row>
        <row r="198">
          <cell r="A198" t="str">
            <v>5344-G503-28-301</v>
          </cell>
          <cell r="B198" t="str">
            <v>G503-28-301</v>
          </cell>
          <cell r="C198" t="str">
            <v>G503-28-301</v>
          </cell>
          <cell r="E198" t="str">
            <v>#SZ10 27.5cm GLASS LOW BOWL, CLEAR/SERVE (LSA)(3PCS/CTN)</v>
          </cell>
        </row>
        <row r="199">
          <cell r="A199" t="str">
            <v>5344-G507-31-301</v>
          </cell>
          <cell r="B199" t="str">
            <v>G507-31-301</v>
          </cell>
          <cell r="C199" t="str">
            <v>G507-31-301</v>
          </cell>
          <cell r="E199" t="str">
            <v>#SZ13 DIA31cm GLASS CAKE STAND, CLEAR/SERVE  (LSA)</v>
          </cell>
        </row>
        <row r="200">
          <cell r="A200" t="str">
            <v>5344-G507-36-301</v>
          </cell>
          <cell r="C200" t="str">
            <v>G507-36-301</v>
          </cell>
          <cell r="E200" t="str">
            <v>(DCWSL19) #SZ14 36cm GLASS CAKESTAND &amp; DOME, CLEAR/SERVE (LSA)</v>
          </cell>
        </row>
        <row r="201">
          <cell r="A201" t="str">
            <v>5344-G570-06-268</v>
          </cell>
          <cell r="C201" t="str">
            <v>G570-06-268</v>
          </cell>
          <cell r="E201" t="str">
            <v>(DCWSL19)(*SELL BY PC) H6.5cm TEALIGHT HOLDER, CRANBERRY/HAZE (LSA)</v>
          </cell>
        </row>
        <row r="202">
          <cell r="A202" t="str">
            <v>5344-G570-06-590</v>
          </cell>
          <cell r="B202" t="str">
            <v>CZ06</v>
          </cell>
          <cell r="C202" t="str">
            <v>G570-06-590</v>
          </cell>
          <cell r="E202" t="str">
            <v>(WSL19)(SELL BY PC) #CZ06 6.5cm COLORED GLASS TEALIGHT HOLDER, BERRY/CORO (LSA) 4PCS/SET (SELL BY SET)</v>
          </cell>
        </row>
        <row r="203">
          <cell r="A203" t="str">
            <v>5344-G573-00-348</v>
          </cell>
          <cell r="C203" t="str">
            <v>G573-00-348</v>
          </cell>
          <cell r="E203" t="str">
            <v>(DCWSL19) 37cm GLASS FLOWER, RASPBERRY PINK/GERBERA (LSA)</v>
          </cell>
        </row>
        <row r="204">
          <cell r="A204" t="str">
            <v>5344-G573-00-351</v>
          </cell>
          <cell r="C204" t="str">
            <v>G573-00-351</v>
          </cell>
          <cell r="E204" t="str">
            <v>(DCWSL19) 37cm GLASS FLOWER, SKY BLUE/GERBERA (LSA)</v>
          </cell>
        </row>
        <row r="205">
          <cell r="A205" t="str">
            <v>5344-G573-00-358</v>
          </cell>
          <cell r="C205" t="str">
            <v>G573-00-358</v>
          </cell>
          <cell r="E205" t="str">
            <v>(DCWSL19) 37cm GLASS FLOWER, GOLD/GERBERA (LSA)</v>
          </cell>
        </row>
        <row r="206">
          <cell r="A206" t="str">
            <v>5344-G573-00-359</v>
          </cell>
          <cell r="C206" t="str">
            <v>G573-00-359</v>
          </cell>
          <cell r="E206" t="str">
            <v>(DCWSL19) 37cm GLASS FLOWER, PLATINUM/GERBERA (LSA)</v>
          </cell>
        </row>
        <row r="207">
          <cell r="A207" t="str">
            <v>5344-G594-11-301</v>
          </cell>
          <cell r="B207" t="str">
            <v>G594-11-301</v>
          </cell>
          <cell r="C207" t="str">
            <v>G594-11-301</v>
          </cell>
          <cell r="E207" t="str">
            <v>LSA, G594-11-301, FLOWER TABLE ARRANGEMENT VASE H11.5CM CLEAR (ID)</v>
          </cell>
        </row>
        <row r="208">
          <cell r="A208" t="str">
            <v>5344-G597-17-301</v>
          </cell>
          <cell r="B208" t="str">
            <v>G597-17-301</v>
          </cell>
          <cell r="C208" t="str">
            <v>G597-17-301</v>
          </cell>
          <cell r="E208" t="str">
            <v>(IDMOQ SET OF 4) #FW03 DIA17xH17cm GLASS TABLE BOUQUET VASE, FLOWER (LSA) 4PCS/CTN</v>
          </cell>
        </row>
        <row r="209">
          <cell r="A209" t="str">
            <v>5344-G602-13-301</v>
          </cell>
          <cell r="B209" t="str">
            <v>G602-13-301</v>
          </cell>
          <cell r="C209" t="str">
            <v>G602-13-301</v>
          </cell>
          <cell r="E209" t="str">
            <v>LSA, G602-13-301, FLOWER GARDEN POSY VASE H13CM CLEAR (ID)</v>
          </cell>
        </row>
        <row r="210">
          <cell r="A210" t="str">
            <v>5344-G612-17-301</v>
          </cell>
          <cell r="B210" t="str">
            <v>G612-17-301</v>
          </cell>
          <cell r="C210" t="str">
            <v>G612-17-301</v>
          </cell>
          <cell r="E210" t="str">
            <v>#FW04 17cm GLASS SINGLE STEM VASE, CLEAR/FLOWER (LSA)</v>
          </cell>
        </row>
        <row r="211">
          <cell r="A211" t="str">
            <v>5344-G617-25-301</v>
          </cell>
          <cell r="B211" t="str">
            <v>G617-25-301</v>
          </cell>
          <cell r="C211" t="str">
            <v>G617-25-301</v>
          </cell>
          <cell r="E211" t="str">
            <v>#VI02 DIA25xH17.5cm GLASS PLATE DIA25cm &amp; DOME DIA22.5cm, CLEAR/VIENNA (LSA)</v>
          </cell>
        </row>
        <row r="212">
          <cell r="A212" t="str">
            <v>5344-G666-05-991</v>
          </cell>
          <cell r="C212" t="str">
            <v>G666-05-991</v>
          </cell>
          <cell r="E212" t="str">
            <v>(DCWSL19)(*SELL BY PC) 150ml GLASS CHAMPAGNE APERITIF, CLEAR/BAR (LSA) 4PCS/SET</v>
          </cell>
        </row>
        <row r="213">
          <cell r="A213" t="str">
            <v>5344-G668-35-301</v>
          </cell>
          <cell r="B213" t="str">
            <v>G668-35-301</v>
          </cell>
          <cell r="C213" t="str">
            <v>G668-35-301</v>
          </cell>
          <cell r="E213" t="str">
            <v>#FW09 H35cm GRAND BOUQUET VASE, CLEAR/FLOWER (LSA) 3PCS/CTN</v>
          </cell>
        </row>
        <row r="214">
          <cell r="A214" t="str">
            <v>5344-G686-41-301</v>
          </cell>
          <cell r="B214" t="str">
            <v>G686-41-301</v>
          </cell>
          <cell r="C214" t="str">
            <v>G686-41-301</v>
          </cell>
          <cell r="E214" t="str">
            <v>#FW10 H41cm GRAND STEM VASE, CLEAR/FLOWER (LSA)</v>
          </cell>
        </row>
        <row r="215">
          <cell r="A215" t="str">
            <v>5344-G687-30-301</v>
          </cell>
          <cell r="B215" t="str">
            <v>G687-30-301</v>
          </cell>
          <cell r="C215" t="str">
            <v>G687-30-301</v>
          </cell>
          <cell r="E215" t="str">
            <v>(WSL19) #SZ04 30cm GLASS TRIO DISH, CLEAR/SERVE (LSA)</v>
          </cell>
        </row>
        <row r="216">
          <cell r="A216" t="str">
            <v>5344-G705-16-335</v>
          </cell>
          <cell r="C216" t="str">
            <v>G705-16-335</v>
          </cell>
          <cell r="E216" t="str">
            <v>(DCWSL19)(*SELL BY PC) MALIKA HIGHBALL , THK CLR SPIRAL  (LSA) 4PCS/SET</v>
          </cell>
        </row>
        <row r="217">
          <cell r="A217" t="str">
            <v>5344-G730-11-776B</v>
          </cell>
          <cell r="B217" t="str">
            <v>G730-11-776B</v>
          </cell>
          <cell r="C217" t="str">
            <v>G730-11-776B</v>
          </cell>
          <cell r="E217" t="str">
            <v>(IDMOQX4SET) LSA #AU28 AURELIA 10oz CHAMPAGNE SAUCER CLEAR OPTIC (2PCS/SET)</v>
          </cell>
        </row>
        <row r="218">
          <cell r="A218" t="str">
            <v>5344-G730-11-991</v>
          </cell>
          <cell r="B218" t="str">
            <v>WI08</v>
          </cell>
          <cell r="C218" t="str">
            <v>G730-11-991</v>
          </cell>
          <cell r="E218" t="str">
            <v>(*PRICE/PC,SELL BY SET OF 4) #WI08 300ml 'WINE' CLEAR GLASS CHAMPAGNE SAUCER (LSA) 4PCS/SET</v>
          </cell>
        </row>
        <row r="219">
          <cell r="A219" t="str">
            <v>5344-G740-40-301</v>
          </cell>
          <cell r="B219" t="str">
            <v>G740-40-301</v>
          </cell>
          <cell r="C219" t="str">
            <v>G740-40-301</v>
          </cell>
          <cell r="E219" t="str">
            <v>#KN01 40cm GLASS CAKESTAND, CLEAR/KONSTANTIN (LSA)</v>
          </cell>
        </row>
        <row r="220">
          <cell r="A220" t="str">
            <v>5344-G753-35-301</v>
          </cell>
          <cell r="B220" t="str">
            <v>LI10</v>
          </cell>
          <cell r="C220" t="str">
            <v>G753-35-301</v>
          </cell>
          <cell r="E220" t="str">
            <v>(WSL19) 35cm GLASS STORM LANTERN, CLEAR/LIGHT (LSA)</v>
          </cell>
        </row>
        <row r="221">
          <cell r="A221" t="str">
            <v>5344-G778-29-301</v>
          </cell>
          <cell r="C221" t="str">
            <v>G778-29-301</v>
          </cell>
          <cell r="E221" t="str">
            <v>(DCWSL19) 29cm GLASS CANDLE STEM, CLEAR/LIGHT (LSA)</v>
          </cell>
        </row>
        <row r="222">
          <cell r="A222" t="str">
            <v>5344-G780-23-301</v>
          </cell>
          <cell r="C222" t="str">
            <v>G780-23-301</v>
          </cell>
          <cell r="E222" t="str">
            <v>(DCWSL19) 24cm GLASS CANDLESTICK HOLDER, CLEAR/LIGHT (LSA)</v>
          </cell>
        </row>
        <row r="223">
          <cell r="A223" t="str">
            <v>5344-G783-54-301</v>
          </cell>
          <cell r="C223" t="str">
            <v>G783-54-301</v>
          </cell>
          <cell r="E223" t="str">
            <v>(DCWSL19) #MX04 54cm GLASS CHAMPAGNE SAUCER, CLEAR/MAX (LSA)</v>
          </cell>
        </row>
        <row r="224">
          <cell r="A224" t="str">
            <v>5344-G803-24-802</v>
          </cell>
          <cell r="C224" t="str">
            <v>G803-24-802</v>
          </cell>
          <cell r="E224" t="str">
            <v>(DCWSL19) #IZ27 H24cm VASE/LANTERN, MINERAL/INZA (LSA)</v>
          </cell>
        </row>
        <row r="225">
          <cell r="A225" t="str">
            <v>5344-G817-26-981</v>
          </cell>
          <cell r="C225" t="str">
            <v>G817-26-981</v>
          </cell>
          <cell r="E225" t="str">
            <v>(DCWSL19)(ID) #FZ10 / #G817-26-981 26cm SALAD BOWL &amp; SERVERS, CLEAR/FIRO (LSA)</v>
          </cell>
        </row>
        <row r="226">
          <cell r="A226" t="str">
            <v>5344-G837-10-985</v>
          </cell>
          <cell r="B226" t="str">
            <v>G837-10-985</v>
          </cell>
          <cell r="C226" t="str">
            <v>G837-10-985</v>
          </cell>
          <cell r="E226" t="str">
            <v>#MV13 290ml TUMBLER, CLEAR/MOYA (LSA) 2PCS/SET (SELL BY SET)</v>
          </cell>
        </row>
        <row r="227">
          <cell r="A227" t="str">
            <v>5344-G841-17-301</v>
          </cell>
          <cell r="C227" t="str">
            <v>G841-17-301</v>
          </cell>
          <cell r="E227" t="str">
            <v>(DCWSL19) H17xDIA17cm VASE/CANDLEHOLDER, CLEAR/COLUMN (LSA)</v>
          </cell>
        </row>
        <row r="228">
          <cell r="A228" t="str">
            <v>5344-G846-11-985</v>
          </cell>
          <cell r="B228" t="str">
            <v>G846-11-985</v>
          </cell>
          <cell r="C228" t="str">
            <v>G846-11-985</v>
          </cell>
          <cell r="E228" t="str">
            <v>#MV18 300ml COCKTAIL GLASS, CLEAR/MOYA (LSA) 2PCS/SET (SELL BY SET)</v>
          </cell>
        </row>
        <row r="229">
          <cell r="A229" t="str">
            <v>5344-G846-14-985</v>
          </cell>
          <cell r="B229" t="str">
            <v>G846-14-985</v>
          </cell>
          <cell r="C229" t="str">
            <v>G846-14-985</v>
          </cell>
          <cell r="E229" t="str">
            <v>(ID-MOQ) #MV16 395ml MARTINI/WINE GLASS, CLEAR/MOYA (LSA) 2PCS/SET (SELL BY SET)</v>
          </cell>
        </row>
        <row r="230">
          <cell r="A230" t="str">
            <v>5344-G847-28-985</v>
          </cell>
          <cell r="B230" t="str">
            <v>MV21</v>
          </cell>
          <cell r="C230" t="str">
            <v>G847-28-985</v>
          </cell>
          <cell r="E230" t="str">
            <v>(DCWSL21)  #MV21 DIA28cm GLASS MOYA COMPORT, CLEAR (LSA)</v>
          </cell>
        </row>
        <row r="231">
          <cell r="A231" t="str">
            <v>5344-G850-25-651</v>
          </cell>
          <cell r="C231" t="str">
            <v>G850-25-651</v>
          </cell>
          <cell r="E231" t="str">
            <v>(DCWSL19) #OO06 H25.5cm VASE, MOCHA/ONO (LSA)</v>
          </cell>
        </row>
        <row r="232">
          <cell r="A232" t="str">
            <v>5344-G865-31-981</v>
          </cell>
          <cell r="C232" t="str">
            <v>G865-31-981</v>
          </cell>
          <cell r="E232" t="str">
            <v>(DCWSL19) #FZ11 DIA31cm CAKESTAND, RECYCLED/FIRO (LSA)</v>
          </cell>
        </row>
        <row r="233">
          <cell r="A233" t="str">
            <v>5344-G875-25-301</v>
          </cell>
          <cell r="B233" t="str">
            <v>G875-25-301</v>
          </cell>
          <cell r="C233" t="str">
            <v>G875-25-301</v>
          </cell>
          <cell r="E233" t="str">
            <v>#SZ23 DIA26.5xH25cm CAKESTAND &amp; DOME, CLEAR/SERVE (LSA)</v>
          </cell>
        </row>
        <row r="234">
          <cell r="A234" t="str">
            <v>5344-G875-31-301</v>
          </cell>
          <cell r="B234" t="str">
            <v>G875-31-301</v>
          </cell>
          <cell r="C234" t="str">
            <v>G875-31-301</v>
          </cell>
          <cell r="E234" t="str">
            <v>LSA #SZ24 Ø34.5/Ø32cm SERVE CAKE STAND &amp; DOME, CLEAR (2PCS/CTN)</v>
          </cell>
        </row>
        <row r="235">
          <cell r="A235" t="str">
            <v>5344-G878-28-301</v>
          </cell>
          <cell r="B235" t="str">
            <v>G878-28-301</v>
          </cell>
          <cell r="C235" t="str">
            <v>G878-28-301</v>
          </cell>
          <cell r="E235" t="str">
            <v>#SZ25 DIA15/DIA14cm GLASS STAND &amp; DOME, CLEAR/SERVE (LSA) 3PCS/CTN</v>
          </cell>
        </row>
        <row r="236">
          <cell r="A236" t="str">
            <v>5344-G879-11-301</v>
          </cell>
          <cell r="B236" t="str">
            <v>G879-11-301</v>
          </cell>
          <cell r="C236" t="str">
            <v>G879-11-301</v>
          </cell>
          <cell r="E236" t="str">
            <v>(DC25) #SZ21 11.5/10.5cm GLASS BUTTER DISH &amp; LID, CLEAR/SERVE (LSA) 4PCS/CTN</v>
          </cell>
        </row>
        <row r="237">
          <cell r="A237" t="str">
            <v>5344-G887-13-991</v>
          </cell>
          <cell r="B237" t="str">
            <v>WI01</v>
          </cell>
          <cell r="C237" t="str">
            <v>G887-13-991</v>
          </cell>
          <cell r="E237" t="str">
            <v>(*PRICE/PC,SELL BY SET OF 4) #WI01 370ml WINE STEMLESS WHITE WINE, CLEAR (LSA) 4PCS/SET (SELL BY SET)</v>
          </cell>
        </row>
        <row r="238">
          <cell r="A238" t="str">
            <v>5344-G887-19-991</v>
          </cell>
          <cell r="B238" t="str">
            <v>WI02</v>
          </cell>
          <cell r="C238" t="str">
            <v>G887-19-991</v>
          </cell>
          <cell r="E238" t="str">
            <v>(*PRICE/PC,SELL BY SET OF 4) #WI02 530ml WINE STEMLESS RED WINE, CLEAR (LSA) 4PCS/SET (SELL BY SET)</v>
          </cell>
        </row>
        <row r="239">
          <cell r="A239" t="str">
            <v>5344-G888-17-301</v>
          </cell>
          <cell r="C239" t="str">
            <v>G888-17-301</v>
          </cell>
          <cell r="E239" t="str">
            <v>(DCWSL19)(*SELL BY PC) #SZ06 17cm GLASS CONDIMENT DISHES, CLEAR/SERVE (LSA)</v>
          </cell>
        </row>
        <row r="240">
          <cell r="A240" t="str">
            <v>5344-G888-32-301</v>
          </cell>
          <cell r="B240" t="str">
            <v>SZ07</v>
          </cell>
          <cell r="C240" t="str">
            <v>G888-32-301</v>
          </cell>
          <cell r="E240" t="str">
            <v>(DCWSL21)  #SZ07 32cm GLASS LOW COMPORT DISH, CLEAR/SERVE (LSA) 4PCS/CTN</v>
          </cell>
        </row>
        <row r="241">
          <cell r="A241" t="str">
            <v>5344-G893-00-301</v>
          </cell>
          <cell r="C241" t="str">
            <v>G893-00-301</v>
          </cell>
          <cell r="E241" t="str">
            <v>(DCWSL19) #MX02 65cm COCKTAIL GLASS, CLEAR/MAXA (LSA)</v>
          </cell>
        </row>
        <row r="242">
          <cell r="A242" t="str">
            <v>5344-G894-11-301</v>
          </cell>
          <cell r="B242" t="str">
            <v>SZ22</v>
          </cell>
          <cell r="C242" t="str">
            <v>G894-11-301</v>
          </cell>
          <cell r="E242" t="str">
            <v>(WSL19)(PRICE/PC,SELL BY SET OF 4) #SZ22 DIA11.5cm GLASS TALL DISH, CLEAR/SERVE (LSA) 4PCS/SET</v>
          </cell>
        </row>
        <row r="243">
          <cell r="A243" t="str">
            <v>5344-G900-00-301</v>
          </cell>
          <cell r="C243" t="str">
            <v>G900-00-301</v>
          </cell>
          <cell r="E243" t="str">
            <v>(DCWSL19) #MX01 75cm GIANT WINE GLASS, CLEAR/MAXA (LSA)</v>
          </cell>
        </row>
        <row r="244">
          <cell r="A244" t="str">
            <v>5344-G902-24-301</v>
          </cell>
          <cell r="B244" t="str">
            <v>G902-24-301</v>
          </cell>
          <cell r="C244" t="str">
            <v>G902-24-301</v>
          </cell>
          <cell r="E244" t="str">
            <v>#KL01 24cm CAKE STAND LOW, CLEAR/KLARA (LSA) 3PCS/CTN</v>
          </cell>
        </row>
        <row r="245">
          <cell r="A245" t="str">
            <v>5344-G902-30-301</v>
          </cell>
          <cell r="B245" t="str">
            <v>G902-30-301</v>
          </cell>
          <cell r="C245" t="str">
            <v>G902-30-301</v>
          </cell>
          <cell r="E245" t="str">
            <v>#KL02 30cm CAKE STAND HIGH, CLEAR/KLARA (LSA)</v>
          </cell>
        </row>
        <row r="246">
          <cell r="A246" t="str">
            <v>5344-G906-20-301</v>
          </cell>
          <cell r="C246" t="str">
            <v>G906-20-301</v>
          </cell>
          <cell r="E246" t="str">
            <v>(DCWSL19) ICE BUCKET, LEON (LSA)</v>
          </cell>
        </row>
        <row r="247">
          <cell r="A247" t="str">
            <v>5344-G911-12-301</v>
          </cell>
          <cell r="B247" t="str">
            <v>G911-12-301</v>
          </cell>
          <cell r="C247" t="str">
            <v>G911-12-301</v>
          </cell>
          <cell r="E247" t="str">
            <v>(ID) #SZ18 / #G911-12-301 120mm CAVIAR SET, CLEAR/SERVE (LSA)</v>
          </cell>
        </row>
        <row r="248">
          <cell r="A248" t="str">
            <v>5344-G912-26-301</v>
          </cell>
          <cell r="B248" t="str">
            <v>G912-26-301</v>
          </cell>
          <cell r="C248" t="str">
            <v>G912-26-301</v>
          </cell>
          <cell r="E248" t="str">
            <v>#SZ11 H25cm GLASS BONBON JAR, CLEAR/SERVE (LSA) 3PCS/CTN</v>
          </cell>
        </row>
        <row r="249">
          <cell r="A249" t="str">
            <v>5344-G912-38-301</v>
          </cell>
          <cell r="B249" t="str">
            <v>G912-38-301</v>
          </cell>
          <cell r="C249" t="str">
            <v>G912-38-301</v>
          </cell>
          <cell r="E249" t="str">
            <v>#SZ33 H38cm TALL GLASS BONBON JAR, CLEAR/SERVE (LSA) 2PCS/CTN</v>
          </cell>
        </row>
        <row r="250">
          <cell r="A250" t="str">
            <v>5344-G914-33-301</v>
          </cell>
          <cell r="B250" t="str">
            <v>G914-33-301</v>
          </cell>
          <cell r="C250" t="str">
            <v>G914-33-301</v>
          </cell>
          <cell r="E250" t="str">
            <v>#KL03 33/30cm GLASS CAKESTAND AND LID, CLEAR/KLARA (LSA)</v>
          </cell>
        </row>
        <row r="251">
          <cell r="A251" t="str">
            <v>5344-G915-20-301</v>
          </cell>
          <cell r="B251" t="str">
            <v>VI04</v>
          </cell>
          <cell r="C251" t="str">
            <v>G915-20-301</v>
          </cell>
          <cell r="E251" t="str">
            <v>(DCWSL22) #VI04 20/15cm GLASS CAKESTAND &amp; DOME , CLEAR/VIENNA (3/CTN)(LSA)</v>
          </cell>
        </row>
        <row r="252">
          <cell r="A252" t="str">
            <v>5344-G915-32-301</v>
          </cell>
          <cell r="B252" t="str">
            <v>G915-32-301</v>
          </cell>
          <cell r="C252" t="str">
            <v>G915-32-301</v>
          </cell>
          <cell r="E252" t="str">
            <v>#VI05 23/20.5cm GLASS TALL CAKESTAND &amp; LID (*Inner Ht:12cm), CLEAR/VIENNA (4PCS/CTN)(LSA)</v>
          </cell>
        </row>
        <row r="253">
          <cell r="A253" t="str">
            <v>5344-G915-33-301</v>
          </cell>
          <cell r="C253" t="str">
            <v>G915-33-301</v>
          </cell>
          <cell r="E253" t="str">
            <v>(DCWSL19) #VI06 DIA15xH:32cm GLASS CAKESTAND &amp; LID, CLEAR/VIENNA (LSA)</v>
          </cell>
        </row>
        <row r="254">
          <cell r="A254" t="str">
            <v>5344-G916-24-301</v>
          </cell>
          <cell r="B254" t="str">
            <v>G916-24-301</v>
          </cell>
          <cell r="C254" t="str">
            <v>G916-24-301</v>
          </cell>
          <cell r="E254" t="str">
            <v>#SZ12 DIA24xH16cm GLASS PLATE DIA24cm &amp; DOME DIA22cm, CLEAR/SERVE (LSA)</v>
          </cell>
        </row>
        <row r="255">
          <cell r="A255" t="str">
            <v>5344-G919-08-301</v>
          </cell>
          <cell r="C255" t="str">
            <v>G919-08-301</v>
          </cell>
          <cell r="E255" t="str">
            <v>(DCWSL19)(*PRICE/PC,SELL BY SET) SERVE CONDIMENT POTS &amp; SCOOPS CL (LSA) 2PCS/SET (SELL BY SET)</v>
          </cell>
        </row>
        <row r="256">
          <cell r="A256" t="str">
            <v>5344-G932-14-268</v>
          </cell>
          <cell r="C256" t="str">
            <v>G932-14-268</v>
          </cell>
          <cell r="E256" t="str">
            <v>(DCWSL19)(*SELL BY PC) 400ml WINE GLASS, CRANBERRY/HAZE (LSA)</v>
          </cell>
        </row>
        <row r="257">
          <cell r="A257" t="str">
            <v>5344-G932-14-968</v>
          </cell>
          <cell r="C257" t="str">
            <v>G932-14-968</v>
          </cell>
          <cell r="E257" t="str">
            <v>(DCWSL19)(*SELL BY PC) 400ml WINE GLASS, APPLE/HAZE (LSA)</v>
          </cell>
        </row>
        <row r="258">
          <cell r="A258" t="str">
            <v>5344-G932-14-969</v>
          </cell>
          <cell r="C258" t="str">
            <v>G932-14-969</v>
          </cell>
          <cell r="E258" t="str">
            <v>(DCWSL19)(*SELL BY PC) 400ml WINEGLASS, SKY/HAZE (LSA)</v>
          </cell>
        </row>
        <row r="259">
          <cell r="A259" t="str">
            <v>5344-G939-12-991</v>
          </cell>
          <cell r="B259" t="str">
            <v>WI04</v>
          </cell>
          <cell r="C259" t="str">
            <v>G939-12-991</v>
          </cell>
          <cell r="E259" t="str">
            <v>(WSL19)(SELL BY PC) #WI04 340ml WHITE WINE GLASS, CLEAR/WINE (LSA) 4PCS/SET (SELL BY SET)</v>
          </cell>
        </row>
        <row r="260">
          <cell r="A260" t="str">
            <v>5344-G939-27-991</v>
          </cell>
          <cell r="B260" t="str">
            <v>WI05</v>
          </cell>
          <cell r="C260" t="str">
            <v>G939-27-991</v>
          </cell>
          <cell r="E260" t="str">
            <v>(WSL19)(SELL BY PC) #WI05 750ml RED WINE GLASS, CLEAR/WINE (LSA) 3PCS/CTN (SELL BY SET)</v>
          </cell>
        </row>
        <row r="261">
          <cell r="A261" t="str">
            <v>5344-G940-23-982</v>
          </cell>
          <cell r="C261" t="str">
            <v>G940-23-982</v>
          </cell>
          <cell r="E261" t="str">
            <v>(DCWSL19) #EL30 DIA23cm COMPORT, CLEAR/ELINA (LSA)</v>
          </cell>
        </row>
        <row r="262">
          <cell r="A262" t="str">
            <v>5344-G940-32-982</v>
          </cell>
          <cell r="B262" t="str">
            <v>EL26</v>
          </cell>
          <cell r="C262" t="str">
            <v>G940-32-982</v>
          </cell>
          <cell r="E262" t="str">
            <v>(DCWSL21)  #EL26 32cm COMPORT, CLEAR/ELINA (LSA) 2PCS/CTN</v>
          </cell>
        </row>
        <row r="263">
          <cell r="A263" t="str">
            <v>5344-G951-08-987</v>
          </cell>
          <cell r="B263" t="str">
            <v>JA28</v>
          </cell>
          <cell r="C263" t="str">
            <v>G951-08-987</v>
          </cell>
          <cell r="E263" t="str">
            <v>(DCWSL21)  (*PX/PC, SELL BY SET OF 4) #JA28 JAZZ COCKTAIL GL ASST BLACK DECORS (LSA) 4PCS/SET</v>
          </cell>
        </row>
        <row r="264">
          <cell r="A264" t="str">
            <v>5344-G972-14-301</v>
          </cell>
          <cell r="B264" t="str">
            <v>SZ27</v>
          </cell>
          <cell r="C264" t="str">
            <v>G972-14-301</v>
          </cell>
          <cell r="E264" t="str">
            <v>(DCWSL19) #SZ27 DIA14cm GLASS CIRCLE DISH, CLEAR/SERVE  (LSA)</v>
          </cell>
        </row>
        <row r="265">
          <cell r="A265" t="str">
            <v>5344-G973-35-301</v>
          </cell>
          <cell r="B265" t="str">
            <v>SZ28</v>
          </cell>
          <cell r="C265" t="str">
            <v>G973-35-301</v>
          </cell>
          <cell r="E265" t="str">
            <v>(DCWSL21)  #SZ28 DIA35cm GLASS CIRCLE PLATTER, CLEAR/SERVE (LSA)</v>
          </cell>
        </row>
        <row r="266">
          <cell r="A266" t="str">
            <v>5344-G974-40-301</v>
          </cell>
          <cell r="C266" t="str">
            <v>G974-40-301</v>
          </cell>
          <cell r="E266" t="str">
            <v>(DCWSL19) #SZ29  L40xW12cm GLASS LONG DISH PLATTER, CLEAR/SERVE (LSA)</v>
          </cell>
        </row>
        <row r="267">
          <cell r="A267" t="str">
            <v>5344-G976-14-301</v>
          </cell>
          <cell r="C267" t="str">
            <v>G976-14-301</v>
          </cell>
          <cell r="E267" t="str">
            <v>(DCWSL19)(*PRICE/PC,SELL BY SET) #SA18# 380ml SAVOY WINE GLASS, CLEAR (LSA) 2PCS/SET (SELL BY SET)</v>
          </cell>
        </row>
        <row r="268">
          <cell r="A268" t="str">
            <v>5344-G976-14-381</v>
          </cell>
          <cell r="C268" t="str">
            <v>G976-14-381</v>
          </cell>
          <cell r="E268" t="str">
            <v>(DCWSL19)(*PRICE/PC,SELL BY SET) 380ml SAVOY WINE GLASS, PLATINUM (LSA) 2PCS/SET (SELL BY SET)</v>
          </cell>
        </row>
        <row r="269">
          <cell r="A269" t="str">
            <v>5344-G976-16-301</v>
          </cell>
          <cell r="C269" t="str">
            <v>G976-16-301</v>
          </cell>
          <cell r="E269" t="str">
            <v>(DCWSL19)(*PRICE/PC,SELL BY SET) #SA19 450ml SAVOY WINE GLASS, CLEAR (LSA) 2PCS/SET</v>
          </cell>
        </row>
        <row r="270">
          <cell r="A270" t="str">
            <v>5344-G976-16-381</v>
          </cell>
          <cell r="C270" t="str">
            <v>G976-16-381</v>
          </cell>
          <cell r="E270" t="str">
            <v>(DCWSL19)(*PRICE/PC,SELL BY SET) 450ml SAVOY WINE GLASS, PLATINUM (LSA) 2PCS/SET</v>
          </cell>
        </row>
        <row r="271">
          <cell r="A271" t="str">
            <v>5344-G977-15-294</v>
          </cell>
          <cell r="B271" t="str">
            <v>G977-15-294</v>
          </cell>
          <cell r="C271" t="str">
            <v>G977-15-294</v>
          </cell>
          <cell r="E271" t="str">
            <v>(WSL19)(PX/PC, SELL BY SET OF 4) 420ml POLKA TUMBLER, PASTEL ASSTD (LSA) 4PCS/SET (SELL BY SET)</v>
          </cell>
        </row>
        <row r="272">
          <cell r="A272" t="str">
            <v>5344-G980-20-957</v>
          </cell>
          <cell r="C272" t="str">
            <v>G980-20-957</v>
          </cell>
          <cell r="E272" t="str">
            <v>(DCWSL19) #ME14 20cm VASE, ROSE &amp; VIOLET/MEZZO (LSA)</v>
          </cell>
        </row>
        <row r="273">
          <cell r="A273" t="str">
            <v>5344-G980-32-957</v>
          </cell>
          <cell r="C273" t="str">
            <v>G980-32-957</v>
          </cell>
          <cell r="E273" t="str">
            <v>(DCWSL19) #ME16 32cm VASE, ROSE &amp; VIOLET/MEZZO (LSA)</v>
          </cell>
        </row>
        <row r="274">
          <cell r="A274" t="str">
            <v>5344-G989-02-301</v>
          </cell>
          <cell r="B274" t="str">
            <v>G989-02-301</v>
          </cell>
          <cell r="C274" t="str">
            <v>G989-02-301</v>
          </cell>
          <cell r="E274" t="str">
            <v>#LW07  DIA:25/25.5cm CAKE/CHEESE DOME &amp; ASH BASE, LOTTA (LSA)</v>
          </cell>
        </row>
        <row r="275">
          <cell r="A275" t="str">
            <v>5344-G989-03-301</v>
          </cell>
          <cell r="B275" t="str">
            <v>G989-03-301</v>
          </cell>
          <cell r="C275" t="str">
            <v>G989-03-301</v>
          </cell>
          <cell r="E275" t="str">
            <v>#LW08 DIA:32cm CHEESE/PASTRIES DOME &amp; ASH BASE, LOTTA (LSA)</v>
          </cell>
        </row>
        <row r="276">
          <cell r="A276" t="str">
            <v>5344-G990-01-301</v>
          </cell>
          <cell r="C276" t="str">
            <v>G990-01-301</v>
          </cell>
          <cell r="E276" t="str">
            <v>(DCWSL19) #LW09 DIA:22cm BOWL &amp; ASH BASE, LOTTA (LSA)</v>
          </cell>
        </row>
        <row r="277">
          <cell r="A277" t="str">
            <v>5344-G990-02-301</v>
          </cell>
          <cell r="B277" t="str">
            <v>G990-02-301</v>
          </cell>
          <cell r="C277" t="str">
            <v>G990-02-301</v>
          </cell>
          <cell r="E277" t="str">
            <v>LSA G990-02-301 #LW10  BOWL &amp; ASH BASE LOTTA DIA:31cm (LSA)</v>
          </cell>
        </row>
        <row r="278">
          <cell r="A278" t="str">
            <v>5344-G991-13-301</v>
          </cell>
          <cell r="B278" t="str">
            <v>G991-13-301</v>
          </cell>
          <cell r="C278" t="str">
            <v>G991-13-301</v>
          </cell>
          <cell r="E278" t="str">
            <v>#LW23 H13cm LANTERN &amp; ASH BASE, LOTTA (LSA)</v>
          </cell>
        </row>
        <row r="279">
          <cell r="A279" t="str">
            <v>5344-G991-23-301</v>
          </cell>
          <cell r="B279" t="str">
            <v>G991-23-301</v>
          </cell>
          <cell r="C279" t="str">
            <v>G991-23-301</v>
          </cell>
          <cell r="E279" t="str">
            <v>(WSL19) H22.5cm LANTERN &amp; ASH BASE, LOTTA (LSA)</v>
          </cell>
        </row>
        <row r="280">
          <cell r="A280" t="str">
            <v>5344-G991-24-301</v>
          </cell>
          <cell r="B280" t="str">
            <v>G991-24-301</v>
          </cell>
          <cell r="C280" t="str">
            <v>G991-24-301</v>
          </cell>
          <cell r="E280" t="str">
            <v>(WSL19) H18cm VASE/LANTERN &amp; ASH BASE, LOTTA (LSA)</v>
          </cell>
        </row>
        <row r="281">
          <cell r="A281" t="str">
            <v>5344-G993-14-301</v>
          </cell>
          <cell r="B281" t="str">
            <v>G993-14-301</v>
          </cell>
          <cell r="C281" t="str">
            <v>G993-14-301</v>
          </cell>
          <cell r="E281" t="str">
            <v>LSA G993-14-301 #LW18 CONTAINER &amp; ASH LID LOTTA H14cm 4PCS/CTN</v>
          </cell>
        </row>
        <row r="282">
          <cell r="A282" t="str">
            <v>5344-G993-19-301</v>
          </cell>
          <cell r="B282" t="str">
            <v>G993-19-301</v>
          </cell>
          <cell r="C282" t="str">
            <v>G993-19-301</v>
          </cell>
          <cell r="E282" t="str">
            <v>LSA G993-19-301 #LW19  CONTAINER &amp; ASH LID LOTTA H19cm (4PCS/CTN)</v>
          </cell>
        </row>
        <row r="283">
          <cell r="A283" t="str">
            <v>5344-P057-46-678</v>
          </cell>
          <cell r="B283" t="str">
            <v>PL27</v>
          </cell>
          <cell r="C283" t="str">
            <v>P057-46-678</v>
          </cell>
          <cell r="E283" t="str">
            <v>(DCWSL19) #PL27#1.3L H:16.5xW:24cm POLKA TEAPOT PEARL (1/CTN)</v>
          </cell>
        </row>
        <row r="284">
          <cell r="A284" t="str">
            <v>5344-P057-46-997</v>
          </cell>
          <cell r="B284" t="str">
            <v>P057-46-997</v>
          </cell>
          <cell r="C284" t="str">
            <v>P057-46-997</v>
          </cell>
          <cell r="E284" t="str">
            <v>(IDMOQ4PCS) #DI13, 1.4ltr TEAPOT, WHITE, DINE (LSA) 1PC/CTN</v>
          </cell>
        </row>
        <row r="285">
          <cell r="A285" t="str">
            <v>5344-P079-20-997</v>
          </cell>
          <cell r="B285" t="str">
            <v>P079-20-997</v>
          </cell>
          <cell r="C285" t="str">
            <v>P079-20-997</v>
          </cell>
          <cell r="E285" t="str">
            <v>(*SPO18) #DI22 20cm DINE STARTER/DESSERT COUPE PLATE (LSA) 4PCS/CTN</v>
          </cell>
        </row>
        <row r="286">
          <cell r="A286" t="str">
            <v>5344-P097-34-997</v>
          </cell>
          <cell r="B286" t="str">
            <v>P097-34-997</v>
          </cell>
          <cell r="C286" t="str">
            <v>P097-34-997</v>
          </cell>
          <cell r="E286" t="str">
            <v>(ID-MOQ) LSA P097-34-997 #DI30 DINE FRUIT/SERVING BOWL COUPE DIAØ34cm, 2'S/CTN (IDPOA)</v>
          </cell>
        </row>
        <row r="287">
          <cell r="A287" t="str">
            <v>5344-P188-14-361</v>
          </cell>
          <cell r="C287" t="str">
            <v>P188-14-361</v>
          </cell>
          <cell r="E287" t="str">
            <v>(DCWSL19) 0.4ltr GRANDE MUG, CRANBERRY/HAZE (LSA)</v>
          </cell>
        </row>
        <row r="288">
          <cell r="A288" t="str">
            <v>5344-P188-14-551</v>
          </cell>
          <cell r="C288" t="str">
            <v>P188-14-551</v>
          </cell>
          <cell r="E288" t="str">
            <v>(DCWSL19) 0.4ltr GRANDE MUG, APPLE/HAZE (LSA)</v>
          </cell>
        </row>
        <row r="289">
          <cell r="A289" t="str">
            <v>5344-P188-14-725</v>
          </cell>
          <cell r="C289" t="str">
            <v>P188-14-725</v>
          </cell>
          <cell r="E289" t="str">
            <v>(DCWSL19) 0.4ltr GRANDE MUG, SKY/HAZE (LSA)</v>
          </cell>
        </row>
        <row r="290">
          <cell r="A290" t="str">
            <v>5344-P203-03-517</v>
          </cell>
          <cell r="B290" t="str">
            <v>LW13</v>
          </cell>
          <cell r="C290" t="str">
            <v>P203-03-517</v>
          </cell>
          <cell r="E290" t="str">
            <v>(DCWSL19)(IDMOQ4) #LW13 DIA18cm SERVING PLATTER &amp; ASH BASE, LOTTA (LSA)</v>
          </cell>
        </row>
        <row r="291">
          <cell r="A291" t="str">
            <v>5344-P204-02-517</v>
          </cell>
          <cell r="B291" t="str">
            <v>LW14</v>
          </cell>
          <cell r="C291" t="str">
            <v>P204-02-517</v>
          </cell>
          <cell r="E291" t="str">
            <v>(DCWSL19) #LW14 DIA29.5xH6cm SERVING PLATTER &amp; ASH BASE, LOTTA (LSA)</v>
          </cell>
        </row>
        <row r="292">
          <cell r="A292" t="str">
            <v>5344-P216-08-517</v>
          </cell>
          <cell r="B292" t="str">
            <v>P216-08-517</v>
          </cell>
          <cell r="C292" t="str">
            <v>P216-08-517</v>
          </cell>
          <cell r="E292" t="str">
            <v>#PX04 L:40cm PADDLE BOWL SET &amp; OAK PADDLE (LSA)</v>
          </cell>
        </row>
        <row r="293">
          <cell r="A293" t="str">
            <v>5344-P218-26-997</v>
          </cell>
          <cell r="B293" t="str">
            <v>P218-26-997</v>
          </cell>
          <cell r="C293" t="str">
            <v>P218-26-997</v>
          </cell>
          <cell r="E293" t="str">
            <v>(ID-MOQ)LSA P218-26-997 #DI45 DINE BOWL &amp; OAK SERVERS DIAØ24cm, 2'S/CTN (IDPOA)</v>
          </cell>
        </row>
        <row r="294">
          <cell r="A294" t="str">
            <v>5344-P249-16-517</v>
          </cell>
          <cell r="C294" t="str">
            <v>P249-16-517</v>
          </cell>
          <cell r="E294" t="str">
            <v>(DCWSL19) #CU08 DIA16xH5.5cm BOWL W/ASH HDL, CIRCLE (LSA)</v>
          </cell>
        </row>
        <row r="295">
          <cell r="A295" t="str">
            <v>5344-P249-22-517</v>
          </cell>
          <cell r="C295" t="str">
            <v>P249-22-517</v>
          </cell>
          <cell r="E295" t="str">
            <v>(DCWSL19) #CU09 DIA22xH5.5cm BOWL W/ASH HDL, CIRCLE (LSA)</v>
          </cell>
        </row>
        <row r="296">
          <cell r="A296" t="str">
            <v>5344-W114-01-250</v>
          </cell>
          <cell r="B296" t="str">
            <v>W114-01-250</v>
          </cell>
          <cell r="C296" t="str">
            <v>W114-01-250</v>
          </cell>
          <cell r="E296" t="str">
            <v>(WSL19)(ID-MOQ:4) #UT41 DIA25cm BOARD ASH &amp; LEATHER HDL (LSA)</v>
          </cell>
        </row>
        <row r="297">
          <cell r="A297" t="str">
            <v>5344-W195-01-000</v>
          </cell>
          <cell r="B297" t="str">
            <v>W195-01-000</v>
          </cell>
          <cell r="C297" t="str">
            <v>W195-01-000</v>
          </cell>
          <cell r="E297" t="str">
            <v>(IDMOQ4SETS) #BG18, L17/L22.5/L30cm TRIO BOARD SET W/ASH LEATHER (LSA) 1SET/CTN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5"/>
  <sheetViews>
    <sheetView workbookViewId="0">
      <pane ySplit="1" topLeftCell="A84" activePane="bottomLeft" state="frozen"/>
      <selection pane="bottomLeft" activeCell="O17" sqref="O17"/>
    </sheetView>
  </sheetViews>
  <sheetFormatPr defaultRowHeight="15"/>
  <cols>
    <col min="1" max="1" width="14.5703125" customWidth="1"/>
    <col min="2" max="2" width="22.85546875" customWidth="1"/>
    <col min="3" max="3" width="21.42578125" customWidth="1"/>
    <col min="4" max="4" width="16.5703125" customWidth="1"/>
    <col min="5" max="5" width="25.42578125" customWidth="1"/>
    <col min="6" max="6" width="20" customWidth="1"/>
  </cols>
  <sheetData>
    <row r="1" spans="1:6" s="3" customFormat="1">
      <c r="A1" s="2" t="s">
        <v>705</v>
      </c>
      <c r="B1" s="2" t="s">
        <v>704</v>
      </c>
      <c r="C1" s="2" t="s">
        <v>706</v>
      </c>
      <c r="D1" s="2" t="s">
        <v>702</v>
      </c>
      <c r="E1" s="2" t="s">
        <v>703</v>
      </c>
      <c r="F1" s="2" t="s">
        <v>0</v>
      </c>
    </row>
    <row r="2" spans="1:6">
      <c r="A2" t="str">
        <f>_xlfn.XLOOKUP(C2,[1]Sheet1!$C:$C,[1]Sheet1!$A:$A)</f>
        <v>5344-G385-33-301</v>
      </c>
      <c r="B2" t="str">
        <f>_xlfn.XLOOKUP(C2,[1]Sheet1!$C:$C,[1]Sheet1!$B:$B)</f>
        <v>G385-33-301</v>
      </c>
      <c r="C2" t="s">
        <v>18</v>
      </c>
      <c r="D2" t="s">
        <v>5</v>
      </c>
      <c r="E2" t="str">
        <f>_xlfn.XLOOKUP(C2,[1]Sheet1!$C:$C,[1]Sheet1!$E:$E)</f>
        <v>#VI03 33/30cm GLASS PLATE &amp; DOME, CLEAR/VIENNA (LSA)</v>
      </c>
      <c r="F2" t="s">
        <v>19</v>
      </c>
    </row>
    <row r="3" spans="1:6">
      <c r="A3" t="str">
        <f>_xlfn.XLOOKUP(C3,[1]Sheet1!$C:$C,[1]Sheet1!$A:$A)</f>
        <v>5344-P204-02-517</v>
      </c>
      <c r="B3" t="str">
        <f>_xlfn.XLOOKUP(C3,[1]Sheet1!$C:$C,[1]Sheet1!$B:$B)</f>
        <v>LW14</v>
      </c>
      <c r="C3" t="s">
        <v>23</v>
      </c>
      <c r="D3" t="s">
        <v>5</v>
      </c>
      <c r="E3" t="str">
        <f>_xlfn.XLOOKUP(C3,[1]Sheet1!$C:$C,[1]Sheet1!$E:$E)</f>
        <v>(DCWSL19) #LW14 DIA29.5xH6cm SERVING PLATTER &amp; ASH BASE, LOTTA (LSA)</v>
      </c>
      <c r="F3" t="s">
        <v>24</v>
      </c>
    </row>
    <row r="4" spans="1:6">
      <c r="A4" t="str">
        <f>_xlfn.XLOOKUP(C4,[1]Sheet1!$C:$C,[1]Sheet1!$A:$A)</f>
        <v>5344-G060-09-301</v>
      </c>
      <c r="B4" t="str">
        <f>_xlfn.XLOOKUP(C4,[1]Sheet1!$C:$C,[1]Sheet1!$B:$B)</f>
        <v>G060-09-301</v>
      </c>
      <c r="C4" t="s">
        <v>29</v>
      </c>
      <c r="D4" t="s">
        <v>5</v>
      </c>
      <c r="E4" t="str">
        <f>_xlfn.XLOOKUP(C4,[1]Sheet1!$C:$C,[1]Sheet1!$E:$E)</f>
        <v>LSA #GI01/#GIO H7xW8cm, 310ml TUMBLER CLEAR/LOW 48PCS/CTN</v>
      </c>
      <c r="F4" t="s">
        <v>30</v>
      </c>
    </row>
    <row r="5" spans="1:6">
      <c r="A5" t="str">
        <f>_xlfn.XLOOKUP(C5,[1]Sheet1!$C:$C,[1]Sheet1!$A:$A)</f>
        <v>5344-G1048-15-301</v>
      </c>
      <c r="B5" t="str">
        <f>_xlfn.XLOOKUP(C5,[1]Sheet1!$C:$C,[1]Sheet1!$B:$B)</f>
        <v>G1048-15-301</v>
      </c>
      <c r="C5" t="s">
        <v>35</v>
      </c>
      <c r="D5" t="s">
        <v>5</v>
      </c>
      <c r="E5" t="str">
        <f>_xlfn.XLOOKUP(C5,[1]Sheet1!$C:$C,[1]Sheet1!$E:$E)</f>
        <v>LSA G1048-15-301 #IV01 DOME/ASH BASE CLEAR/IVALO DIA15xH15.5cm  (4PCS/CTN)</v>
      </c>
      <c r="F5" t="s">
        <v>36</v>
      </c>
    </row>
    <row r="6" spans="1:6">
      <c r="A6" t="str">
        <f>_xlfn.XLOOKUP(C6,[1]Sheet1!$C:$C,[1]Sheet1!$A:$A)</f>
        <v>5344-G1048-21-301</v>
      </c>
      <c r="B6" t="str">
        <f>_xlfn.XLOOKUP(C6,[1]Sheet1!$C:$C,[1]Sheet1!$B:$B)</f>
        <v>G1048-21-301</v>
      </c>
      <c r="C6" t="s">
        <v>39</v>
      </c>
      <c r="D6" t="s">
        <v>5</v>
      </c>
      <c r="E6" t="str">
        <f>_xlfn.XLOOKUP(C6,[1]Sheet1!$C:$C,[1]Sheet1!$E:$E)</f>
        <v>LSA G1048-21-301 #IV02 DOME/ASH BASE CLEAR/IVALO DIA22xH28.5cm (2PCS/CTN)</v>
      </c>
      <c r="F6" t="s">
        <v>40</v>
      </c>
    </row>
    <row r="7" spans="1:6">
      <c r="A7" t="str">
        <f>_xlfn.XLOOKUP(C7,[1]Sheet1!$C:$C,[1]Sheet1!$A:$A)</f>
        <v>5344-G1079-10-301</v>
      </c>
      <c r="B7">
        <f>_xlfn.XLOOKUP(C7,[1]Sheet1!$C:$C,[1]Sheet1!$B:$B)</f>
        <v>0</v>
      </c>
      <c r="C7" t="s">
        <v>43</v>
      </c>
      <c r="D7" t="s">
        <v>5</v>
      </c>
      <c r="E7" t="str">
        <f>_xlfn.XLOOKUP(C7,[1]Sheet1!$C:$C,[1]Sheet1!$E:$E)</f>
        <v>(DCWSL19) #PX08 L45cm DOME TRIO &amp; OAK PADDLE, CLEAR/PADDLE (LSA)</v>
      </c>
      <c r="F7" t="s">
        <v>44</v>
      </c>
    </row>
    <row r="8" spans="1:6">
      <c r="A8" t="str">
        <f>_xlfn.XLOOKUP(C8,[1]Sheet1!$C:$C,[1]Sheet1!$A:$A)</f>
        <v>5344-G1219-00-301</v>
      </c>
      <c r="B8" t="str">
        <f>_xlfn.XLOOKUP(C8,[1]Sheet1!$C:$C,[1]Sheet1!$B:$B)</f>
        <v>G1219-00-301</v>
      </c>
      <c r="C8" t="s">
        <v>47</v>
      </c>
      <c r="D8" t="s">
        <v>5</v>
      </c>
      <c r="E8" t="str">
        <f>_xlfn.XLOOKUP(C8,[1]Sheet1!$C:$C,[1]Sheet1!$E:$E)</f>
        <v>#WH10 L44cm WHISKY CONNOISEUR SET W/WALNUT TRAY, ISLAY (LSA)</v>
      </c>
      <c r="F8" t="s">
        <v>48</v>
      </c>
    </row>
    <row r="9" spans="1:6">
      <c r="A9" t="str">
        <f>_xlfn.XLOOKUP(C9,[1]Sheet1!$C:$C,[1]Sheet1!$A:$A)</f>
        <v>5344-G1389-15-359</v>
      </c>
      <c r="B9" t="str">
        <f>_xlfn.XLOOKUP(C9,[1]Sheet1!$C:$C,[1]Sheet1!$B:$B)</f>
        <v>G1389-15-359</v>
      </c>
      <c r="C9" t="s">
        <v>51</v>
      </c>
      <c r="D9" t="s">
        <v>5</v>
      </c>
      <c r="E9" t="str">
        <f>_xlfn.XLOOKUP(C9,[1]Sheet1!$C:$C,[1]Sheet1!$E:$E)</f>
        <v>(DC25) LSA, G1389-15-359, GIN BALLOON GLASS 420ML PLATINUM X2 (ID)</v>
      </c>
      <c r="F9" t="s">
        <v>52</v>
      </c>
    </row>
    <row r="10" spans="1:6">
      <c r="A10" t="str">
        <f>_xlfn.XLOOKUP(C10,[1]Sheet1!$C:$C,[1]Sheet1!$A:$A)</f>
        <v>5344-G1619-09-301</v>
      </c>
      <c r="B10" t="str">
        <f>_xlfn.XLOOKUP(C10,[1]Sheet1!$C:$C,[1]Sheet1!$B:$B)</f>
        <v>G1619-09-301</v>
      </c>
      <c r="C10" t="s">
        <v>57</v>
      </c>
      <c r="D10" t="s">
        <v>5</v>
      </c>
      <c r="E10" t="str">
        <f>_xlfn.XLOOKUP(C10,[1]Sheet1!$C:$C,[1]Sheet1!$E:$E)</f>
        <v>(IDMOQ24PCS) #BG07, 240ml COCKTAIL GLASS SAUCER, CLEAR, BOROUGH (LSA) 4PCS/SET</v>
      </c>
      <c r="F10" t="s">
        <v>58</v>
      </c>
    </row>
    <row r="11" spans="1:6">
      <c r="A11" t="str">
        <f>_xlfn.XLOOKUP(C11,[1]Sheet1!$C:$C,[1]Sheet1!$A:$A)</f>
        <v>5344-G1635-04-301</v>
      </c>
      <c r="B11" t="str">
        <f>_xlfn.XLOOKUP(C11,[1]Sheet1!$C:$C,[1]Sheet1!$B:$B)</f>
        <v>G1635-04-301</v>
      </c>
      <c r="C11" t="s">
        <v>61</v>
      </c>
      <c r="D11" t="s">
        <v>5</v>
      </c>
      <c r="E11" t="str">
        <f>_xlfn.XLOOKUP(C11,[1]Sheet1!$C:$C,[1]Sheet1!$E:$E)</f>
        <v>50ml / 2oz VODKA SHOT GLASS, CLEAR (LSA) 4PCS/SET (SELL BY SET)</v>
      </c>
      <c r="F11" t="s">
        <v>62</v>
      </c>
    </row>
    <row r="12" spans="1:6">
      <c r="A12" t="str">
        <f>_xlfn.XLOOKUP(C12,[1]Sheet1!$C:$C,[1]Sheet1!$A:$A)</f>
        <v>5344-G1646-00-301</v>
      </c>
      <c r="B12" t="str">
        <f>_xlfn.XLOOKUP(C12,[1]Sheet1!$C:$C,[1]Sheet1!$B:$B)</f>
        <v>G1646-00-301</v>
      </c>
      <c r="C12" t="s">
        <v>65</v>
      </c>
      <c r="D12" t="s">
        <v>5</v>
      </c>
      <c r="E12" t="str">
        <f>_xlfn.XLOOKUP(C12,[1]Sheet1!$C:$C,[1]Sheet1!$E:$E)</f>
        <v>(IDMOQ2SETS) #BI16, WHISKY SET, CLEAR, BORIS (LSA) 1SET/CTN</v>
      </c>
      <c r="F12" t="s">
        <v>66</v>
      </c>
    </row>
    <row r="13" spans="1:6">
      <c r="A13" t="str">
        <f>_xlfn.XLOOKUP(C13,[1]Sheet1!$C:$C,[1]Sheet1!$A:$A)</f>
        <v>5344-G1747-14-127</v>
      </c>
      <c r="B13" t="str">
        <f>_xlfn.XLOOKUP(C13,[1]Sheet1!$C:$C,[1]Sheet1!$B:$B)</f>
        <v>G1747-14-127</v>
      </c>
      <c r="C13" t="s">
        <v>69</v>
      </c>
      <c r="D13" t="s">
        <v>5</v>
      </c>
      <c r="E13" t="str">
        <f>_xlfn.XLOOKUP(C13,[1]Sheet1!$C:$C,[1]Sheet1!$E:$E)</f>
        <v>380ml ARC CONTRAST TUMBLER MOSS (SET/2) (SELL BY SET)</v>
      </c>
      <c r="F13" t="s">
        <v>70</v>
      </c>
    </row>
    <row r="14" spans="1:6">
      <c r="A14" t="str">
        <f>_xlfn.XLOOKUP(C14,[1]Sheet1!$C:$C,[1]Sheet1!$A:$A)</f>
        <v>5344-G271-14-991</v>
      </c>
      <c r="B14" t="str">
        <f>_xlfn.XLOOKUP(C14,[1]Sheet1!$C:$C,[1]Sheet1!$B:$B)</f>
        <v>BR12</v>
      </c>
      <c r="C14" t="s">
        <v>73</v>
      </c>
      <c r="D14" t="s">
        <v>5</v>
      </c>
      <c r="E14" t="str">
        <f>_xlfn.XLOOKUP(C14,[1]Sheet1!$C:$C,[1]Sheet1!$E:$E)</f>
        <v>(*PRICE/PC,SELL BY SET OF 4) #BR12 400ml 'BAR' CLEAR LAGER GLASS (LSA) 4PCS/SET (SELL BY SET)</v>
      </c>
      <c r="F14" t="s">
        <v>74</v>
      </c>
    </row>
    <row r="15" spans="1:6">
      <c r="A15" t="str">
        <f>_xlfn.XLOOKUP(C15,[1]Sheet1!$C:$C,[1]Sheet1!$A:$A)</f>
        <v>5344-G916-24-301</v>
      </c>
      <c r="B15" t="str">
        <f>_xlfn.XLOOKUP(C15,[1]Sheet1!$C:$C,[1]Sheet1!$B:$B)</f>
        <v>G916-24-301</v>
      </c>
      <c r="C15" t="s">
        <v>77</v>
      </c>
      <c r="D15" t="s">
        <v>5</v>
      </c>
      <c r="E15" t="str">
        <f>_xlfn.XLOOKUP(C15,[1]Sheet1!$C:$C,[1]Sheet1!$E:$E)</f>
        <v>#SZ12 DIA24xH16cm GLASS PLATE DIA24cm &amp; DOME DIA22cm, CLEAR/SERVE (LSA)</v>
      </c>
      <c r="F15" t="s">
        <v>78</v>
      </c>
    </row>
    <row r="16" spans="1:6">
      <c r="A16" t="str">
        <f>_xlfn.XLOOKUP(C16,[1]Sheet1!$C:$C,[1]Sheet1!$A:$A)</f>
        <v>5344-G977-15-294</v>
      </c>
      <c r="B16" t="str">
        <f>_xlfn.XLOOKUP(C16,[1]Sheet1!$C:$C,[1]Sheet1!$B:$B)</f>
        <v>G977-15-294</v>
      </c>
      <c r="C16" t="s">
        <v>81</v>
      </c>
      <c r="D16" t="s">
        <v>5</v>
      </c>
      <c r="E16" t="str">
        <f>_xlfn.XLOOKUP(C16,[1]Sheet1!$C:$C,[1]Sheet1!$E:$E)</f>
        <v>(WSL19)(PX/PC, SELL BY SET OF 4) 420ml POLKA TUMBLER, PASTEL ASSTD (LSA) 4PCS/SET (SELL BY SET)</v>
      </c>
      <c r="F16" t="s">
        <v>82</v>
      </c>
    </row>
    <row r="17" spans="1:6">
      <c r="A17" t="str">
        <f>_xlfn.XLOOKUP(C17,[1]Sheet1!$C:$C,[1]Sheet1!$A:$A)</f>
        <v>5344-G989-03-301</v>
      </c>
      <c r="B17" t="str">
        <f>_xlfn.XLOOKUP(C17,[1]Sheet1!$C:$C,[1]Sheet1!$B:$B)</f>
        <v>G989-03-301</v>
      </c>
      <c r="C17" t="s">
        <v>85</v>
      </c>
      <c r="D17" t="s">
        <v>5</v>
      </c>
      <c r="E17" t="str">
        <f>_xlfn.XLOOKUP(C17,[1]Sheet1!$C:$C,[1]Sheet1!$E:$E)</f>
        <v>#LW08 DIA:32cm CHEESE/PASTRIES DOME &amp; ASH BASE, LOTTA (LSA)</v>
      </c>
      <c r="F17" t="s">
        <v>86</v>
      </c>
    </row>
    <row r="18" spans="1:6">
      <c r="A18" t="str">
        <f>_xlfn.XLOOKUP(C18,[1]Sheet1!$C:$C,[1]Sheet1!$A:$A)</f>
        <v>5344-G1217-36-301</v>
      </c>
      <c r="B18" t="str">
        <f>_xlfn.XLOOKUP(C18,[1]Sheet1!$C:$C,[1]Sheet1!$B:$B)</f>
        <v>G1217-36-301</v>
      </c>
      <c r="C18" t="s">
        <v>89</v>
      </c>
      <c r="D18" t="s">
        <v>5</v>
      </c>
      <c r="E18" t="str">
        <f>_xlfn.XLOOKUP(C18,[1]Sheet1!$C:$C,[1]Sheet1!$E:$E)</f>
        <v>(WSL19) #WH03 1.0ltr WHISKY DECANTER W/WALNUT BASE, ISLAY (LSA) 2PCS/CTN</v>
      </c>
      <c r="F18" t="s">
        <v>90</v>
      </c>
    </row>
    <row r="19" spans="1:6">
      <c r="A19" t="str">
        <f>_xlfn.XLOOKUP(C19,[1]Sheet1!$C:$C,[1]Sheet1!$A:$A)</f>
        <v>5344-G1612-43-301</v>
      </c>
      <c r="B19" t="str">
        <f>_xlfn.XLOOKUP(C19,[1]Sheet1!$C:$C,[1]Sheet1!$B:$B)</f>
        <v>G1612-43-301</v>
      </c>
      <c r="C19" t="s">
        <v>93</v>
      </c>
      <c r="D19" t="s">
        <v>5</v>
      </c>
      <c r="E19" t="str">
        <f>_xlfn.XLOOKUP(C19,[1]Sheet1!$C:$C,[1]Sheet1!$E:$E)</f>
        <v>(IDMOQ2) #VO04 W14xH30.5cm, 1.2ltr JUG, VOID (LSA) 1PC/CTN</v>
      </c>
      <c r="F19" t="s">
        <v>94</v>
      </c>
    </row>
    <row r="20" spans="1:6">
      <c r="A20" t="str">
        <f>_xlfn.XLOOKUP(C20,[1]Sheet1!$C:$C,[1]Sheet1!$A:$A)</f>
        <v>5344-G1690-36-301</v>
      </c>
      <c r="B20" t="str">
        <f>_xlfn.XLOOKUP(C20,[1]Sheet1!$C:$C,[1]Sheet1!$B:$B)</f>
        <v>G1690-36-301</v>
      </c>
      <c r="C20" t="s">
        <v>97</v>
      </c>
      <c r="D20" t="s">
        <v>5</v>
      </c>
      <c r="E20" t="str">
        <f>_xlfn.XLOOKUP(C20,[1]Sheet1!$C:$C,[1]Sheet1!$E:$E)</f>
        <v>LSA, G1690-36-301, CASK WHISKY RECTANGLE DECANTER 1L CLEAR (ID)</v>
      </c>
      <c r="F20" t="s">
        <v>98</v>
      </c>
    </row>
    <row r="21" spans="1:6">
      <c r="A21" t="str">
        <f>_xlfn.XLOOKUP(C21,[1]Sheet1!$C:$C,[1]Sheet1!$A:$A)</f>
        <v>5344-G1691-36-301</v>
      </c>
      <c r="B21" t="str">
        <f>_xlfn.XLOOKUP(C21,[1]Sheet1!$C:$C,[1]Sheet1!$B:$B)</f>
        <v>G1691-36-301</v>
      </c>
      <c r="C21" t="s">
        <v>101</v>
      </c>
      <c r="D21" t="s">
        <v>5</v>
      </c>
      <c r="E21" t="str">
        <f>_xlfn.XLOOKUP(C21,[1]Sheet1!$C:$C,[1]Sheet1!$E:$E)</f>
        <v>LSA, G1691-36-301, CASK WHISKY SQUARE DECANTER 1L CLEAR (ID)</v>
      </c>
      <c r="F21" t="s">
        <v>102</v>
      </c>
    </row>
    <row r="22" spans="1:6">
      <c r="A22" t="str">
        <f>_xlfn.XLOOKUP(C22,[1]Sheet1!$C:$C,[1]Sheet1!$A:$A)</f>
        <v>5344-G263-95-991</v>
      </c>
      <c r="B22" t="str">
        <f>_xlfn.XLOOKUP(C22,[1]Sheet1!$C:$C,[1]Sheet1!$B:$B)</f>
        <v>G263-95-991</v>
      </c>
      <c r="C22" t="s">
        <v>105</v>
      </c>
      <c r="D22" t="s">
        <v>5</v>
      </c>
      <c r="E22" t="str">
        <f>_xlfn.XLOOKUP(C22,[1]Sheet1!$C:$C,[1]Sheet1!$E:$E)</f>
        <v>#BR14 2.65ltr GLASS ICE LIP JUG, CLEAR/BAR (LSA) 2PCS/CTN</v>
      </c>
      <c r="F22" t="s">
        <v>106</v>
      </c>
    </row>
    <row r="23" spans="1:6">
      <c r="A23" t="str">
        <f>_xlfn.XLOOKUP(C23,[1]Sheet1!$C:$C,[1]Sheet1!$A:$A)</f>
        <v>5344-G1171-24-988</v>
      </c>
      <c r="B23">
        <f>_xlfn.XLOOKUP(C23,[1]Sheet1!$C:$C,[1]Sheet1!$B:$B)</f>
        <v>0</v>
      </c>
      <c r="C23" t="s">
        <v>109</v>
      </c>
      <c r="D23" t="s">
        <v>5</v>
      </c>
      <c r="E23" t="str">
        <f>_xlfn.XLOOKUP(C23,[1]Sheet1!$C:$C,[1]Sheet1!$E:$E)</f>
        <v>(DCWSL19) #MZ25 24/16.5cm SERVING BOWL &amp; OAK BASE, RECYCLED PART OPTIC, MIA (LSA)</v>
      </c>
      <c r="F23" t="s">
        <v>110</v>
      </c>
    </row>
    <row r="24" spans="1:6">
      <c r="A24" t="str">
        <f>_xlfn.XLOOKUP(C24,[1]Sheet1!$C:$C,[1]Sheet1!$A:$A)</f>
        <v>5344-G1182-09-358</v>
      </c>
      <c r="B24" t="str">
        <f>_xlfn.XLOOKUP(C24,[1]Sheet1!$C:$C,[1]Sheet1!$B:$B)</f>
        <v>G1182-09-358</v>
      </c>
      <c r="C24" t="s">
        <v>113</v>
      </c>
      <c r="D24" t="s">
        <v>5</v>
      </c>
      <c r="E24" t="str">
        <f>_xlfn.XLOOKUP(C24,[1]Sheet1!$C:$C,[1]Sheet1!$E:$E)</f>
        <v>(IDMOQ4PCS) #HS18, DIA9.5cm GOLD BOWL, HOST (LSA) 1PC/CTN</v>
      </c>
      <c r="F24" t="s">
        <v>114</v>
      </c>
    </row>
    <row r="25" spans="1:6">
      <c r="A25" t="str">
        <f>_xlfn.XLOOKUP(C25,[1]Sheet1!$C:$C,[1]Sheet1!$A:$A)</f>
        <v>5344-G1182-15-359</v>
      </c>
      <c r="B25" t="str">
        <f>_xlfn.XLOOKUP(C25,[1]Sheet1!$C:$C,[1]Sheet1!$B:$B)</f>
        <v>G1182-15-359</v>
      </c>
      <c r="C25" t="s">
        <v>117</v>
      </c>
      <c r="D25" t="s">
        <v>5</v>
      </c>
      <c r="E25" t="str">
        <f>_xlfn.XLOOKUP(C25,[1]Sheet1!$C:$C,[1]Sheet1!$E:$E)</f>
        <v>(IDMOQ3PCS) #HS21, DIA15cm PLATINUM BOWL, HOST (LSA) 1PC/CTN</v>
      </c>
      <c r="F25" t="s">
        <v>118</v>
      </c>
    </row>
    <row r="26" spans="1:6">
      <c r="A26" t="str">
        <f>_xlfn.XLOOKUP(C26,[1]Sheet1!$C:$C,[1]Sheet1!$A:$A)</f>
        <v>5344-G503-28-301</v>
      </c>
      <c r="B26" t="str">
        <f>_xlfn.XLOOKUP(C26,[1]Sheet1!$C:$C,[1]Sheet1!$B:$B)</f>
        <v>G503-28-301</v>
      </c>
      <c r="C26" t="s">
        <v>121</v>
      </c>
      <c r="D26" t="s">
        <v>5</v>
      </c>
      <c r="E26" t="str">
        <f>_xlfn.XLOOKUP(C26,[1]Sheet1!$C:$C,[1]Sheet1!$E:$E)</f>
        <v>#SZ10 27.5cm GLASS LOW BOWL, CLEAR/SERVE (LSA)(3PCS/CTN)</v>
      </c>
      <c r="F26" t="s">
        <v>122</v>
      </c>
    </row>
    <row r="27" spans="1:6">
      <c r="A27" t="str">
        <f>_xlfn.XLOOKUP(C27,[1]Sheet1!$C:$C,[1]Sheet1!$A:$A)</f>
        <v>5344-G990-02-301</v>
      </c>
      <c r="B27" t="str">
        <f>_xlfn.XLOOKUP(C27,[1]Sheet1!$C:$C,[1]Sheet1!$B:$B)</f>
        <v>G990-02-301</v>
      </c>
      <c r="C27" t="s">
        <v>125</v>
      </c>
      <c r="D27" t="s">
        <v>5</v>
      </c>
      <c r="E27" t="str">
        <f>_xlfn.XLOOKUP(C27,[1]Sheet1!$C:$C,[1]Sheet1!$E:$E)</f>
        <v>LSA G990-02-301 #LW10  BOWL &amp; ASH BASE LOTTA DIA:31cm (LSA)</v>
      </c>
      <c r="F27" t="s">
        <v>126</v>
      </c>
    </row>
    <row r="28" spans="1:6">
      <c r="A28" t="str">
        <f>_xlfn.XLOOKUP(C28,[1]Sheet1!$C:$C,[1]Sheet1!$A:$A)</f>
        <v>5344-P218-26-997</v>
      </c>
      <c r="B28" t="str">
        <f>_xlfn.XLOOKUP(C28,[1]Sheet1!$C:$C,[1]Sheet1!$B:$B)</f>
        <v>P218-26-997</v>
      </c>
      <c r="C28" t="s">
        <v>129</v>
      </c>
      <c r="D28" t="s">
        <v>5</v>
      </c>
      <c r="E28" t="str">
        <f>_xlfn.XLOOKUP(C28,[1]Sheet1!$C:$C,[1]Sheet1!$E:$E)</f>
        <v>(ID-MOQ)LSA P218-26-997 #DI45 DINE BOWL &amp; OAK SERVERS DIAØ24cm, 2'S/CTN (IDPOA)</v>
      </c>
      <c r="F28" t="s">
        <v>130</v>
      </c>
    </row>
    <row r="29" spans="1:6">
      <c r="A29" t="str">
        <f>_xlfn.XLOOKUP(C29,[1]Sheet1!$C:$C,[1]Sheet1!$A:$A)</f>
        <v>5344-W114-01-250</v>
      </c>
      <c r="B29" t="str">
        <f>_xlfn.XLOOKUP(C29,[1]Sheet1!$C:$C,[1]Sheet1!$B:$B)</f>
        <v>W114-01-250</v>
      </c>
      <c r="C29" t="s">
        <v>133</v>
      </c>
      <c r="D29" t="s">
        <v>5</v>
      </c>
      <c r="E29" t="str">
        <f>_xlfn.XLOOKUP(C29,[1]Sheet1!$C:$C,[1]Sheet1!$E:$E)</f>
        <v>(WSL19)(ID-MOQ:4) #UT41 DIA25cm BOARD ASH &amp; LEATHER HDL (LSA)</v>
      </c>
      <c r="F29" t="s">
        <v>134</v>
      </c>
    </row>
    <row r="30" spans="1:6">
      <c r="A30" t="str">
        <f>_xlfn.XLOOKUP(C30,[1]Sheet1!$C:$C,[1]Sheet1!$A:$A)</f>
        <v>5344-W195-01-000</v>
      </c>
      <c r="B30" t="str">
        <f>_xlfn.XLOOKUP(C30,[1]Sheet1!$C:$C,[1]Sheet1!$B:$B)</f>
        <v>W195-01-000</v>
      </c>
      <c r="C30" t="s">
        <v>137</v>
      </c>
      <c r="D30" t="s">
        <v>5</v>
      </c>
      <c r="E30" t="str">
        <f>_xlfn.XLOOKUP(C30,[1]Sheet1!$C:$C,[1]Sheet1!$E:$E)</f>
        <v>(IDMOQ4SETS) #BG18, L17/L22.5/L30cm TRIO BOARD SET W/ASH LEATHER (LSA) 1SET/CTN</v>
      </c>
      <c r="F30" t="s">
        <v>138</v>
      </c>
    </row>
    <row r="31" spans="1:6">
      <c r="A31" t="str">
        <f>_xlfn.XLOOKUP(C31,[1]Sheet1!$C:$C,[1]Sheet1!$A:$A)</f>
        <v>5344-G1618-22-301</v>
      </c>
      <c r="B31" t="str">
        <f>_xlfn.XLOOKUP(C31,[1]Sheet1!$C:$C,[1]Sheet1!$B:$B)</f>
        <v>G1618-22-301</v>
      </c>
      <c r="C31" t="s">
        <v>143</v>
      </c>
      <c r="D31" t="s">
        <v>5</v>
      </c>
      <c r="E31" t="str">
        <f>_xlfn.XLOOKUP(C31,[1]Sheet1!$C:$C,[1]Sheet1!$E:$E)</f>
        <v>(IDMOQ24PCS) #BG05, 625ml CRAFT BEER GLASS, CLEAR, BOROUGH (LSA) 4PCS/SET</v>
      </c>
      <c r="F31" t="s">
        <v>141</v>
      </c>
    </row>
    <row r="32" spans="1:6">
      <c r="A32" t="str">
        <f>_xlfn.XLOOKUP(C32,[1]Sheet1!$C:$C,[1]Sheet1!$A:$A)</f>
        <v>5344-G1655-07-610</v>
      </c>
      <c r="B32" t="str">
        <f>_xlfn.XLOOKUP(C32,[1]Sheet1!$C:$C,[1]Sheet1!$B:$B)</f>
        <v>G1655-07-610</v>
      </c>
      <c r="C32" t="s">
        <v>145</v>
      </c>
      <c r="D32" t="s">
        <v>5</v>
      </c>
      <c r="E32" t="str">
        <f>_xlfn.XLOOKUP(C32,[1]Sheet1!$C:$C,[1]Sheet1!$E:$E)</f>
        <v>(ID) LSA #RT07, H7CM ROTUNDA TEALIGHT HOLDER/VASE, SAPPHIRE (4PCS/CTN)</v>
      </c>
      <c r="F32" t="s">
        <v>146</v>
      </c>
    </row>
    <row r="33" spans="1:6">
      <c r="A33" t="str">
        <f>_xlfn.XLOOKUP(C33,[1]Sheet1!$C:$C,[1]Sheet1!$A:$A)</f>
        <v>5344-G1662-08-141</v>
      </c>
      <c r="B33" t="str">
        <f>_xlfn.XLOOKUP(C33,[1]Sheet1!$C:$C,[1]Sheet1!$B:$B)</f>
        <v>G1662-08-141</v>
      </c>
      <c r="C33" t="s">
        <v>149</v>
      </c>
      <c r="D33" t="s">
        <v>5</v>
      </c>
      <c r="E33" t="str">
        <f>_xlfn.XLOOKUP(C33,[1]Sheet1!$C:$C,[1]Sheet1!$E:$E)</f>
        <v>LSA, G1662-08-141, EPOQUE TEALIGHT HOLDER H8.5CM AMBER/LUSTRE (ID)</v>
      </c>
      <c r="F33" t="s">
        <v>150</v>
      </c>
    </row>
    <row r="34" spans="1:6">
      <c r="A34" t="str">
        <f>_xlfn.XLOOKUP(C34,[1]Sheet1!$C:$C,[1]Sheet1!$A:$A)</f>
        <v>5344-G1706-08-895</v>
      </c>
      <c r="B34" t="str">
        <f>_xlfn.XLOOKUP(C34,[1]Sheet1!$C:$C,[1]Sheet1!$B:$B)</f>
        <v>G1706-08-895</v>
      </c>
      <c r="C34" t="s">
        <v>153</v>
      </c>
      <c r="D34" t="s">
        <v>5</v>
      </c>
      <c r="E34" t="str">
        <f>_xlfn.XLOOKUP(C34,[1]Sheet1!$C:$C,[1]Sheet1!$E:$E)</f>
        <v>(ID) LSA #LG11 LAGOON H 8cm TEALIGHT HOLDER/VASE SEA GREEN (4PCS/CTN)</v>
      </c>
      <c r="F34" t="s">
        <v>154</v>
      </c>
    </row>
    <row r="35" spans="1:6">
      <c r="A35" t="str">
        <f>_xlfn.XLOOKUP(C35,[1]Sheet1!$C:$C,[1]Sheet1!$A:$A)</f>
        <v>5344-G368-08-552</v>
      </c>
      <c r="B35" t="str">
        <f>_xlfn.XLOOKUP(C35,[1]Sheet1!$C:$C,[1]Sheet1!$B:$B)</f>
        <v>LI20</v>
      </c>
      <c r="C35" t="s">
        <v>157</v>
      </c>
      <c r="D35" t="s">
        <v>5</v>
      </c>
      <c r="E35" t="str">
        <f>_xlfn.XLOOKUP(C35,[1]Sheet1!$C:$C,[1]Sheet1!$E:$E)</f>
        <v>#LI20 H8.5cm TEALIGHT HOLDER, MOCHA LIGHT (LSA)</v>
      </c>
      <c r="F35" t="s">
        <v>158</v>
      </c>
    </row>
    <row r="36" spans="1:6">
      <c r="A36" t="str">
        <f>_xlfn.XLOOKUP(C36,[1]Sheet1!$C:$C,[1]Sheet1!$A:$A)</f>
        <v>5344-G991-23-301</v>
      </c>
      <c r="B36" t="str">
        <f>_xlfn.XLOOKUP(C36,[1]Sheet1!$C:$C,[1]Sheet1!$B:$B)</f>
        <v>G991-23-301</v>
      </c>
      <c r="C36" t="s">
        <v>162</v>
      </c>
      <c r="D36" t="s">
        <v>5</v>
      </c>
      <c r="E36" t="str">
        <f>_xlfn.XLOOKUP(C36,[1]Sheet1!$C:$C,[1]Sheet1!$E:$E)</f>
        <v>(WSL19) H22.5cm LANTERN &amp; ASH BASE, LOTTA (LSA)</v>
      </c>
      <c r="F36" t="s">
        <v>163</v>
      </c>
    </row>
    <row r="37" spans="1:6">
      <c r="A37" t="str">
        <f>_xlfn.XLOOKUP(C37,[1]Sheet1!$C:$C,[1]Sheet1!$A:$A)</f>
        <v>5344-G1072-09-301</v>
      </c>
      <c r="B37" t="str">
        <f>_xlfn.XLOOKUP(C37,[1]Sheet1!$C:$C,[1]Sheet1!$B:$B)</f>
        <v>G1072-09-301</v>
      </c>
      <c r="C37" t="s">
        <v>166</v>
      </c>
      <c r="D37" t="s">
        <v>5</v>
      </c>
      <c r="E37" t="str">
        <f>_xlfn.XLOOKUP(C37,[1]Sheet1!$C:$C,[1]Sheet1!$E:$E)</f>
        <v>(IDMOQ12PCS) #FW27, H9.5cm CLEAR MINI TABLE VASE, FLOWER (LSA) 1PC/CTN</v>
      </c>
      <c r="F37" t="s">
        <v>167</v>
      </c>
    </row>
    <row r="38" spans="1:6">
      <c r="A38" t="str">
        <f>_xlfn.XLOOKUP(C38,[1]Sheet1!$C:$C,[1]Sheet1!$A:$A)</f>
        <v>5344-G1608-31-153</v>
      </c>
      <c r="B38" t="str">
        <f>_xlfn.XLOOKUP(C38,[1]Sheet1!$C:$C,[1]Sheet1!$B:$B)</f>
        <v>G1608-31-153</v>
      </c>
      <c r="C38" t="s">
        <v>170</v>
      </c>
      <c r="D38" t="s">
        <v>5</v>
      </c>
      <c r="E38" t="str">
        <f>_xlfn.XLOOKUP(C38,[1]Sheet1!$C:$C,[1]Sheet1!$E:$E)</f>
        <v>LSA, G1608-31-153, BOULDER VASE H31CM CHALK THREAD (ID)</v>
      </c>
      <c r="F38" t="s">
        <v>171</v>
      </c>
    </row>
    <row r="39" spans="1:6">
      <c r="A39" t="str">
        <f>_xlfn.XLOOKUP(C39,[1]Sheet1!$C:$C,[1]Sheet1!$A:$A)</f>
        <v>5344-G1655-14-301</v>
      </c>
      <c r="B39" t="str">
        <f>_xlfn.XLOOKUP(C39,[1]Sheet1!$C:$C,[1]Sheet1!$B:$B)</f>
        <v>G1655-14-301</v>
      </c>
      <c r="C39" t="s">
        <v>176</v>
      </c>
      <c r="D39" t="s">
        <v>5</v>
      </c>
      <c r="E39" t="str">
        <f>_xlfn.XLOOKUP(C39,[1]Sheet1!$C:$C,[1]Sheet1!$E:$E)</f>
        <v>(ID) LSA #RT04 ROTUNDA H14cm WIDE VASE CLEAR (3PCS/CTN)</v>
      </c>
      <c r="F39" t="s">
        <v>177</v>
      </c>
    </row>
    <row r="40" spans="1:6">
      <c r="A40" t="str">
        <f>_xlfn.XLOOKUP(C40,[1]Sheet1!$C:$C,[1]Sheet1!$A:$A)</f>
        <v>5344-G1655-15-610</v>
      </c>
      <c r="B40" t="str">
        <f>_xlfn.XLOOKUP(C40,[1]Sheet1!$C:$C,[1]Sheet1!$B:$B)</f>
        <v>G1655-15-610</v>
      </c>
      <c r="C40" t="s">
        <v>180</v>
      </c>
      <c r="D40" t="s">
        <v>5</v>
      </c>
      <c r="E40" t="str">
        <f>_xlfn.XLOOKUP(C40,[1]Sheet1!$C:$C,[1]Sheet1!$E:$E)</f>
        <v>(ID) LSA #RT08, H15CM ROTUNDA VASE, SAPPHIRE (4PCS/CTN)</v>
      </c>
      <c r="F40" t="s">
        <v>181</v>
      </c>
    </row>
    <row r="41" spans="1:6">
      <c r="A41" t="str">
        <f>_xlfn.XLOOKUP(C41,[1]Sheet1!$C:$C,[1]Sheet1!$A:$A)</f>
        <v>5344-G1663-13-140</v>
      </c>
      <c r="B41" t="str">
        <f>_xlfn.XLOOKUP(C41,[1]Sheet1!$C:$C,[1]Sheet1!$B:$B)</f>
        <v>G1663-13-140</v>
      </c>
      <c r="C41" t="s">
        <v>184</v>
      </c>
      <c r="D41" t="s">
        <v>5</v>
      </c>
      <c r="E41" t="str">
        <f>_xlfn.XLOOKUP(C41,[1]Sheet1!$C:$C,[1]Sheet1!$E:$E)</f>
        <v>LSA #EQ13, H13.5cm VASE, SAPPHIRE/LUSTRE, EPOQUE 3PC/CTN</v>
      </c>
      <c r="F41" t="s">
        <v>174</v>
      </c>
    </row>
    <row r="42" spans="1:6">
      <c r="A42" t="str">
        <f>_xlfn.XLOOKUP(C42,[1]Sheet1!$C:$C,[1]Sheet1!$A:$A)</f>
        <v>5344-G429-32-301</v>
      </c>
      <c r="B42" t="str">
        <f>_xlfn.XLOOKUP(C42,[1]Sheet1!$C:$C,[1]Sheet1!$B:$B)</f>
        <v>G429-32-301</v>
      </c>
      <c r="C42" t="s">
        <v>186</v>
      </c>
      <c r="D42" t="s">
        <v>5</v>
      </c>
      <c r="E42" t="str">
        <f>_xlfn.XLOOKUP(C42,[1]Sheet1!$C:$C,[1]Sheet1!$E:$E)</f>
        <v>#FW15 H32cm GRAND POSY VASE, CLEAR/FLOWER (LSA) 2PCS/CTN</v>
      </c>
      <c r="F42" t="s">
        <v>187</v>
      </c>
    </row>
    <row r="43" spans="1:6">
      <c r="A43" t="str">
        <f>_xlfn.XLOOKUP(C43,[1]Sheet1!$C:$C,[1]Sheet1!$A:$A)</f>
        <v>5344-G594-11-301</v>
      </c>
      <c r="B43" t="str">
        <f>_xlfn.XLOOKUP(C43,[1]Sheet1!$C:$C,[1]Sheet1!$B:$B)</f>
        <v>G594-11-301</v>
      </c>
      <c r="C43" t="s">
        <v>190</v>
      </c>
      <c r="D43" t="s">
        <v>5</v>
      </c>
      <c r="E43" t="str">
        <f>_xlfn.XLOOKUP(C43,[1]Sheet1!$C:$C,[1]Sheet1!$E:$E)</f>
        <v>LSA, G594-11-301, FLOWER TABLE ARRANGEMENT VASE H11.5CM CLEAR (ID)</v>
      </c>
      <c r="F43" t="s">
        <v>191</v>
      </c>
    </row>
    <row r="44" spans="1:6">
      <c r="A44" t="str">
        <f>_xlfn.XLOOKUP(C44,[1]Sheet1!$C:$C,[1]Sheet1!$A:$A)</f>
        <v>5344-G597-17-301</v>
      </c>
      <c r="B44" t="str">
        <f>_xlfn.XLOOKUP(C44,[1]Sheet1!$C:$C,[1]Sheet1!$B:$B)</f>
        <v>G597-17-301</v>
      </c>
      <c r="C44" t="s">
        <v>194</v>
      </c>
      <c r="D44" t="s">
        <v>5</v>
      </c>
      <c r="E44" t="str">
        <f>_xlfn.XLOOKUP(C44,[1]Sheet1!$C:$C,[1]Sheet1!$E:$E)</f>
        <v>(IDMOQ SET OF 4) #FW03 DIA17xH17cm GLASS TABLE BOUQUET VASE, FLOWER (LSA) 4PCS/CTN</v>
      </c>
      <c r="F44" t="s">
        <v>195</v>
      </c>
    </row>
    <row r="45" spans="1:6">
      <c r="A45" t="str">
        <f>_xlfn.XLOOKUP(C45,[1]Sheet1!$C:$C,[1]Sheet1!$A:$A)</f>
        <v>5344-G612-17-301</v>
      </c>
      <c r="B45" t="str">
        <f>_xlfn.XLOOKUP(C45,[1]Sheet1!$C:$C,[1]Sheet1!$B:$B)</f>
        <v>G612-17-301</v>
      </c>
      <c r="C45" t="s">
        <v>198</v>
      </c>
      <c r="D45" t="s">
        <v>5</v>
      </c>
      <c r="E45" t="str">
        <f>_xlfn.XLOOKUP(C45,[1]Sheet1!$C:$C,[1]Sheet1!$E:$E)</f>
        <v>#FW04 17cm GLASS SINGLE STEM VASE, CLEAR/FLOWER (LSA)</v>
      </c>
      <c r="F45" t="s">
        <v>199</v>
      </c>
    </row>
    <row r="46" spans="1:6">
      <c r="A46" t="str">
        <f>_xlfn.XLOOKUP(C46,[1]Sheet1!$C:$C,[1]Sheet1!$A:$A)</f>
        <v>5344-G686-41-301</v>
      </c>
      <c r="B46" t="str">
        <f>_xlfn.XLOOKUP(C46,[1]Sheet1!$C:$C,[1]Sheet1!$B:$B)</f>
        <v>G686-41-301</v>
      </c>
      <c r="C46" t="s">
        <v>202</v>
      </c>
      <c r="D46" t="s">
        <v>5</v>
      </c>
      <c r="E46" t="str">
        <f>_xlfn.XLOOKUP(C46,[1]Sheet1!$C:$C,[1]Sheet1!$E:$E)</f>
        <v>#FW10 H41cm GRAND STEM VASE, CLEAR/FLOWER (LSA)</v>
      </c>
      <c r="F46" t="s">
        <v>203</v>
      </c>
    </row>
    <row r="47" spans="1:6">
      <c r="A47" t="str">
        <f>_xlfn.XLOOKUP(C47,[1]Sheet1!$C:$C,[1]Sheet1!$A:$A)</f>
        <v>5344-G991-24-301</v>
      </c>
      <c r="B47" t="str">
        <f>_xlfn.XLOOKUP(C47,[1]Sheet1!$C:$C,[1]Sheet1!$B:$B)</f>
        <v>G991-24-301</v>
      </c>
      <c r="C47" t="s">
        <v>206</v>
      </c>
      <c r="D47" t="s">
        <v>5</v>
      </c>
      <c r="E47" t="str">
        <f>_xlfn.XLOOKUP(C47,[1]Sheet1!$C:$C,[1]Sheet1!$E:$E)</f>
        <v>(WSL19) H18cm VASE/LANTERN &amp; ASH BASE, LOTTA (LSA)</v>
      </c>
      <c r="F47" t="s">
        <v>207</v>
      </c>
    </row>
    <row r="48" spans="1:6">
      <c r="A48" t="str">
        <f>_xlfn.XLOOKUP(C48,[1]Sheet1!$C:$C,[1]Sheet1!$A:$A)</f>
        <v>5344-G1712-24-148</v>
      </c>
      <c r="B48" t="str">
        <f>_xlfn.XLOOKUP(C48,[1]Sheet1!$C:$C,[1]Sheet1!$B:$B)</f>
        <v>G1712-24-148</v>
      </c>
      <c r="C48" t="s">
        <v>210</v>
      </c>
      <c r="D48" t="s">
        <v>5</v>
      </c>
      <c r="E48" t="str">
        <f>_xlfn.XLOOKUP(C48,[1]Sheet1!$C:$C,[1]Sheet1!$E:$E)</f>
        <v>(MOQ:4) LSA #WR21 WICKER Ø15cm/H24.5cm CONTAINER &amp; LID CLEAR (6PCS/CTN)</v>
      </c>
      <c r="F48" t="s">
        <v>211</v>
      </c>
    </row>
    <row r="49" spans="1:6">
      <c r="A49" t="str">
        <f>_xlfn.XLOOKUP(C49,[1]Sheet1!$C:$C,[1]Sheet1!$A:$A)</f>
        <v>5344-G1284-09-301B</v>
      </c>
      <c r="B49" t="str">
        <f>_xlfn.XLOOKUP(C49,[1]Sheet1!$C:$C,[1]Sheet1!$B:$B)</f>
        <v>G1284-09-301B</v>
      </c>
      <c r="C49" t="s">
        <v>214</v>
      </c>
      <c r="D49" t="s">
        <v>5</v>
      </c>
      <c r="E49" t="str">
        <f>_xlfn.XLOOKUP(C49,[1]Sheet1!$C:$C,[1]Sheet1!$E:$E)</f>
        <v>H8.5xW6.5cm, 240ml WHITE WINE GLASS, CLEAR/OTIS (2/SET) (SELL BY SET)</v>
      </c>
      <c r="F49" t="s">
        <v>215</v>
      </c>
    </row>
    <row r="50" spans="1:6">
      <c r="A50" t="str">
        <f>_xlfn.XLOOKUP(C50,[1]Sheet1!$C:$C,[1]Sheet1!$A:$A)</f>
        <v>5344-G1620-24-301</v>
      </c>
      <c r="B50" t="str">
        <f>_xlfn.XLOOKUP(C50,[1]Sheet1!$C:$C,[1]Sheet1!$B:$B)</f>
        <v>G1620-24-301</v>
      </c>
      <c r="C50" t="s">
        <v>218</v>
      </c>
      <c r="D50" t="s">
        <v>5</v>
      </c>
      <c r="E50" t="str">
        <f>_xlfn.XLOOKUP(C50,[1]Sheet1!$C:$C,[1]Sheet1!$E:$E)</f>
        <v>(IDMOQ24PCS) #BG09, 680ml BALLOON GLASS, CLEAR, BOROUGH (LSA) 4PCS/SET</v>
      </c>
      <c r="F50" t="s">
        <v>219</v>
      </c>
    </row>
    <row r="51" spans="1:6">
      <c r="A51" t="str">
        <f>_xlfn.XLOOKUP(C51,[1]Sheet1!$C:$C,[1]Sheet1!$A:$A)</f>
        <v>5344-G1748-09-301</v>
      </c>
      <c r="B51" t="str">
        <f>_xlfn.XLOOKUP(C51,[1]Sheet1!$C:$C,[1]Sheet1!$B:$B)</f>
        <v>G1748-09-301</v>
      </c>
      <c r="C51" t="s">
        <v>222</v>
      </c>
      <c r="D51" t="s">
        <v>5</v>
      </c>
      <c r="E51" t="str">
        <f>_xlfn.XLOOKUP(C51,[1]Sheet1!$C:$C,[1]Sheet1!$E:$E)</f>
        <v>LSA #G1748-09-301 #AC06 ARC CLEAR 240ml CHAMPAGNE FLUTE (4PCS/CTN) (SELL BY CTN)</v>
      </c>
      <c r="F51" t="s">
        <v>223</v>
      </c>
    </row>
    <row r="52" spans="1:6">
      <c r="A52" t="str">
        <f>_xlfn.XLOOKUP(C52,[1]Sheet1!$C:$C,[1]Sheet1!$A:$A)</f>
        <v>5344-G259-26-991</v>
      </c>
      <c r="B52" t="str">
        <f>_xlfn.XLOOKUP(C52,[1]Sheet1!$C:$C,[1]Sheet1!$B:$B)</f>
        <v>G259-26-991</v>
      </c>
      <c r="C52" t="s">
        <v>226</v>
      </c>
      <c r="D52" t="s">
        <v>5</v>
      </c>
      <c r="E52" t="str">
        <f>_xlfn.XLOOKUP(C52,[1]Sheet1!$C:$C,[1]Sheet1!$E:$E)</f>
        <v>#BR17 DIA19xH26cm GLASS CHAMPAGNE BUCKET, CLEAR/BAR (LSA)</v>
      </c>
      <c r="F52" t="s">
        <v>227</v>
      </c>
    </row>
    <row r="53" spans="1:6">
      <c r="A53" t="str">
        <f>_xlfn.XLOOKUP(C53,[1]Sheet1!$C:$C,[1]Sheet1!$A:$A)</f>
        <v>5344-G474-04-985</v>
      </c>
      <c r="B53" t="str">
        <f>_xlfn.XLOOKUP(C53,[1]Sheet1!$C:$C,[1]Sheet1!$B:$B)</f>
        <v>G474-04-985</v>
      </c>
      <c r="C53" t="s">
        <v>230</v>
      </c>
      <c r="D53" t="s">
        <v>5</v>
      </c>
      <c r="E53" t="str">
        <f>_xlfn.XLOOKUP(C53,[1]Sheet1!$C:$C,[1]Sheet1!$E:$E)</f>
        <v>#MV17 170ml CHAMP FLUTE, CLEAR/MOYA (LSA) 2PCS/SET (SELL BY SET)</v>
      </c>
      <c r="F53" t="s">
        <v>231</v>
      </c>
    </row>
    <row r="54" spans="1:6">
      <c r="A54" t="str">
        <f>_xlfn.XLOOKUP(C54,[1]Sheet1!$C:$C,[1]Sheet1!$A:$A)</f>
        <v>5344-G730-11-776B</v>
      </c>
      <c r="B54" t="str">
        <f>_xlfn.XLOOKUP(C54,[1]Sheet1!$C:$C,[1]Sheet1!$B:$B)</f>
        <v>G730-11-776B</v>
      </c>
      <c r="C54" t="s">
        <v>234</v>
      </c>
      <c r="D54" t="s">
        <v>5</v>
      </c>
      <c r="E54" t="str">
        <f>_xlfn.XLOOKUP(C54,[1]Sheet1!$C:$C,[1]Sheet1!$E:$E)</f>
        <v>(IDMOQX4SET) LSA #AU28 AURELIA 10oz CHAMPAGNE SAUCER CLEAR OPTIC (2PCS/SET)</v>
      </c>
      <c r="F54" t="s">
        <v>235</v>
      </c>
    </row>
    <row r="55" spans="1:6">
      <c r="A55" t="str">
        <f>_xlfn.XLOOKUP(C55,[1]Sheet1!$C:$C,[1]Sheet1!$A:$A)</f>
        <v>5344-G846-14-985</v>
      </c>
      <c r="B55" t="str">
        <f>_xlfn.XLOOKUP(C55,[1]Sheet1!$C:$C,[1]Sheet1!$B:$B)</f>
        <v>G846-14-985</v>
      </c>
      <c r="C55" t="s">
        <v>238</v>
      </c>
      <c r="D55" t="s">
        <v>5</v>
      </c>
      <c r="E55" t="str">
        <f>_xlfn.XLOOKUP(C55,[1]Sheet1!$C:$C,[1]Sheet1!$E:$E)</f>
        <v>(ID-MOQ) #MV16 395ml MARTINI/WINE GLASS, CLEAR/MOYA (LSA) 2PCS/SET (SELL BY SET)</v>
      </c>
      <c r="F55" t="s">
        <v>239</v>
      </c>
    </row>
    <row r="56" spans="1:6">
      <c r="A56" t="str">
        <f>_xlfn.XLOOKUP(C56,[1]Sheet1!$C:$C,[1]Sheet1!$A:$A)</f>
        <v>5344-G939-27-991</v>
      </c>
      <c r="B56" t="str">
        <f>_xlfn.XLOOKUP(C56,[1]Sheet1!$C:$C,[1]Sheet1!$B:$B)</f>
        <v>WI05</v>
      </c>
      <c r="C56" t="s">
        <v>242</v>
      </c>
      <c r="D56" t="s">
        <v>5</v>
      </c>
      <c r="E56" t="str">
        <f>_xlfn.XLOOKUP(C56,[1]Sheet1!$C:$C,[1]Sheet1!$E:$E)</f>
        <v>(WSL19)(SELL BY PC) #WI05 750ml RED WINE GLASS, CLEAR/WINE (LSA) 3PCS/CTN (SELL BY SET)</v>
      </c>
      <c r="F56" t="s">
        <v>243</v>
      </c>
    </row>
    <row r="57" spans="1:6">
      <c r="A57" t="str">
        <f>_xlfn.XLOOKUP(C57,[1]Sheet1!$C:$C,[1]Sheet1!$A:$A)</f>
        <v>5344-G989-02-301</v>
      </c>
      <c r="B57" t="str">
        <f>_xlfn.XLOOKUP(C57,[1]Sheet1!$C:$C,[1]Sheet1!$B:$B)</f>
        <v>G989-02-301</v>
      </c>
      <c r="C57" t="s">
        <v>246</v>
      </c>
      <c r="E57" t="str">
        <f>_xlfn.XLOOKUP(C57,[1]Sheet1!$C:$C,[1]Sheet1!$E:$E)</f>
        <v>#LW07  DIA:25/25.5cm CAKE/CHEESE DOME &amp; ASH BASE, LOTTA (LSA)</v>
      </c>
      <c r="F57" t="s">
        <v>247</v>
      </c>
    </row>
    <row r="58" spans="1:6">
      <c r="A58" t="str">
        <f>_xlfn.XLOOKUP(C58,[1]Sheet1!$C:$C,[1]Sheet1!$A:$A)</f>
        <v>5344-G261-68-991</v>
      </c>
      <c r="B58" t="str">
        <f>_xlfn.XLOOKUP(C58,[1]Sheet1!$C:$C,[1]Sheet1!$B:$B)</f>
        <v>G261-68-991</v>
      </c>
      <c r="C58" t="s">
        <v>248</v>
      </c>
      <c r="E58" t="str">
        <f>_xlfn.XLOOKUP(C58,[1]Sheet1!$C:$C,[1]Sheet1!$E:$E)</f>
        <v>#BR15 1.9ltr TAPERED JUG, BAR (LSA)</v>
      </c>
      <c r="F58" t="s">
        <v>249</v>
      </c>
    </row>
    <row r="59" spans="1:6">
      <c r="A59" t="str">
        <f>_xlfn.XLOOKUP(C59,[1]Sheet1!$C:$C,[1]Sheet1!$A:$A)</f>
        <v>5344-G507-31-301</v>
      </c>
      <c r="B59" t="str">
        <f>_xlfn.XLOOKUP(C59,[1]Sheet1!$C:$C,[1]Sheet1!$B:$B)</f>
        <v>G507-31-301</v>
      </c>
      <c r="C59" t="s">
        <v>250</v>
      </c>
      <c r="E59" t="str">
        <f>_xlfn.XLOOKUP(C59,[1]Sheet1!$C:$C,[1]Sheet1!$E:$E)</f>
        <v>#SZ13 DIA31cm GLASS CAKE STAND, CLEAR/SERVE  (LSA)</v>
      </c>
      <c r="F59" t="s">
        <v>251</v>
      </c>
    </row>
    <row r="60" spans="1:6">
      <c r="A60" t="str">
        <f>_xlfn.XLOOKUP(C60,[1]Sheet1!$C:$C,[1]Sheet1!$A:$A)</f>
        <v>5344-G1389-15-200</v>
      </c>
      <c r="B60" t="str">
        <f>_xlfn.XLOOKUP(C60,[1]Sheet1!$C:$C,[1]Sheet1!$B:$B)</f>
        <v>G1389-15-200</v>
      </c>
      <c r="C60" t="s">
        <v>252</v>
      </c>
      <c r="E60" t="str">
        <f>_xlfn.XLOOKUP(C60,[1]Sheet1!$C:$C,[1]Sheet1!$E:$E)</f>
        <v>(IDMOQ12) LSA #G1389-15-200 #GN03 GIN BALLOON GLASS 420ML CLEAR  (2PCS/CTN)</v>
      </c>
      <c r="F60" t="s">
        <v>253</v>
      </c>
    </row>
    <row r="61" spans="1:6">
      <c r="A61" t="str">
        <f>_xlfn.XLOOKUP(C61,[1]Sheet1!$C:$C,[1]Sheet1!$A:$A)</f>
        <v>5344-G1500-28-301</v>
      </c>
      <c r="B61" t="str">
        <f>_xlfn.XLOOKUP(C61,[1]Sheet1!$C:$C,[1]Sheet1!$B:$B)</f>
        <v>G1500-28-301</v>
      </c>
      <c r="C61" t="s">
        <v>254</v>
      </c>
      <c r="E61" t="str">
        <f>_xlfn.XLOOKUP(C61,[1]Sheet1!$C:$C,[1]Sheet1!$E:$E)</f>
        <v>LSA G1500-28-301 #IV12 ASH STAND &amp; DOME CLEAR/IVALO DIA28cmxHT23cm  (2PCS/CTN)</v>
      </c>
      <c r="F61" t="s">
        <v>255</v>
      </c>
    </row>
    <row r="62" spans="1:6">
      <c r="A62" t="str">
        <f>_xlfn.XLOOKUP(C62,[1]Sheet1!$C:$C,[1]Sheet1!$A:$A)</f>
        <v>5344-G1240-26-301</v>
      </c>
      <c r="B62" t="str">
        <f>_xlfn.XLOOKUP(C62,[1]Sheet1!$C:$C,[1]Sheet1!$B:$B)</f>
        <v>G1240-26-301</v>
      </c>
      <c r="C62" t="s">
        <v>256</v>
      </c>
      <c r="E62" t="str">
        <f>_xlfn.XLOOKUP(C62,[1]Sheet1!$C:$C,[1]Sheet1!$E:$E)</f>
        <v>LSA, #CJ08 DIAØ26xH25cm CITY DOME &amp; WALNUT STAND CLEAR</v>
      </c>
      <c r="F62" t="s">
        <v>257</v>
      </c>
    </row>
    <row r="63" spans="1:6">
      <c r="A63" t="str">
        <f>_xlfn.XLOOKUP(C63,[1]Sheet1!$C:$C,[1]Sheet1!$A:$A)</f>
        <v>5344-G008-01-992</v>
      </c>
      <c r="B63" t="str">
        <f>_xlfn.XLOOKUP(C63,[1]Sheet1!$C:$C,[1]Sheet1!$B:$B)</f>
        <v>G008-01-992</v>
      </c>
      <c r="C63" t="s">
        <v>258</v>
      </c>
      <c r="E63" t="str">
        <f>_xlfn.XLOOKUP(C63,[1]Sheet1!$C:$C,[1]Sheet1!$E:$E)</f>
        <v>(Old Code:#G008-01-301)#BI05 50ml VODKA GLASS, CLEAR/BORIS(LSA) 3PCS/CTN (SELL BY SET)</v>
      </c>
      <c r="F63" t="s">
        <v>259</v>
      </c>
    </row>
    <row r="64" spans="1:6">
      <c r="A64" t="str">
        <f>_xlfn.XLOOKUP(C64,[1]Sheet1!$C:$C,[1]Sheet1!$A:$A)</f>
        <v>5344-G1048-31-301</v>
      </c>
      <c r="B64" t="str">
        <f>_xlfn.XLOOKUP(C64,[1]Sheet1!$C:$C,[1]Sheet1!$B:$B)</f>
        <v>G1048-31-301</v>
      </c>
      <c r="C64" t="s">
        <v>260</v>
      </c>
      <c r="E64" t="str">
        <f>_xlfn.XLOOKUP(C64,[1]Sheet1!$C:$C,[1]Sheet1!$E:$E)</f>
        <v>#IV03 DIA32xH20.5cm DOME/ASH BASE, CLEAR/IVALO (LSA) 2PCS/CTN</v>
      </c>
      <c r="F64" t="s">
        <v>261</v>
      </c>
    </row>
    <row r="65" spans="1:6">
      <c r="A65" t="str">
        <f>_xlfn.XLOOKUP(C65,[1]Sheet1!$C:$C,[1]Sheet1!$A:$A)</f>
        <v>5344-G902-24-301</v>
      </c>
      <c r="B65" t="str">
        <f>_xlfn.XLOOKUP(C65,[1]Sheet1!$C:$C,[1]Sheet1!$B:$B)</f>
        <v>G902-24-301</v>
      </c>
      <c r="C65" t="s">
        <v>262</v>
      </c>
      <c r="E65" t="str">
        <f>_xlfn.XLOOKUP(C65,[1]Sheet1!$C:$C,[1]Sheet1!$E:$E)</f>
        <v>#KL01 24cm CAKE STAND LOW, CLEAR/KLARA (LSA) 3PCS/CTN</v>
      </c>
      <c r="F65" t="s">
        <v>263</v>
      </c>
    </row>
    <row r="66" spans="1:6">
      <c r="A66" t="str">
        <f>_xlfn.XLOOKUP(C66,[1]Sheet1!$C:$C,[1]Sheet1!$A:$A)</f>
        <v>5344-G902-30-301</v>
      </c>
      <c r="B66" t="str">
        <f>_xlfn.XLOOKUP(C66,[1]Sheet1!$C:$C,[1]Sheet1!$B:$B)</f>
        <v>G902-30-301</v>
      </c>
      <c r="C66" t="s">
        <v>264</v>
      </c>
      <c r="E66" t="str">
        <f>_xlfn.XLOOKUP(C66,[1]Sheet1!$C:$C,[1]Sheet1!$E:$E)</f>
        <v>#KL02 30cm CAKE STAND HIGH, CLEAR/KLARA (LSA)</v>
      </c>
      <c r="F66" t="s">
        <v>265</v>
      </c>
    </row>
    <row r="67" spans="1:6">
      <c r="A67" t="str">
        <f>_xlfn.XLOOKUP(C67,[1]Sheet1!$C:$C,[1]Sheet1!$A:$A)</f>
        <v>5344-G846-11-985</v>
      </c>
      <c r="B67" t="str">
        <f>_xlfn.XLOOKUP(C67,[1]Sheet1!$C:$C,[1]Sheet1!$B:$B)</f>
        <v>G846-11-985</v>
      </c>
      <c r="C67" t="s">
        <v>266</v>
      </c>
      <c r="E67" t="str">
        <f>_xlfn.XLOOKUP(C67,[1]Sheet1!$C:$C,[1]Sheet1!$E:$E)</f>
        <v>#MV18 300ml COCKTAIL GLASS, CLEAR/MOYA (LSA) 2PCS/SET (SELL BY SET)</v>
      </c>
      <c r="F67" t="s">
        <v>267</v>
      </c>
    </row>
    <row r="68" spans="1:6">
      <c r="A68" t="str">
        <f>_xlfn.XLOOKUP(C68,[1]Sheet1!$C:$C,[1]Sheet1!$A:$A)</f>
        <v>5344-G1472-25-200</v>
      </c>
      <c r="B68" t="str">
        <f>_xlfn.XLOOKUP(C68,[1]Sheet1!$C:$C,[1]Sheet1!$B:$B)</f>
        <v>G1472-25-200</v>
      </c>
      <c r="C68" t="s">
        <v>268</v>
      </c>
      <c r="E68" t="str">
        <f>_xlfn.XLOOKUP(C68,[1]Sheet1!$C:$C,[1]Sheet1!$E:$E)</f>
        <v>LSA, G1472-25-200, GIN GRAND BALLOON GLASS 690ML CLEAR X2 (ID)</v>
      </c>
      <c r="F68" t="s">
        <v>269</v>
      </c>
    </row>
    <row r="69" spans="1:6">
      <c r="A69" t="str">
        <f>_xlfn.XLOOKUP(C69,[1]Sheet1!$C:$C,[1]Sheet1!$A:$A)</f>
        <v>5344-G1468-24-301</v>
      </c>
      <c r="B69" t="str">
        <f>_xlfn.XLOOKUP(C69,[1]Sheet1!$C:$C,[1]Sheet1!$B:$B)</f>
        <v>G1468-24-301</v>
      </c>
      <c r="C69" t="s">
        <v>270</v>
      </c>
      <c r="E69" t="str">
        <f>_xlfn.XLOOKUP(C69,[1]Sheet1!$C:$C,[1]Sheet1!$E:$E)</f>
        <v>(IDMOQ16PCS) #BL03, 680ml GIN BALLOON GLASS (LSA) 4PCS/SET</v>
      </c>
      <c r="F69" t="s">
        <v>271</v>
      </c>
    </row>
    <row r="70" spans="1:6">
      <c r="A70" t="str">
        <f>_xlfn.XLOOKUP(C70,[1]Sheet1!$C:$C,[1]Sheet1!$A:$A)</f>
        <v>5344-G1655-14-610</v>
      </c>
      <c r="B70" t="str">
        <f>_xlfn.XLOOKUP(C70,[1]Sheet1!$C:$C,[1]Sheet1!$B:$B)</f>
        <v>G1655-14-610</v>
      </c>
      <c r="C70" t="s">
        <v>272</v>
      </c>
      <c r="E70" t="str">
        <f>_xlfn.XLOOKUP(C70,[1]Sheet1!$C:$C,[1]Sheet1!$E:$E)</f>
        <v>LSA #RT10 ROTUNDA WIDE VASE H14CM SAPPHIRE (3PCS/CTN)</v>
      </c>
      <c r="F70" t="s">
        <v>273</v>
      </c>
    </row>
    <row r="71" spans="1:6">
      <c r="A71" t="str">
        <f>_xlfn.XLOOKUP(C71,[1]Sheet1!$C:$C,[1]Sheet1!$A:$A)</f>
        <v>5344-G1240-32-301</v>
      </c>
      <c r="B71" t="str">
        <f>_xlfn.XLOOKUP(C71,[1]Sheet1!$C:$C,[1]Sheet1!$B:$B)</f>
        <v>G1240-32-301</v>
      </c>
      <c r="C71" t="s">
        <v>274</v>
      </c>
      <c r="E71" t="str">
        <f>_xlfn.XLOOKUP(C71,[1]Sheet1!$C:$C,[1]Sheet1!$E:$E)</f>
        <v>#CJ06 DIA32xH29.5cm DOME &amp; WALNUT BASE, CLEAR/CITY (LSA)</v>
      </c>
      <c r="F71" t="s">
        <v>275</v>
      </c>
    </row>
    <row r="72" spans="1:6">
      <c r="A72" t="str">
        <f>_xlfn.XLOOKUP(C72,[1]Sheet1!$C:$C,[1]Sheet1!$A:$A)</f>
        <v>5344-G1688-36-301</v>
      </c>
      <c r="B72" t="str">
        <f>_xlfn.XLOOKUP(C72,[1]Sheet1!$C:$C,[1]Sheet1!$B:$B)</f>
        <v>G1688-36-301</v>
      </c>
      <c r="C72" t="s">
        <v>276</v>
      </c>
      <c r="E72" t="str">
        <f>_xlfn.XLOOKUP(C72,[1]Sheet1!$C:$C,[1]Sheet1!$E:$E)</f>
        <v>LSA, G1688-36-301, CASK WHISKY OBLONG DECANTER 1L CLEAR (ID)</v>
      </c>
      <c r="F72" t="s">
        <v>277</v>
      </c>
    </row>
    <row r="73" spans="1:6">
      <c r="A73" t="str">
        <f>_xlfn.XLOOKUP(C73,[1]Sheet1!$C:$C,[1]Sheet1!$A:$A)</f>
        <v>5344-G107-86-991</v>
      </c>
      <c r="B73" t="str">
        <f>_xlfn.XLOOKUP(C73,[1]Sheet1!$C:$C,[1]Sheet1!$B:$B)</f>
        <v>G107-86-991</v>
      </c>
      <c r="C73" t="s">
        <v>278</v>
      </c>
      <c r="E73" t="str">
        <f>_xlfn.XLOOKUP(C73,[1]Sheet1!$C:$C,[1]Sheet1!$E:$E)</f>
        <v>#WI10 2.4ltr GLASS WINE CARAFE/DECANTER, WINE (LSA) 2PCS/CTN</v>
      </c>
      <c r="F73" t="s">
        <v>279</v>
      </c>
    </row>
    <row r="74" spans="1:6">
      <c r="A74" t="str">
        <f>_xlfn.XLOOKUP(C74,[1]Sheet1!$C:$C,[1]Sheet1!$A:$A)</f>
        <v>5344- G1663-18-142</v>
      </c>
      <c r="B74" t="str">
        <f>_xlfn.XLOOKUP(C74,[1]Sheet1!$C:$C,[1]Sheet1!$B:$B)</f>
        <v>G1663-18-142</v>
      </c>
      <c r="C74" t="s">
        <v>281</v>
      </c>
      <c r="E74" t="str">
        <f>_xlfn.XLOOKUP(C74,[1]Sheet1!$C:$C,[1]Sheet1!$E:$E)</f>
        <v>LSA, G1663-18-142, EPOQUE VASE H18CM PEACOCK/LUSTRE (ID)</v>
      </c>
      <c r="F74" t="s">
        <v>280</v>
      </c>
    </row>
    <row r="75" spans="1:6">
      <c r="A75" t="str">
        <f>_xlfn.XLOOKUP(C75,[1]Sheet1!$C:$C,[1]Sheet1!$A:$A)</f>
        <v>5344-G005-09-371</v>
      </c>
      <c r="B75" t="str">
        <f>_xlfn.XLOOKUP(C75,[1]Sheet1!$C:$C,[1]Sheet1!$B:$B)</f>
        <v>AS04</v>
      </c>
      <c r="C75" t="s">
        <v>283</v>
      </c>
      <c r="E75" t="str">
        <f>_xlfn.XLOOKUP(C75,[1]Sheet1!$C:$C,[1]Sheet1!$E:$E)</f>
        <v>(DCWSL21)  #AS04 340ml GLASS TUMBLER, TURQUOISE/ASHER (LSA) 6PCS/CTN</v>
      </c>
      <c r="F75" t="s">
        <v>282</v>
      </c>
    </row>
    <row r="76" spans="1:6">
      <c r="B76" t="str">
        <f>_xlfn.XLOOKUP(C76,[1]Sheet1!$C:$C,[1]Sheet1!$B:$B)</f>
        <v>AS05</v>
      </c>
      <c r="C76" t="s">
        <v>285</v>
      </c>
      <c r="E76" t="str">
        <f>_xlfn.XLOOKUP(C76,[1]Sheet1!$C:$C,[1]Sheet1!$E:$E)</f>
        <v>(DCWSL21)  #AS05 340ml GLASS TUMBLER, VIOLET/ASHER (LSA) 6PCS/CTN</v>
      </c>
      <c r="F76" t="s">
        <v>286</v>
      </c>
    </row>
    <row r="77" spans="1:6">
      <c r="B77" t="str">
        <f>_xlfn.XLOOKUP(C77,[1]Sheet1!$C:$C,[1]Sheet1!$B:$B)</f>
        <v>AS06</v>
      </c>
      <c r="C77" t="s">
        <v>288</v>
      </c>
      <c r="E77" t="str">
        <f>_xlfn.XLOOKUP(C77,[1]Sheet1!$C:$C,[1]Sheet1!$E:$E)</f>
        <v>(DCWSL21)  #AS06 340ml GLASS TUMBLER, WHITE/ASHER  (LSA) 6PCS/CTN</v>
      </c>
      <c r="F77" t="s">
        <v>289</v>
      </c>
    </row>
    <row r="78" spans="1:6">
      <c r="B78">
        <f>_xlfn.XLOOKUP(C78,[1]Sheet1!$C:$C,[1]Sheet1!$B:$B)</f>
        <v>0</v>
      </c>
      <c r="C78" t="s">
        <v>290</v>
      </c>
      <c r="E78" t="str">
        <f>_xlfn.XLOOKUP(C78,[1]Sheet1!$C:$C,[1]Sheet1!$E:$E)</f>
        <v>(DCWSL19) #AS03 340ml GLASS TUMBLER, RED/ASHER (LSA)</v>
      </c>
      <c r="F78" t="s">
        <v>291</v>
      </c>
    </row>
    <row r="79" spans="1:6">
      <c r="B79" t="str">
        <f>_xlfn.XLOOKUP(C79,[1]Sheet1!$C:$C,[1]Sheet1!$B:$B)</f>
        <v>AS02</v>
      </c>
      <c r="C79" t="s">
        <v>292</v>
      </c>
      <c r="E79" t="str">
        <f>_xlfn.XLOOKUP(C79,[1]Sheet1!$C:$C,[1]Sheet1!$E:$E)</f>
        <v>(DCWSL21)  #AS02 340ml GLASS TUMBLER, LIME/ASHER (LSA) 6PCS/CTN</v>
      </c>
      <c r="F79" t="s">
        <v>294</v>
      </c>
    </row>
    <row r="80" spans="1:6">
      <c r="B80">
        <f>_xlfn.XLOOKUP(C80,[1]Sheet1!$C:$C,[1]Sheet1!$B:$B)</f>
        <v>0</v>
      </c>
      <c r="C80" t="s">
        <v>295</v>
      </c>
      <c r="E80" t="str">
        <f>_xlfn.XLOOKUP(C80,[1]Sheet1!$C:$C,[1]Sheet1!$E:$E)</f>
        <v>(DCWSL19) #AS01 340ml GLASS TUMBLER, BLACK/ASHER (LSA)</v>
      </c>
      <c r="F80" t="s">
        <v>297</v>
      </c>
    </row>
    <row r="81" spans="2:6">
      <c r="B81" t="str">
        <f>_xlfn.XLOOKUP(C81,[1]Sheet1!$C:$C,[1]Sheet1!$B:$B)</f>
        <v>G008-09-992</v>
      </c>
      <c r="C81" t="s">
        <v>298</v>
      </c>
      <c r="E81" t="str">
        <f>_xlfn.XLOOKUP(C81,[1]Sheet1!$C:$C,[1]Sheet1!$E:$E)</f>
        <v>(Old Code:#G008-09-301) #BI06 260ml TUMBLER GLASS, CLEAR/BORIS(LSA) 3PCS/CTN (SELL BY SET)</v>
      </c>
      <c r="F81" t="s">
        <v>299</v>
      </c>
    </row>
    <row r="82" spans="2:6">
      <c r="B82" t="str">
        <f>_xlfn.XLOOKUP(C82,[1]Sheet1!$C:$C,[1]Sheet1!$B:$B)</f>
        <v>G008-12-992</v>
      </c>
      <c r="C82" t="s">
        <v>301</v>
      </c>
      <c r="E82" t="str">
        <f>_xlfn.XLOOKUP(C82,[1]Sheet1!$C:$C,[1]Sheet1!$E:$E)</f>
        <v>(WSL19)(Old Code:#G008-12-301) #BI07 360ml HIGHBALL GLASS, CLEAR/BORIS (LSA) 3PCS/CTN (SELL BY SET)</v>
      </c>
      <c r="F82" t="s">
        <v>302</v>
      </c>
    </row>
    <row r="83" spans="2:6">
      <c r="B83">
        <f>_xlfn.XLOOKUP(C83,[1]Sheet1!$C:$C,[1]Sheet1!$B:$B)</f>
        <v>0</v>
      </c>
      <c r="C83" t="s">
        <v>303</v>
      </c>
      <c r="E83" t="str">
        <f>_xlfn.XLOOKUP(C83,[1]Sheet1!$C:$C,[1]Sheet1!$E:$E)</f>
        <v>(DCWSL19)(New:G016-09-985) #MV14 330ml TUMBLER GLASS, CLEAR/MOYA (LSA) 2PCS/SET (SELL BY SET)</v>
      </c>
      <c r="F83" t="s">
        <v>304</v>
      </c>
    </row>
    <row r="84" spans="2:6">
      <c r="B84" t="str">
        <f>_xlfn.XLOOKUP(C84,[1]Sheet1!$C:$C,[1]Sheet1!$B:$B)</f>
        <v>MV14</v>
      </c>
      <c r="C84" t="s">
        <v>305</v>
      </c>
      <c r="E84" t="str">
        <f>_xlfn.XLOOKUP(C84,[1]Sheet1!$C:$C,[1]Sheet1!$E:$E)</f>
        <v>(WSL19) #MV14 330ml TUMBLER, CLEAR/MOYA (LSA) (SET OF 2PCS)(3/CTN) (SELL BY SET)</v>
      </c>
      <c r="F84" t="s">
        <v>306</v>
      </c>
    </row>
    <row r="85" spans="2:6">
      <c r="B85">
        <f>_xlfn.XLOOKUP(C85,[1]Sheet1!$C:$C,[1]Sheet1!$B:$B)</f>
        <v>0</v>
      </c>
      <c r="C85" t="s">
        <v>308</v>
      </c>
      <c r="E85" t="str">
        <f>_xlfn.XLOOKUP(C85,[1]Sheet1!$C:$C,[1]Sheet1!$E:$E)</f>
        <v>(DCWSL19)(*SELL BY PC) 425ml HIGHBALL, PLATINIUM/CELESTE (LSA) 4PCS/SET</v>
      </c>
      <c r="F85" t="s">
        <v>307</v>
      </c>
    </row>
    <row r="86" spans="2:6">
      <c r="B86">
        <f>_xlfn.XLOOKUP(C86,[1]Sheet1!$C:$C,[1]Sheet1!$B:$B)</f>
        <v>0</v>
      </c>
      <c r="C86" t="s">
        <v>309</v>
      </c>
      <c r="E86" t="str">
        <f>_xlfn.XLOOKUP(C86,[1]Sheet1!$C:$C,[1]Sheet1!$E:$E)</f>
        <v>(DCWSL19)(*SELL BY PC) 325ml TUMBLER, APPLE/HAZE (LSA)</v>
      </c>
      <c r="F86" t="s">
        <v>310</v>
      </c>
    </row>
    <row r="87" spans="2:6">
      <c r="B87">
        <f>_xlfn.XLOOKUP(C87,[1]Sheet1!$C:$C,[1]Sheet1!$B:$B)</f>
        <v>0</v>
      </c>
      <c r="C87" t="s">
        <v>311</v>
      </c>
      <c r="E87" t="str">
        <f>_xlfn.XLOOKUP(C87,[1]Sheet1!$C:$C,[1]Sheet1!$E:$E)</f>
        <v>(DCWSL19)(*SELL BY PC)  400ml HIGHBALL, APPLE/HAZE (LSA)</v>
      </c>
      <c r="F87" t="s">
        <v>312</v>
      </c>
    </row>
    <row r="88" spans="2:6">
      <c r="B88">
        <f>_xlfn.XLOOKUP(C88,[1]Sheet1!$C:$C,[1]Sheet1!$B:$B)</f>
        <v>0</v>
      </c>
      <c r="C88" t="s">
        <v>315</v>
      </c>
      <c r="E88" t="str">
        <f>_xlfn.XLOOKUP(C88,[1]Sheet1!$C:$C,[1]Sheet1!$E:$E)</f>
        <v>(DCWSL19)(*SELL BY PC) 400ml HIGHBALL, SKY/HAZE (LSA)</v>
      </c>
      <c r="F88" t="s">
        <v>313</v>
      </c>
    </row>
    <row r="89" spans="2:6">
      <c r="B89" t="str">
        <f>_xlfn.XLOOKUP(C89,[1]Sheet1!$C:$C,[1]Sheet1!$B:$B)</f>
        <v>GM01</v>
      </c>
      <c r="C89" t="s">
        <v>316</v>
      </c>
      <c r="E89" t="str">
        <f>_xlfn.XLOOKUP(C89,[1]Sheet1!$C:$C,[1]Sheet1!$E:$E)</f>
        <v>(SELL IN BOX OF 4PCS) LSA #GM01 LSA GEMS TUMBLER ASSORTED AMBER 10OZ (4PCS/CTN)</v>
      </c>
      <c r="F89" t="s">
        <v>320</v>
      </c>
    </row>
    <row r="90" spans="2:6">
      <c r="B90" t="str">
        <f>_xlfn.XLOOKUP(C90,[1]Sheet1!$C:$C,[1]Sheet1!$B:$B)</f>
        <v>G060-09-150</v>
      </c>
      <c r="C90" t="s">
        <v>317</v>
      </c>
      <c r="E90" t="str">
        <f>_xlfn.XLOOKUP(C90,[1]Sheet1!$C:$C,[1]Sheet1!$E:$E)</f>
        <v>(SELL IN BOX OF 4PCS) IDMOQ16PCS LSA #GM03 LSA GEMS TUMBLER ASSORTED JADE 10OZ (4PCS/CTN)</v>
      </c>
      <c r="F90" t="s">
        <v>321</v>
      </c>
    </row>
    <row r="91" spans="2:6">
      <c r="B91">
        <f>_xlfn.XLOOKUP(C91,[1]Sheet1!$C:$C,[1]Sheet1!$B:$B)</f>
        <v>0</v>
      </c>
      <c r="C91" t="s">
        <v>323</v>
      </c>
      <c r="E91" t="str">
        <f>_xlfn.XLOOKUP(C91,[1]Sheet1!$C:$C,[1]Sheet1!$E:$E)</f>
        <v>(DCWSL19)(*SELL BY PC) 80ml VODKA GLASS, SKY/HAZE (LSA) 4PCS/CTN</v>
      </c>
      <c r="F91" t="s">
        <v>322</v>
      </c>
    </row>
    <row r="92" spans="2:6">
      <c r="B92" t="str">
        <f>_xlfn.XLOOKUP(C92,[1]Sheet1!$C:$C,[1]Sheet1!$B:$B)</f>
        <v>LL03</v>
      </c>
      <c r="C92" t="s">
        <v>324</v>
      </c>
      <c r="E92" t="str">
        <f>_xlfn.XLOOKUP(C92,[1]Sheet1!$C:$C,[1]Sheet1!$E:$E)</f>
        <v>(IDMOQ4SETS) #LL03, 50ml, SET OF 4PCS, ASSORTED VODKA GLASS, CLEAR, LULU (LSA) 1SET/CTN</v>
      </c>
      <c r="F92" t="s">
        <v>325</v>
      </c>
    </row>
    <row r="93" spans="2:6">
      <c r="B93">
        <f>_xlfn.XLOOKUP(C93,[1]Sheet1!$C:$C,[1]Sheet1!$B:$B)</f>
        <v>0</v>
      </c>
      <c r="C93" t="s">
        <v>326</v>
      </c>
      <c r="E93" t="str">
        <f>_xlfn.XLOOKUP(C93,[1]Sheet1!$C:$C,[1]Sheet1!$E:$E)</f>
        <v>(DCWSL19) 24cm STORM LANTERN, CLEAR/HELIX (LSA)</v>
      </c>
      <c r="F93" t="s">
        <v>327</v>
      </c>
    </row>
    <row r="94" spans="2:6">
      <c r="B94" t="str">
        <f>_xlfn.XLOOKUP(C94,[1]Sheet1!$C:$C,[1]Sheet1!$B:$B)</f>
        <v>WI12</v>
      </c>
      <c r="C94" t="s">
        <v>328</v>
      </c>
      <c r="E94" t="str">
        <f>_xlfn.XLOOKUP(C94,[1]Sheet1!$C:$C,[1]Sheet1!$E:$E)</f>
        <v>(DCWSL21)  #WI12 1.75ltr WINE GLASS WATER CARAFE/DECANTER (LSA) 2PCS/CTN</v>
      </c>
      <c r="F94" t="s">
        <v>329</v>
      </c>
    </row>
    <row r="95" spans="2:6">
      <c r="B95" t="str">
        <f>_xlfn.XLOOKUP(C95,[1]Sheet1!$C:$C,[1]Sheet1!$B:$B)</f>
        <v>G1035-31-301</v>
      </c>
      <c r="C95" t="s">
        <v>330</v>
      </c>
      <c r="E95" t="str">
        <f>_xlfn.XLOOKUP(C95,[1]Sheet1!$C:$C,[1]Sheet1!$E:$E)</f>
        <v>#SZ34, DIA31cm DESSERT COMPORT, CLEAR/SERVE (LSA) 4PCS/CTN</v>
      </c>
      <c r="F95" t="s">
        <v>331</v>
      </c>
    </row>
    <row r="96" spans="2:6">
      <c r="B96">
        <f>_xlfn.XLOOKUP(C96,[1]Sheet1!$C:$C,[1]Sheet1!$B:$B)</f>
        <v>0</v>
      </c>
      <c r="C96" t="s">
        <v>332</v>
      </c>
      <c r="E96" t="str">
        <f>_xlfn.XLOOKUP(C96,[1]Sheet1!$C:$C,[1]Sheet1!$E:$E)</f>
        <v>(DCWSL19) H48cm VASE &amp; ASH BASE, WHITE/LOTTA (LSA)</v>
      </c>
      <c r="F96" t="s">
        <v>333</v>
      </c>
    </row>
    <row r="97" spans="2:6">
      <c r="B97">
        <f>_xlfn.XLOOKUP(C97,[1]Sheet1!$C:$C,[1]Sheet1!$B:$B)</f>
        <v>0</v>
      </c>
      <c r="C97" t="s">
        <v>334</v>
      </c>
      <c r="E97" t="str">
        <f>_xlfn.XLOOKUP(C97,[1]Sheet1!$C:$C,[1]Sheet1!$E:$E)</f>
        <v>(DCWSL19) H62cm VASE/LANTERN &amp; ASH BASE, WHITE/LOTTA (LSA)</v>
      </c>
      <c r="F97" t="s">
        <v>335</v>
      </c>
    </row>
    <row r="98" spans="2:6">
      <c r="B98" t="str">
        <f>_xlfn.XLOOKUP(C98,[1]Sheet1!$C:$C,[1]Sheet1!$B:$B)</f>
        <v>G1052-12-301</v>
      </c>
      <c r="C98" t="s">
        <v>336</v>
      </c>
      <c r="E98" t="str">
        <f>_xlfn.XLOOKUP(C98,[1]Sheet1!$C:$C,[1]Sheet1!$E:$E)</f>
        <v>#SZ35 H12.5cm HONEY POT &amp; OAK DIPPER, CLEAR/SERVE (LSA) 3PCS/CTN</v>
      </c>
      <c r="F98" t="s">
        <v>337</v>
      </c>
    </row>
    <row r="99" spans="2:6">
      <c r="B99" t="str">
        <f>_xlfn.XLOOKUP(C99,[1]Sheet1!$C:$C,[1]Sheet1!$B:$B)</f>
        <v>WI04</v>
      </c>
      <c r="C99" t="s">
        <v>338</v>
      </c>
      <c r="E99" t="str">
        <f>_xlfn.XLOOKUP(C99,[1]Sheet1!$C:$C,[1]Sheet1!$E:$E)</f>
        <v>(WSL19)(SELL BY PC) #WI04 340ml WHITE WINE GLASS, CLEAR/WINE (LSA) 4PCS/SET (SELL BY SET)</v>
      </c>
      <c r="F99" t="s">
        <v>339</v>
      </c>
    </row>
    <row r="100" spans="2:6">
      <c r="B100" t="str">
        <f>_xlfn.XLOOKUP(C100,[1]Sheet1!$C:$C,[1]Sheet1!$B:$B)</f>
        <v>MV20</v>
      </c>
      <c r="C100" t="s">
        <v>340</v>
      </c>
      <c r="E100" t="str">
        <f>_xlfn.XLOOKUP(C100,[1]Sheet1!$C:$C,[1]Sheet1!$E:$E)</f>
        <v>(DCWSL19) #MV20 0.75ltr JUG, CLEAR/MOYA (LSA)</v>
      </c>
      <c r="F100" t="s">
        <v>341</v>
      </c>
    </row>
    <row r="101" spans="2:6">
      <c r="B101" t="str">
        <f>_xlfn.XLOOKUP(C101,[1]Sheet1!$C:$C,[1]Sheet1!$B:$B)</f>
        <v>P216-08-517</v>
      </c>
      <c r="C101" t="s">
        <v>342</v>
      </c>
      <c r="E101" t="str">
        <f>_xlfn.XLOOKUP(C101,[1]Sheet1!$C:$C,[1]Sheet1!$E:$E)</f>
        <v>#PX04 L:40cm PADDLE BOWL SET &amp; OAK PADDLE (LSA)</v>
      </c>
      <c r="F101" t="s">
        <v>343</v>
      </c>
    </row>
    <row r="102" spans="2:6">
      <c r="B102">
        <f>_xlfn.XLOOKUP(C102,[1]Sheet1!$C:$C,[1]Sheet1!$B:$B)</f>
        <v>0</v>
      </c>
      <c r="C102" t="s">
        <v>345</v>
      </c>
      <c r="E102" t="str">
        <f>_xlfn.XLOOKUP(C102,[1]Sheet1!$C:$C,[1]Sheet1!$E:$E)</f>
        <v>(DCWSL19) #MX11 H53cm TALL GIANT CLEAR GLASS BONBON JAR/MAXA (LSA)</v>
      </c>
      <c r="F102" t="s">
        <v>344</v>
      </c>
    </row>
    <row r="103" spans="2:6">
      <c r="B103" t="str">
        <f>_xlfn.XLOOKUP(C103,[1]Sheet1!$C:$C,[1]Sheet1!$B:$B)</f>
        <v>OF05</v>
      </c>
      <c r="C103" t="s">
        <v>347</v>
      </c>
      <c r="E103" t="str">
        <f>_xlfn.XLOOKUP(C103,[1]Sheet1!$C:$C,[1]Sheet1!$E:$E)</f>
        <v>(ID)(PX/PC,SELL IN BOX OF 4PCS) H15.5xW9.5cm 280ml CHAMPAGNE/COCKTAIL GLASS, CLEAR/OTIS(LSA)3/CTN</v>
      </c>
      <c r="F103" t="s">
        <v>346</v>
      </c>
    </row>
    <row r="104" spans="2:6">
      <c r="B104" t="str">
        <f>_xlfn.XLOOKUP(C104,[1]Sheet1!$C:$C,[1]Sheet1!$B:$B)</f>
        <v>OF04</v>
      </c>
      <c r="C104" t="s">
        <v>348</v>
      </c>
      <c r="E104" t="str">
        <f>_xlfn.XLOOKUP(C104,[1]Sheet1!$C:$C,[1]Sheet1!$E:$E)</f>
        <v>(WSL19)(PX/PC, SELL IN BOX OF 4PCS) H26xW4cm 150ml CHAMPAGNE FLUTE, CLEAR/OTIS (LSA) 3PCS/CTN (SELL BY SET)</v>
      </c>
      <c r="F104" t="s">
        <v>349</v>
      </c>
    </row>
    <row r="105" spans="2:6">
      <c r="B105" t="str">
        <f>_xlfn.XLOOKUP(C105,[1]Sheet1!$C:$C,[1]Sheet1!$B:$B)</f>
        <v>G1084-11-301</v>
      </c>
      <c r="C105" t="s">
        <v>350</v>
      </c>
      <c r="E105" t="str">
        <f>_xlfn.XLOOKUP(C105,[1]Sheet1!$C:$C,[1]Sheet1!$E:$E)</f>
        <v>LSA G1084-11-301 #IV04 CONTAINER &amp; ASH LID CLEAR/IVALO DIA28xH11cm (2PCS/CTN)</v>
      </c>
      <c r="F105" t="s">
        <v>351</v>
      </c>
    </row>
    <row r="106" spans="2:6">
      <c r="B106" t="str">
        <f>_xlfn.XLOOKUP(C106,[1]Sheet1!$C:$C,[1]Sheet1!$B:$B)</f>
        <v>G1085-15-301</v>
      </c>
      <c r="C106" t="s">
        <v>352</v>
      </c>
      <c r="E106" t="str">
        <f>_xlfn.XLOOKUP(C106,[1]Sheet1!$C:$C,[1]Sheet1!$E:$E)</f>
        <v>LSA G1085-15-301 #IV05 CONTAINER &amp; ASH LID CLEAR/IVALO  H15.5cm (4PCS/CTN)</v>
      </c>
      <c r="F106" t="s">
        <v>353</v>
      </c>
    </row>
    <row r="107" spans="2:6">
      <c r="B107" t="str">
        <f>_xlfn.XLOOKUP(C107,[1]Sheet1!$C:$C,[1]Sheet1!$B:$B)</f>
        <v>G1085-29-301</v>
      </c>
      <c r="C107" t="s">
        <v>354</v>
      </c>
      <c r="E107" t="str">
        <f>_xlfn.XLOOKUP(C107,[1]Sheet1!$C:$C,[1]Sheet1!$E:$E)</f>
        <v>#IV06 H29.5cm CONTAINER &amp; ASH LID, CLEAR/IVALO (LSA) 2PCS/CTN</v>
      </c>
      <c r="F107" t="s">
        <v>355</v>
      </c>
    </row>
    <row r="108" spans="2:6">
      <c r="B108">
        <f>_xlfn.XLOOKUP(C108,[1]Sheet1!$C:$C,[1]Sheet1!$B:$B)</f>
        <v>0</v>
      </c>
      <c r="C108" t="s">
        <v>356</v>
      </c>
      <c r="E108" t="str">
        <f>_xlfn.XLOOKUP(C108,[1]Sheet1!$C:$C,[1]Sheet1!$E:$E)</f>
        <v>(DCWSL19) DIA36cm ONO BOWL, CLEAR (LSA)</v>
      </c>
      <c r="F108" t="s">
        <v>357</v>
      </c>
    </row>
    <row r="109" spans="2:6">
      <c r="B109">
        <f>_xlfn.XLOOKUP(C109,[1]Sheet1!$C:$C,[1]Sheet1!$B:$B)</f>
        <v>0</v>
      </c>
      <c r="C109" t="s">
        <v>358</v>
      </c>
      <c r="E109" t="str">
        <f>_xlfn.XLOOKUP(C109,[1]Sheet1!$C:$C,[1]Sheet1!$E:$E)</f>
        <v>(DCWSL19) H36cm VASE, PEBBLE/CHALK (LSA)</v>
      </c>
      <c r="F109" t="s">
        <v>359</v>
      </c>
    </row>
    <row r="110" spans="2:6">
      <c r="B110">
        <f>_xlfn.XLOOKUP(C110,[1]Sheet1!$C:$C,[1]Sheet1!$B:$B)</f>
        <v>0</v>
      </c>
      <c r="C110" t="s">
        <v>360</v>
      </c>
      <c r="E110" t="str">
        <f>_xlfn.XLOOKUP(C110,[1]Sheet1!$C:$C,[1]Sheet1!$E:$E)</f>
        <v>(DCWSL19) #R102 500ml WATER/WINE TUMBLER, MARINE/RIO (LSA)</v>
      </c>
      <c r="F110" t="s">
        <v>361</v>
      </c>
    </row>
    <row r="111" spans="2:6">
      <c r="B111">
        <f>_xlfn.XLOOKUP(C111,[1]Sheet1!$C:$C,[1]Sheet1!$B:$B)</f>
        <v>0</v>
      </c>
      <c r="C111" t="s">
        <v>362</v>
      </c>
      <c r="E111" t="str">
        <f>_xlfn.XLOOKUP(C111,[1]Sheet1!$C:$C,[1]Sheet1!$E:$E)</f>
        <v>(DCWSL19) #R101 500ml WATER/WINE TUMBLER, CHERRY/RIO (LSA)</v>
      </c>
      <c r="F111" t="s">
        <v>363</v>
      </c>
    </row>
    <row r="112" spans="2:6">
      <c r="B112">
        <f>_xlfn.XLOOKUP(C112,[1]Sheet1!$C:$C,[1]Sheet1!$B:$B)</f>
        <v>0</v>
      </c>
      <c r="C112" t="s">
        <v>366</v>
      </c>
      <c r="E112" t="str">
        <f>_xlfn.XLOOKUP(C112,[1]Sheet1!$C:$C,[1]Sheet1!$E:$E)</f>
        <v>(DCWSL19) #R103 500ml  WATER/WINE TUMBLER, OCEAN/RIO (LSA)</v>
      </c>
      <c r="F112" t="s">
        <v>364</v>
      </c>
    </row>
    <row r="113" spans="2:6">
      <c r="B113">
        <f>_xlfn.XLOOKUP(C113,[1]Sheet1!$C:$C,[1]Sheet1!$B:$B)</f>
        <v>0</v>
      </c>
      <c r="C113" t="s">
        <v>365</v>
      </c>
      <c r="E113" t="str">
        <f>_xlfn.XLOOKUP(C113,[1]Sheet1!$C:$C,[1]Sheet1!$E:$E)</f>
        <v>(DCWSL19) #R106 500m WATER/WINE TUMBLER, WILLOW/RIO (LSA)</v>
      </c>
      <c r="F113" t="s">
        <v>367</v>
      </c>
    </row>
    <row r="114" spans="2:6">
      <c r="B114" t="str">
        <f>_xlfn.XLOOKUP(C114,[1]Sheet1!$C:$C,[1]Sheet1!$B:$B)</f>
        <v>VI07</v>
      </c>
      <c r="C114" t="s">
        <v>368</v>
      </c>
      <c r="E114" t="str">
        <f>_xlfn.XLOOKUP(C114,[1]Sheet1!$C:$C,[1]Sheet1!$E:$E)</f>
        <v>(DCWSL21)  #VI07 DIA14xH16.5cm VIENNA DOME, CLEAR (LSA) 4PCS/CTN</v>
      </c>
      <c r="F114" t="s">
        <v>369</v>
      </c>
    </row>
    <row r="115" spans="2:6">
      <c r="B115" t="str">
        <f>_xlfn.XLOOKUP(C115,[1]Sheet1!$C:$C,[1]Sheet1!$B:$B)</f>
        <v>G1160-22-301</v>
      </c>
      <c r="C115" t="s">
        <v>370</v>
      </c>
      <c r="E115" t="str">
        <f>_xlfn.XLOOKUP(C115,[1]Sheet1!$C:$C,[1]Sheet1!$E:$E)</f>
        <v>(*DC24)#VI08 DIA22.5xH18cm VIENNA DOME, CLEAR (LSA) 2PCS/CTN</v>
      </c>
      <c r="F115" t="s">
        <v>369</v>
      </c>
    </row>
    <row r="116" spans="2:6">
      <c r="B116" t="str">
        <f>_xlfn.XLOOKUP(C116,[1]Sheet1!$C:$C,[1]Sheet1!$B:$B)</f>
        <v>VI09</v>
      </c>
      <c r="C116" t="s">
        <v>371</v>
      </c>
      <c r="E116" t="str">
        <f>_xlfn.XLOOKUP(C116,[1]Sheet1!$C:$C,[1]Sheet1!$E:$E)</f>
        <v>(DCWSL21)  #VI09 DIA30xH21cm VIENNA DOME, CLEAR (LSA) 2PCS/CTN</v>
      </c>
      <c r="F116" t="s">
        <v>369</v>
      </c>
    </row>
    <row r="117" spans="2:6">
      <c r="B117" t="str">
        <f>_xlfn.XLOOKUP(C117,[1]Sheet1!$C:$C,[1]Sheet1!$B:$B)</f>
        <v>PZ34</v>
      </c>
      <c r="C117" t="s">
        <v>372</v>
      </c>
      <c r="E117" t="str">
        <f>_xlfn.XLOOKUP(C117,[1]Sheet1!$C:$C,[1]Sheet1!$E:$E)</f>
        <v>(DCWSL21)  (IDMOQ2) #PZ34 DIA18xH16cm GLASS VASE, PLATINUM/POLKA (LSA) 2PCS/CTN</v>
      </c>
      <c r="F117" t="s">
        <v>373</v>
      </c>
    </row>
    <row r="118" spans="2:6">
      <c r="B118" t="str">
        <f>_xlfn.XLOOKUP(C118,[1]Sheet1!$C:$C,[1]Sheet1!$B:$B)</f>
        <v>MZ27</v>
      </c>
      <c r="C118" t="s">
        <v>374</v>
      </c>
      <c r="E118" t="str">
        <f>_xlfn.XLOOKUP(C118,[1]Sheet1!$C:$C,[1]Sheet1!$E:$E)</f>
        <v>(DCWSL21)  #MZ27 23.5/22cmxH17.5cm DOME &amp; OAK BASE ,RECYCLED PART OPTIC, MIA (LSA)</v>
      </c>
      <c r="F118" t="s">
        <v>375</v>
      </c>
    </row>
    <row r="119" spans="2:6">
      <c r="B119" t="str">
        <f>_xlfn.XLOOKUP(C119,[1]Sheet1!$C:$C,[1]Sheet1!$B:$B)</f>
        <v>G1182-09-301</v>
      </c>
      <c r="C119" t="s">
        <v>376</v>
      </c>
      <c r="E119" t="str">
        <f>_xlfn.XLOOKUP(C119,[1]Sheet1!$C:$C,[1]Sheet1!$E:$E)</f>
        <v>(IDMOQ3PCS) #HS03, DIA15cm CLEAR BOWL, HOST (LSA) 1PC/CTN</v>
      </c>
      <c r="F119" t="s">
        <v>377</v>
      </c>
    </row>
    <row r="120" spans="2:6">
      <c r="B120">
        <f>_xlfn.XLOOKUP(C120,[1]Sheet1!$C:$C,[1]Sheet1!$B:$B)</f>
        <v>0</v>
      </c>
      <c r="C120" t="s">
        <v>378</v>
      </c>
      <c r="E120" t="str">
        <f>_xlfn.XLOOKUP(C120,[1]Sheet1!$C:$C,[1]Sheet1!$E:$E)</f>
        <v>(DCWSL19) #HS12 DIA9.5xH5.5cm BOWL 50TH YR EDITION, GOLD/HOST (LSA)</v>
      </c>
      <c r="F120" t="s">
        <v>377</v>
      </c>
    </row>
    <row r="121" spans="2:6">
      <c r="B121" t="str">
        <f>_xlfn.XLOOKUP(C121,[1]Sheet1!$C:$C,[1]Sheet1!$B:$B)</f>
        <v>HS20</v>
      </c>
      <c r="C121" t="s">
        <v>379</v>
      </c>
      <c r="E121" t="str">
        <f>_xlfn.XLOOKUP(C121,[1]Sheet1!$C:$C,[1]Sheet1!$E:$E)</f>
        <v>(IDMOQ4PCS) #HS20, DIA9.5cm PLATINUM BOWL, HOST (LSA) 1PC/CTN</v>
      </c>
      <c r="F121" t="s">
        <v>380</v>
      </c>
    </row>
    <row r="122" spans="2:6">
      <c r="B122">
        <f>_xlfn.XLOOKUP(C122,[1]Sheet1!$C:$C,[1]Sheet1!$B:$B)</f>
        <v>0</v>
      </c>
      <c r="C122" t="s">
        <v>381</v>
      </c>
      <c r="E122" t="str">
        <f>_xlfn.XLOOKUP(C122,[1]Sheet1!$C:$C,[1]Sheet1!$E:$E)</f>
        <v>(DCWSL19) #HS16 DIA9.5xH5.5cm BOWL 50TH YR EDITION, WHITE/HOST (LSA)</v>
      </c>
      <c r="F122" t="s">
        <v>377</v>
      </c>
    </row>
    <row r="123" spans="2:6">
      <c r="B123" t="str">
        <f>_xlfn.XLOOKUP(C123,[1]Sheet1!$C:$C,[1]Sheet1!$B:$B)</f>
        <v>G1182-15-358</v>
      </c>
      <c r="C123" t="s">
        <v>382</v>
      </c>
      <c r="E123" t="str">
        <f>_xlfn.XLOOKUP(C123,[1]Sheet1!$C:$C,[1]Sheet1!$E:$E)</f>
        <v>(ID) LSA, G1182-15-358, HOST BOWL Ø15CM GOLD</v>
      </c>
      <c r="F123" t="s">
        <v>377</v>
      </c>
    </row>
    <row r="124" spans="2:6">
      <c r="B124" t="str">
        <f>_xlfn.XLOOKUP(C124,[1]Sheet1!$C:$C,[1]Sheet1!$B:$B)</f>
        <v>G1213-09-301</v>
      </c>
      <c r="C124" t="s">
        <v>383</v>
      </c>
      <c r="E124" t="str">
        <f>_xlfn.XLOOKUP(C124,[1]Sheet1!$C:$C,[1]Sheet1!$E:$E)</f>
        <v>(*PX/PC,SELL BY SET)#WH04 H10xW6.5cm, 250ml WHISKY TUMBLER W/WALNUT COASTER, ISLAY (LSA)(3/CTN) (SELL BY SET)</v>
      </c>
      <c r="F124" t="s">
        <v>384</v>
      </c>
    </row>
    <row r="125" spans="2:6">
      <c r="B125" t="str">
        <f>_xlfn.XLOOKUP(C125,[1]Sheet1!$C:$C,[1]Sheet1!$B:$B)</f>
        <v>WH01</v>
      </c>
      <c r="C125" t="s">
        <v>385</v>
      </c>
      <c r="E125" t="str">
        <f>_xlfn.XLOOKUP(C125,[1]Sheet1!$C:$C,[1]Sheet1!$E:$E)</f>
        <v>(WSL19) #WH01 H25xW13.5cm, 1.0ltr WHISKY DECANTER W/WALNUT BASE, ARRAN (LSA) 2PCS/CTN</v>
      </c>
      <c r="F125" t="s">
        <v>386</v>
      </c>
    </row>
    <row r="126" spans="2:6">
      <c r="B126">
        <f>_xlfn.XLOOKUP(C126,[1]Sheet1!$C:$C,[1]Sheet1!$B:$B)</f>
        <v>0</v>
      </c>
      <c r="C126" t="s">
        <v>387</v>
      </c>
      <c r="E126" t="str">
        <f>_xlfn.XLOOKUP(C126,[1]Sheet1!$C:$C,[1]Sheet1!$E:$E)</f>
        <v>(DCWSL19) #CG12 H30cm, 2.0ltr BAR JUG &amp; STIRRER, CLEAR/CITY (LSA) 1PC/CTN</v>
      </c>
      <c r="F126" s="1" t="s">
        <v>388</v>
      </c>
    </row>
    <row r="127" spans="2:6">
      <c r="B127" t="str">
        <f>_xlfn.XLOOKUP(C127,[1]Sheet1!$C:$C,[1]Sheet1!$B:$B)</f>
        <v>CJ01</v>
      </c>
      <c r="C127" t="s">
        <v>389</v>
      </c>
      <c r="E127" t="str">
        <f>_xlfn.XLOOKUP(C127,[1]Sheet1!$C:$C,[1]Sheet1!$E:$E)</f>
        <v>(DC25) #CJ01 DIA13xH10.5cm BOWL &amp; WALNUT LID, CLEAR/CITY (LSA) 4PCS/CTN</v>
      </c>
      <c r="F127" t="s">
        <v>390</v>
      </c>
    </row>
    <row r="128" spans="2:6">
      <c r="B128" t="str">
        <f>_xlfn.XLOOKUP(C128,[1]Sheet1!$C:$C,[1]Sheet1!$B:$B)</f>
        <v>G1239-21-301</v>
      </c>
      <c r="C128" t="s">
        <v>391</v>
      </c>
      <c r="E128" t="str">
        <f>_xlfn.XLOOKUP(C128,[1]Sheet1!$C:$C,[1]Sheet1!$E:$E)</f>
        <v>#CJ02 DIA22xH19cm BOWL &amp; WALNUT LID, CLEAR/CITY (LSA)</v>
      </c>
      <c r="F128" t="s">
        <v>392</v>
      </c>
    </row>
    <row r="129" spans="2:6">
      <c r="B129" t="str">
        <f>_xlfn.XLOOKUP(C129,[1]Sheet1!$C:$C,[1]Sheet1!$B:$B)</f>
        <v>CJ04</v>
      </c>
      <c r="C129" t="s">
        <v>393</v>
      </c>
      <c r="E129" t="str">
        <f>_xlfn.XLOOKUP(C129,[1]Sheet1!$C:$C,[1]Sheet1!$E:$E)</f>
        <v>(DCWSL21)  #CJ04 DIA13xH11cm DOME &amp; WALNUT BASE, CLEAR/CITY (LSA)</v>
      </c>
      <c r="F129" t="s">
        <v>394</v>
      </c>
    </row>
    <row r="130" spans="2:6">
      <c r="B130" t="str">
        <f>_xlfn.XLOOKUP(C130,[1]Sheet1!$C:$C,[1]Sheet1!$B:$B)</f>
        <v>G1240-22-301</v>
      </c>
      <c r="C130" t="s">
        <v>395</v>
      </c>
      <c r="E130" t="str">
        <f>_xlfn.XLOOKUP(C130,[1]Sheet1!$C:$C,[1]Sheet1!$E:$E)</f>
        <v>LSA #CJ05 Ø22xH22cm CITY DOME &amp; WALNUT BASE CLEAR</v>
      </c>
      <c r="F130" t="s">
        <v>392</v>
      </c>
    </row>
    <row r="131" spans="2:6">
      <c r="B131">
        <f>_xlfn.XLOOKUP(C131,[1]Sheet1!$C:$C,[1]Sheet1!$B:$B)</f>
        <v>0</v>
      </c>
      <c r="C131" t="s">
        <v>396</v>
      </c>
      <c r="E131" t="str">
        <f>_xlfn.XLOOKUP(C131,[1]Sheet1!$C:$C,[1]Sheet1!$E:$E)</f>
        <v>(DCWSL19) #IV08 DIA24.5xH26.5cm PUNCH BOWL SET W/ASH LID DIA23cm, CLEAR/IVALO (LSA)</v>
      </c>
      <c r="F131" t="s">
        <v>397</v>
      </c>
    </row>
    <row r="132" spans="2:6">
      <c r="B132" t="str">
        <f>_xlfn.XLOOKUP(C132,[1]Sheet1!$C:$C,[1]Sheet1!$B:$B)</f>
        <v>OF03</v>
      </c>
      <c r="C132" t="s">
        <v>398</v>
      </c>
      <c r="E132" t="str">
        <f>_xlfn.XLOOKUP(C132,[1]Sheet1!$C:$C,[1]Sheet1!$E:$E)</f>
        <v>(WSL19)(PX/PC, SELL IN BOX OF 4PCS) H8.5xW6.5cm, 310ml RED WINE GLASS, CLEAR/OTIS (LSA) (4/SET) (SELL BY SET)</v>
      </c>
      <c r="F132" t="s">
        <v>399</v>
      </c>
    </row>
    <row r="133" spans="2:6">
      <c r="B133">
        <f>_xlfn.XLOOKUP(C133,[1]Sheet1!$C:$C,[1]Sheet1!$B:$B)</f>
        <v>0</v>
      </c>
      <c r="C133" t="s">
        <v>400</v>
      </c>
      <c r="E133" t="str">
        <f>_xlfn.XLOOKUP(C133,[1]Sheet1!$C:$C,[1]Sheet1!$E:$E)</f>
        <v>(DCWSL19) #CM04 H22xW25.5xD15.5cm CHAMPAGNE BUCKET, CLEAR/CELEBRATE (LSA)</v>
      </c>
      <c r="F133" t="s">
        <v>401</v>
      </c>
    </row>
    <row r="134" spans="2:6">
      <c r="B134" t="str">
        <f>_xlfn.XLOOKUP(C134,[1]Sheet1!$C:$C,[1]Sheet1!$B:$B)</f>
        <v>G1285-27-301</v>
      </c>
      <c r="C134" t="s">
        <v>402</v>
      </c>
      <c r="E134" t="str">
        <f>_xlfn.XLOOKUP(C134,[1]Sheet1!$C:$C,[1]Sheet1!$E:$E)</f>
        <v>(WSL19) #CM05 H27xW29xD16cm DUAL CHAMPAGNE BUCKET, CLEAR/CELEBRATE (LSA)</v>
      </c>
      <c r="F134" t="s">
        <v>403</v>
      </c>
    </row>
    <row r="135" spans="2:6">
      <c r="B135" t="str">
        <f>_xlfn.XLOOKUP(C135,[1]Sheet1!$C:$C,[1]Sheet1!$B:$B)</f>
        <v>CU12</v>
      </c>
      <c r="C135" t="s">
        <v>404</v>
      </c>
      <c r="E135" t="str">
        <f>_xlfn.XLOOKUP(C135,[1]Sheet1!$C:$C,[1]Sheet1!$E:$E)</f>
        <v>(DCWSL19) #CU12 DIA22xH24.5cm BOWL W/ASH HDL, CLEAR/CIRCLE (LSA)</v>
      </c>
      <c r="F135" t="s">
        <v>405</v>
      </c>
    </row>
    <row r="136" spans="2:6">
      <c r="B136" t="str">
        <f>_xlfn.XLOOKUP(C136,[1]Sheet1!$C:$C,[1]Sheet1!$B:$B)</f>
        <v>CU13</v>
      </c>
      <c r="C136" t="s">
        <v>406</v>
      </c>
      <c r="E136" t="str">
        <f>_xlfn.XLOOKUP(C136,[1]Sheet1!$C:$C,[1]Sheet1!$E:$E)</f>
        <v>(DCWSL21)  #CU13 DIA24xH14.5cm CONTAINER W/ASH HDL, CLEAR/CIRCLE (LSA)</v>
      </c>
      <c r="F136" t="s">
        <v>407</v>
      </c>
    </row>
    <row r="137" spans="2:6">
      <c r="B137" t="str">
        <f>_xlfn.XLOOKUP(C137,[1]Sheet1!$C:$C,[1]Sheet1!$B:$B)</f>
        <v>UT01</v>
      </c>
      <c r="C137" t="s">
        <v>408</v>
      </c>
      <c r="E137" t="str">
        <f>_xlfn.XLOOKUP(C137,[1]Sheet1!$C:$C,[1]Sheet1!$E:$E)</f>
        <v>(DCWSL19)(ID-MOQ:4) #UT01 18.5cm UTILITY POT &amp; LEATHER HDL, CLEAR (LSA)</v>
      </c>
      <c r="F137" t="s">
        <v>409</v>
      </c>
    </row>
    <row r="138" spans="2:6">
      <c r="B138" t="str">
        <f>_xlfn.XLOOKUP(C138,[1]Sheet1!$C:$C,[1]Sheet1!$B:$B)</f>
        <v>UT79</v>
      </c>
      <c r="C138" t="s">
        <v>410</v>
      </c>
      <c r="E138" t="str">
        <f>_xlfn.XLOOKUP(C138,[1]Sheet1!$C:$C,[1]Sheet1!$E:$E)</f>
        <v>(IDMOQ2PCS) #UT79, DIA27cm CLEAR BOWL &amp; ASH SERVERS, UTILITY (LSA) 1PC/CTN</v>
      </c>
      <c r="F138" t="s">
        <v>411</v>
      </c>
    </row>
    <row r="139" spans="2:6">
      <c r="B139" t="str">
        <f>_xlfn.XLOOKUP(C139,[1]Sheet1!$C:$C,[1]Sheet1!$B:$B)</f>
        <v>OO02</v>
      </c>
      <c r="C139" t="s">
        <v>412</v>
      </c>
      <c r="E139" t="str">
        <f>_xlfn.XLOOKUP(C139,[1]Sheet1!$C:$C,[1]Sheet1!$E:$E)</f>
        <v>(DCWSL21)  #OO02 0.88ltr GLASS DECANTER, CLEAR/ONO (LSA)</v>
      </c>
      <c r="F139" t="s">
        <v>413</v>
      </c>
    </row>
    <row r="140" spans="2:6">
      <c r="B140">
        <f>_xlfn.XLOOKUP(C140,[1]Sheet1!$C:$C,[1]Sheet1!$B:$B)</f>
        <v>0</v>
      </c>
      <c r="C140" t="s">
        <v>414</v>
      </c>
      <c r="E140" t="str">
        <f>_xlfn.XLOOKUP(C140,[1]Sheet1!$C:$C,[1]Sheet1!$E:$E)</f>
        <v>(DCWSL19) #CV01 DIA8xH6.5cm CONTAINER W/ASH LID, CLEAR/CONNECT (LSA)</v>
      </c>
      <c r="F140" t="s">
        <v>415</v>
      </c>
    </row>
    <row r="141" spans="2:6">
      <c r="B141" t="str">
        <f>_xlfn.XLOOKUP(C141,[1]Sheet1!$C:$C,[1]Sheet1!$B:$B)</f>
        <v>G1369-20-985</v>
      </c>
      <c r="C141" t="s">
        <v>416</v>
      </c>
      <c r="E141" t="str">
        <f>_xlfn.XLOOKUP(C141,[1]Sheet1!$C:$C,[1]Sheet1!$E:$E)</f>
        <v>550ml BALLON WINE GLASS, CLEAR/MOYA (LSA) 2PCS/SET (SELL BY SET)</v>
      </c>
      <c r="F141" t="s">
        <v>417</v>
      </c>
    </row>
    <row r="142" spans="2:6">
      <c r="B142" t="str">
        <f>_xlfn.XLOOKUP(C142,[1]Sheet1!$C:$C,[1]Sheet1!$B:$B)</f>
        <v>G1389-15-759</v>
      </c>
      <c r="C142" t="s">
        <v>418</v>
      </c>
      <c r="E142" t="str">
        <f>_xlfn.XLOOKUP(C142,[1]Sheet1!$C:$C,[1]Sheet1!$E:$E)</f>
        <v>(DC25) (IDMOQ6PCS) #GN12, 420ml GIN BALLOON GLASS, COPPER (LSA) 2PCS/SET</v>
      </c>
      <c r="F142" t="s">
        <v>419</v>
      </c>
    </row>
    <row r="143" spans="2:6">
      <c r="B143" t="str">
        <f>_xlfn.XLOOKUP(C143,[1]Sheet1!$C:$C,[1]Sheet1!$B:$B)</f>
        <v>G1437-80-301</v>
      </c>
      <c r="C143" t="s">
        <v>420</v>
      </c>
      <c r="E143" t="str">
        <f>_xlfn.XLOOKUP(C143,[1]Sheet1!$C:$C,[1]Sheet1!$E:$E)</f>
        <v>(MOQ:4) LSA #OO14, 2.25L ONO JUG CLEAR (6PCS/CTN)</v>
      </c>
      <c r="F143" t="s">
        <v>421</v>
      </c>
    </row>
    <row r="144" spans="2:6">
      <c r="B144" t="str">
        <f>_xlfn.XLOOKUP(C144,[1]Sheet1!$C:$C,[1]Sheet1!$B:$B)</f>
        <v>G1551-19-610</v>
      </c>
      <c r="C144" t="s">
        <v>422</v>
      </c>
      <c r="E144" t="str">
        <f>_xlfn.XLOOKUP(C144,[1]Sheet1!$C:$C,[1]Sheet1!$E:$E)</f>
        <v>(IDPOA) LSA H19cm UTILITY VASE, SAPPHIRE</v>
      </c>
      <c r="F144" t="s">
        <v>423</v>
      </c>
    </row>
    <row r="145" spans="2:6">
      <c r="B145" t="str">
        <f>_xlfn.XLOOKUP(C145,[1]Sheet1!$C:$C,[1]Sheet1!$B:$B)</f>
        <v>G1551-19-835</v>
      </c>
      <c r="C145" t="s">
        <v>424</v>
      </c>
      <c r="E145" t="str">
        <f>_xlfn.XLOOKUP(C145,[1]Sheet1!$C:$C,[1]Sheet1!$E:$E)</f>
        <v>(IDPOA) LSA H19cm UTILITY VASE, AMBER</v>
      </c>
      <c r="F145" t="s">
        <v>425</v>
      </c>
    </row>
    <row r="146" spans="2:6">
      <c r="B146" t="str">
        <f>_xlfn.XLOOKUP(C146,[1]Sheet1!$C:$C,[1]Sheet1!$B:$B)</f>
        <v>G1563-14-301</v>
      </c>
      <c r="C146" t="s">
        <v>426</v>
      </c>
      <c r="E146" t="str">
        <f>_xlfn.XLOOKUP(C146,[1]Sheet1!$C:$C,[1]Sheet1!$E:$E)</f>
        <v>(IDMOQ12PCS) #RU01, 10x10xH10.5cm, 380ml BALLOON TUMBLER, CLEAR, RUM (LSA) 2PCS/SET</v>
      </c>
      <c r="F146" t="s">
        <v>427</v>
      </c>
    </row>
    <row r="147" spans="2:6">
      <c r="B147" t="str">
        <f>_xlfn.XLOOKUP(C147,[1]Sheet1!$C:$C,[1]Sheet1!$B:$B)</f>
        <v>SZ58</v>
      </c>
      <c r="C147" t="s">
        <v>428</v>
      </c>
      <c r="E147" t="str">
        <f>_xlfn.XLOOKUP(C147,[1]Sheet1!$C:$C,[1]Sheet1!$E:$E)</f>
        <v>(IDMOQ3PCS) #SZ58, DIA26cm CLEAR ARCH BOWL, SERVE (LSA) 1PC/CTN</v>
      </c>
      <c r="F147" t="s">
        <v>429</v>
      </c>
    </row>
    <row r="148" spans="2:6">
      <c r="B148" t="str">
        <f>_xlfn.XLOOKUP(C148,[1]Sheet1!$C:$C,[1]Sheet1!$B:$B)</f>
        <v>SZ59</v>
      </c>
      <c r="C148" t="s">
        <v>430</v>
      </c>
      <c r="E148" t="str">
        <f>_xlfn.XLOOKUP(C148,[1]Sheet1!$C:$C,[1]Sheet1!$E:$E)</f>
        <v>(IDMOQ3PCS) #SZ59, DIA30cm CLEAR ARCH BOWL, SERVE (LSA) 1PC/CTN</v>
      </c>
      <c r="F148" t="s">
        <v>431</v>
      </c>
    </row>
    <row r="149" spans="2:6">
      <c r="B149" t="str">
        <f>_xlfn.XLOOKUP(C149,[1]Sheet1!$C:$C,[1]Sheet1!$B:$B)</f>
        <v>G1618-16-301</v>
      </c>
      <c r="C149" t="s">
        <v>432</v>
      </c>
      <c r="E149" t="str">
        <f>_xlfn.XLOOKUP(C149,[1]Sheet1!$C:$C,[1]Sheet1!$E:$E)</f>
        <v>(IDMOQ24PCS) #BG06, 440ml PILSNER GLASS, CLEAR, BOROUGH (LSA) 4PCS/SET</v>
      </c>
      <c r="F149" t="s">
        <v>433</v>
      </c>
    </row>
    <row r="150" spans="2:6">
      <c r="B150" t="str">
        <f>_xlfn.XLOOKUP(C150,[1]Sheet1!$C:$C,[1]Sheet1!$B:$B)</f>
        <v>G1633-25-301</v>
      </c>
      <c r="C150" t="s">
        <v>434</v>
      </c>
      <c r="E150" t="str">
        <f>_xlfn.XLOOKUP(C150,[1]Sheet1!$C:$C,[1]Sheet1!$E:$E)</f>
        <v>LSA G1633-25-301 #LW30 LOTTA PEDESTRAL BOWL CLEAR &amp; ASH BASE DIAØ25cm, 2'S/CTN (IDPOA)</v>
      </c>
      <c r="F150" t="s">
        <v>435</v>
      </c>
    </row>
    <row r="151" spans="2:6">
      <c r="B151" t="str">
        <f>_xlfn.XLOOKUP(C151,[1]Sheet1!$C:$C,[1]Sheet1!$B:$B)</f>
        <v>VD01</v>
      </c>
      <c r="C151" t="s">
        <v>436</v>
      </c>
      <c r="E151" t="str">
        <f>_xlfn.XLOOKUP(C151,[1]Sheet1!$C:$C,[1]Sheet1!$E:$E)</f>
        <v>(IDMOQ6SETS) #VD01, 4.5xH12cm, SET OF 2PCS, 50ml SHOT GLASS, CLEAR, VODKA (LSA) 1SET/CTN</v>
      </c>
      <c r="F151" t="s">
        <v>437</v>
      </c>
    </row>
    <row r="152" spans="2:6">
      <c r="B152" t="str">
        <f>_xlfn.XLOOKUP(C152,[1]Sheet1!$C:$C,[1]Sheet1!$B:$B)</f>
        <v>G1655-20-610</v>
      </c>
      <c r="C152" t="s">
        <v>438</v>
      </c>
      <c r="E152" t="str">
        <f>_xlfn.XLOOKUP(C152,[1]Sheet1!$C:$C,[1]Sheet1!$E:$E)</f>
        <v>LSA #RT09 ROTUNDA VASE H20CM SAPPHIRE (3PCS/CTN)</v>
      </c>
      <c r="F152" t="s">
        <v>439</v>
      </c>
    </row>
    <row r="153" spans="2:6">
      <c r="B153" t="str">
        <f>_xlfn.XLOOKUP(C153,[1]Sheet1!$C:$C,[1]Sheet1!$B:$B)</f>
        <v>G1655-26-610</v>
      </c>
      <c r="C153" t="s">
        <v>440</v>
      </c>
      <c r="E153" t="str">
        <f>_xlfn.XLOOKUP(C153,[1]Sheet1!$C:$C,[1]Sheet1!$E:$E)</f>
        <v>LSA #RT11 ROTUNDA LANTERN VASE H26CM SAPPHIRE (3PCS/CTN)</v>
      </c>
      <c r="F153" t="s">
        <v>441</v>
      </c>
    </row>
    <row r="154" spans="2:6">
      <c r="B154" t="str">
        <f>_xlfn.XLOOKUP(C154,[1]Sheet1!$C:$C,[1]Sheet1!$B:$B)</f>
        <v>G1655-37-610</v>
      </c>
      <c r="C154" t="s">
        <v>442</v>
      </c>
      <c r="E154" t="str">
        <f>_xlfn.XLOOKUP(C154,[1]Sheet1!$C:$C,[1]Sheet1!$E:$E)</f>
        <v>(ID) LSA #RT12, ROTUNDA VASE H37CM SAPPHIRE (2PCS/CTN)</v>
      </c>
      <c r="F154" t="s">
        <v>443</v>
      </c>
    </row>
    <row r="155" spans="2:6">
      <c r="B155" t="str">
        <f>_xlfn.XLOOKUP(C155,[1]Sheet1!$C:$C,[1]Sheet1!$B:$B)</f>
        <v>G1662-08-140</v>
      </c>
      <c r="C155" t="s">
        <v>445</v>
      </c>
      <c r="E155" t="str">
        <f>_xlfn.XLOOKUP(C155,[1]Sheet1!$C:$C,[1]Sheet1!$E:$E)</f>
        <v>LSA, G1662-08-140, EPOQUE TEALIGHT HOLDER H8.5CM SAPPHIRE/LUSTRE (ID)</v>
      </c>
      <c r="F155" t="s">
        <v>444</v>
      </c>
    </row>
    <row r="156" spans="2:6">
      <c r="B156" t="str">
        <f>_xlfn.XLOOKUP(C156,[1]Sheet1!$C:$C,[1]Sheet1!$B:$B)</f>
        <v>G1662-08-142</v>
      </c>
      <c r="C156" t="s">
        <v>446</v>
      </c>
      <c r="E156" t="str">
        <f>_xlfn.XLOOKUP(C156,[1]Sheet1!$C:$C,[1]Sheet1!$E:$E)</f>
        <v>LSA, G1662-08-142, EPOQUE TEALIGHT HOLDER H8.5CM PEACOCK/LUSTRE (ID)</v>
      </c>
      <c r="F156" t="s">
        <v>447</v>
      </c>
    </row>
    <row r="157" spans="2:6">
      <c r="B157" t="str">
        <f>_xlfn.XLOOKUP(C157,[1]Sheet1!$C:$C,[1]Sheet1!$B:$B)</f>
        <v>G1663-13-141</v>
      </c>
      <c r="C157" t="s">
        <v>448</v>
      </c>
      <c r="E157" t="str">
        <f>_xlfn.XLOOKUP(C157,[1]Sheet1!$C:$C,[1]Sheet1!$E:$E)</f>
        <v>(DC25) LSA #EQ12, EPOQUE VASE H13.5CM AMBER/LUSTRE 3PCS/CTN</v>
      </c>
      <c r="F157" t="s">
        <v>449</v>
      </c>
    </row>
    <row r="158" spans="2:6">
      <c r="B158" t="str">
        <f>_xlfn.XLOOKUP(C158,[1]Sheet1!$C:$C,[1]Sheet1!$B:$B)</f>
        <v>G1663-18-141</v>
      </c>
      <c r="C158" t="s">
        <v>451</v>
      </c>
      <c r="E158" t="str">
        <f>_xlfn.XLOOKUP(C158,[1]Sheet1!$C:$C,[1]Sheet1!$E:$E)</f>
        <v>LSA #EQ14, H18cm VASE, AMBER/LUSTRE, EPOQUE 1PC/CTN</v>
      </c>
      <c r="F158" t="s">
        <v>450</v>
      </c>
    </row>
    <row r="159" spans="2:6">
      <c r="B159" t="str">
        <f>_xlfn.XLOOKUP(C159,[1]Sheet1!$C:$C,[1]Sheet1!$B:$B)</f>
        <v>G1663-18-142</v>
      </c>
      <c r="C159" t="s">
        <v>281</v>
      </c>
      <c r="E159" t="str">
        <f>_xlfn.XLOOKUP(C159,[1]Sheet1!$C:$C,[1]Sheet1!$E:$E)</f>
        <v>LSA, G1663-18-142, EPOQUE VASE H18CM PEACOCK/LUSTRE (ID)</v>
      </c>
      <c r="F159" t="s">
        <v>452</v>
      </c>
    </row>
    <row r="160" spans="2:6">
      <c r="B160" t="str">
        <f>_xlfn.XLOOKUP(C160,[1]Sheet1!$C:$C,[1]Sheet1!$B:$B)</f>
        <v>G1664-30-140</v>
      </c>
      <c r="C160" t="s">
        <v>453</v>
      </c>
      <c r="E160" t="str">
        <f>_xlfn.XLOOKUP(C160,[1]Sheet1!$C:$C,[1]Sheet1!$E:$E)</f>
        <v>LSA, G1664-30-140, EPOQUE VASE H30CM SAPPHIRE/LUSTRE (ID)</v>
      </c>
      <c r="F160" s="1" t="s">
        <v>454</v>
      </c>
    </row>
    <row r="161" spans="2:6">
      <c r="B161" t="str">
        <f>_xlfn.XLOOKUP(C161,[1]Sheet1!$C:$C,[1]Sheet1!$B:$B)</f>
        <v>G1664-48-142</v>
      </c>
      <c r="C161" t="s">
        <v>455</v>
      </c>
      <c r="E161" t="str">
        <f>_xlfn.XLOOKUP(C161,[1]Sheet1!$C:$C,[1]Sheet1!$E:$E)</f>
        <v>LSA, G1664-48-142, EPOQUE VASE H48CM PEACOCK/LUSTRE (ID)</v>
      </c>
      <c r="F161" t="s">
        <v>456</v>
      </c>
    </row>
    <row r="162" spans="2:6">
      <c r="B162" t="str">
        <f>_xlfn.XLOOKUP(C162,[1]Sheet1!$C:$C,[1]Sheet1!$B:$B)</f>
        <v>PU03</v>
      </c>
      <c r="C162" t="s">
        <v>457</v>
      </c>
      <c r="E162" t="str">
        <f>_xlfn.XLOOKUP(C162,[1]Sheet1!$C:$C,[1]Sheet1!$E:$E)</f>
        <v>(IDMOQ2SETS) #PU03, L37.5cm PLATEAU DUO SET, CLEAR/ASH/CORK (LSA) 1SET/CTN</v>
      </c>
      <c r="F162" t="s">
        <v>458</v>
      </c>
    </row>
    <row r="163" spans="2:6">
      <c r="B163" t="str">
        <f>_xlfn.XLOOKUP(C163,[1]Sheet1!$C:$C,[1]Sheet1!$B:$B)</f>
        <v>QU03</v>
      </c>
      <c r="C163" t="s">
        <v>459</v>
      </c>
      <c r="E163" t="str">
        <f>_xlfn.XLOOKUP(C163,[1]Sheet1!$C:$C,[1]Sheet1!$E:$E)</f>
        <v>#QU03 1.1ltr GLASS DECANTER, CLEAR/QUAD (LSA)</v>
      </c>
      <c r="F163" t="s">
        <v>460</v>
      </c>
    </row>
    <row r="164" spans="2:6">
      <c r="B164" t="str">
        <f>_xlfn.XLOOKUP(C164,[1]Sheet1!$C:$C,[1]Sheet1!$B:$B)</f>
        <v>G1711-29-148</v>
      </c>
      <c r="C164" t="s">
        <v>461</v>
      </c>
      <c r="E164" t="str">
        <f>_xlfn.XLOOKUP(C164,[1]Sheet1!$C:$C,[1]Sheet1!$E:$E)</f>
        <v>LSA #WR19 WICKER Ø29cm/H24.5cm DOME &amp; ASH BASE CLEAR (2PCS/CTN)</v>
      </c>
      <c r="F164" t="s">
        <v>462</v>
      </c>
    </row>
    <row r="165" spans="2:6">
      <c r="B165" t="str">
        <f>_xlfn.XLOOKUP(C165,[1]Sheet1!$C:$C,[1]Sheet1!$B:$B)</f>
        <v>G1737-25-301</v>
      </c>
      <c r="C165" t="s">
        <v>463</v>
      </c>
      <c r="E165" t="str">
        <f>_xlfn.XLOOKUP(C165,[1]Sheet1!$C:$C,[1]Sheet1!$E:$E)</f>
        <v>LSA #LH01 SIGNATURE Ø19.5cm/H25.5cm CLOCHE DOME &amp; OAK BASE CAKE STAND</v>
      </c>
      <c r="F165" t="s">
        <v>464</v>
      </c>
    </row>
    <row r="166" spans="2:6">
      <c r="B166" t="str">
        <f>_xlfn.XLOOKUP(C166,[1]Sheet1!$C:$C,[1]Sheet1!$B:$B)</f>
        <v>G1738-30-301</v>
      </c>
      <c r="C166" t="s">
        <v>465</v>
      </c>
      <c r="E166" t="str">
        <f>_xlfn.XLOOKUP(C166,[1]Sheet1!$C:$C,[1]Sheet1!$E:$E)</f>
        <v>LSA #LH02 SIGNATURE Ø26cm/H30.5cm CLOCHE DOME &amp; OAK BASE CAKE STAND</v>
      </c>
      <c r="F166" t="s">
        <v>464</v>
      </c>
    </row>
    <row r="167" spans="2:6">
      <c r="B167" t="str">
        <f>_xlfn.XLOOKUP(C167,[1]Sheet1!$C:$C,[1]Sheet1!$B:$B)</f>
        <v>G1739-35-301</v>
      </c>
      <c r="C167" t="s">
        <v>466</v>
      </c>
      <c r="E167" t="str">
        <f>_xlfn.XLOOKUP(C167,[1]Sheet1!$C:$C,[1]Sheet1!$E:$E)</f>
        <v>LSA #LH03 SIGNATURE Ø21cm/H35.5cm CLOCHE PYRAMID DOME &amp; OAK BASE CAKE STAND</v>
      </c>
      <c r="F167" t="s">
        <v>464</v>
      </c>
    </row>
    <row r="168" spans="2:6">
      <c r="B168">
        <f>_xlfn.XLOOKUP(C168,[1]Sheet1!$C:$C,[1]Sheet1!$B:$B)</f>
        <v>0</v>
      </c>
      <c r="C168" t="s">
        <v>467</v>
      </c>
      <c r="E168" t="str">
        <f>_xlfn.XLOOKUP(C168,[1]Sheet1!$C:$C,[1]Sheet1!$E:$E)</f>
        <v>(DCWSL19) #HZ01 0.95ltr GLASS DECANTER, CLEAR/HECTOR (LSA)</v>
      </c>
      <c r="F168" t="s">
        <v>468</v>
      </c>
    </row>
    <row r="169" spans="2:6">
      <c r="B169" t="str">
        <f>_xlfn.XLOOKUP(C169,[1]Sheet1!$C:$C,[1]Sheet1!$B:$B)</f>
        <v>G1745-12-301</v>
      </c>
      <c r="C169" t="s">
        <v>470</v>
      </c>
      <c r="E169" t="str">
        <f>_xlfn.XLOOKUP(C169,[1]Sheet1!$C:$C,[1]Sheet1!$E:$E)</f>
        <v>LSA #DI67 DINE CHEESE DOME &amp; OAK WDN BOARD L36.5xW16xH18cm</v>
      </c>
      <c r="F169" t="s">
        <v>469</v>
      </c>
    </row>
    <row r="170" spans="2:6">
      <c r="B170" t="str">
        <f>_xlfn.XLOOKUP(C170,[1]Sheet1!$C:$C,[1]Sheet1!$B:$B)</f>
        <v>G1747-09-301</v>
      </c>
      <c r="C170" t="s">
        <v>471</v>
      </c>
      <c r="E170" t="str">
        <f>_xlfn.XLOOKUP(C170,[1]Sheet1!$C:$C,[1]Sheet1!$E:$E)</f>
        <v>LSA #G1747-09-301 #AC01 ARC CLEAR 260ml TUMBLER (4PCS/CTN) (SELL BY CTN)</v>
      </c>
      <c r="F170" t="s">
        <v>472</v>
      </c>
    </row>
    <row r="171" spans="2:6">
      <c r="B171" t="str">
        <f>_xlfn.XLOOKUP(C171,[1]Sheet1!$C:$C,[1]Sheet1!$B:$B)</f>
        <v>G1747-14-126</v>
      </c>
      <c r="C171" t="s">
        <v>473</v>
      </c>
      <c r="E171" t="str">
        <f>_xlfn.XLOOKUP(C171,[1]Sheet1!$C:$C,[1]Sheet1!$E:$E)</f>
        <v>380ml ARC CONTRAST TUMBLER OCEAN (SET/2) (SELL BY SET)</v>
      </c>
      <c r="F171" t="s">
        <v>476</v>
      </c>
    </row>
    <row r="172" spans="2:6">
      <c r="B172" t="str">
        <f>_xlfn.XLOOKUP(C172,[1]Sheet1!$C:$C,[1]Sheet1!$B:$B)</f>
        <v>G1747-14-128</v>
      </c>
      <c r="C172" t="s">
        <v>474</v>
      </c>
      <c r="E172" t="str">
        <f>_xlfn.XLOOKUP(C172,[1]Sheet1!$C:$C,[1]Sheet1!$E:$E)</f>
        <v>380ml ARC CONTRAST TUMBLER MIST (SET/2) (SELL BY SET)</v>
      </c>
      <c r="F172" s="1" t="s">
        <v>477</v>
      </c>
    </row>
    <row r="173" spans="2:6">
      <c r="B173" t="str">
        <f>_xlfn.XLOOKUP(C173,[1]Sheet1!$C:$C,[1]Sheet1!$B:$B)</f>
        <v>G1747-14-129</v>
      </c>
      <c r="C173" t="s">
        <v>475</v>
      </c>
      <c r="E173" t="str">
        <f>_xlfn.XLOOKUP(C173,[1]Sheet1!$C:$C,[1]Sheet1!$E:$E)</f>
        <v>380ml ARC CONTRAST TUMBLER EARTH (SET/2) (SELL BY SET)</v>
      </c>
      <c r="F173" t="s">
        <v>478</v>
      </c>
    </row>
    <row r="174" spans="2:6">
      <c r="B174" t="str">
        <f>_xlfn.XLOOKUP(C174,[1]Sheet1!$C:$C,[1]Sheet1!$B:$B)</f>
        <v>G1747-14-301</v>
      </c>
      <c r="C174" t="s">
        <v>480</v>
      </c>
      <c r="E174" t="str">
        <f>_xlfn.XLOOKUP(C174,[1]Sheet1!$C:$C,[1]Sheet1!$E:$E)</f>
        <v>LSA #G1747-14-301 #AC02 ARC CLEAR 380ml TUMBLER (4PCS/CTN) (SELL BY CTN)</v>
      </c>
      <c r="F174" t="s">
        <v>479</v>
      </c>
    </row>
    <row r="175" spans="2:6">
      <c r="B175" t="str">
        <f>_xlfn.XLOOKUP(C175,[1]Sheet1!$C:$C,[1]Sheet1!$B:$B)</f>
        <v>G1748-12-301</v>
      </c>
      <c r="C175" t="s">
        <v>481</v>
      </c>
      <c r="E175" t="str">
        <f>_xlfn.XLOOKUP(C175,[1]Sheet1!$C:$C,[1]Sheet1!$E:$E)</f>
        <v>LSA #G1748-12-301 ARC CLEAR 340ml WINE GLASS (4PCS/CTN) (SELL BY CTN)</v>
      </c>
      <c r="F175" t="s">
        <v>482</v>
      </c>
    </row>
    <row r="176" spans="2:6">
      <c r="B176">
        <f>_xlfn.XLOOKUP(C176,[1]Sheet1!$C:$C,[1]Sheet1!$B:$B)</f>
        <v>0</v>
      </c>
      <c r="C176" t="s">
        <v>483</v>
      </c>
      <c r="E176" t="str">
        <f>_xlfn.XLOOKUP(C176,[1]Sheet1!$C:$C,[1]Sheet1!$E:$E)</f>
        <v>(DCWSL19) #LS02 0.8ltr DECANTER, CLEAR/LISBON (LSA)</v>
      </c>
      <c r="F176" t="s">
        <v>484</v>
      </c>
    </row>
    <row r="177" spans="2:6">
      <c r="B177" t="str">
        <f>_xlfn.XLOOKUP(C177,[1]Sheet1!$C:$C,[1]Sheet1!$B:$B)</f>
        <v>G1753-07-165</v>
      </c>
      <c r="C177" t="s">
        <v>485</v>
      </c>
      <c r="E177" t="str">
        <f>_xlfn.XLOOKUP(C177,[1]Sheet1!$C:$C,[1]Sheet1!$E:$E)</f>
        <v>(ID) LSA #DP17, DAPPLE TEALIGHT HOLDER/VASE H7CM WATER BLUE (2PCS/CTN)</v>
      </c>
      <c r="F177" t="s">
        <v>486</v>
      </c>
    </row>
    <row r="178" spans="2:6">
      <c r="B178" t="str">
        <f>_xlfn.XLOOKUP(C178,[1]Sheet1!$C:$C,[1]Sheet1!$B:$B)</f>
        <v>G197-29-992</v>
      </c>
      <c r="C178" t="s">
        <v>487</v>
      </c>
      <c r="E178" t="str">
        <f>_xlfn.XLOOKUP(C178,[1]Sheet1!$C:$C,[1]Sheet1!$E:$E)</f>
        <v>(WSL19) #BI09 / #B109, BORIS WATER JUG (LSA)</v>
      </c>
      <c r="F178" t="s">
        <v>488</v>
      </c>
    </row>
    <row r="179" spans="2:6">
      <c r="B179">
        <f>_xlfn.XLOOKUP(C179,[1]Sheet1!$C:$C,[1]Sheet1!$B:$B)</f>
        <v>0</v>
      </c>
      <c r="C179" t="s">
        <v>489</v>
      </c>
      <c r="E179" t="str">
        <f>_xlfn.XLOOKUP(C179,[1]Sheet1!$C:$C,[1]Sheet1!$E:$E)</f>
        <v>(DCWSL19)(*New Code:G201-60-991) #BR46 1.7ltr GLASS WATER JUG, CLEAR/TAPERED (LSA)</v>
      </c>
      <c r="F179" t="s">
        <v>490</v>
      </c>
    </row>
    <row r="180" spans="2:6">
      <c r="B180" t="str">
        <f>_xlfn.XLOOKUP(C180,[1]Sheet1!$C:$C,[1]Sheet1!$B:$B)</f>
        <v>BS02</v>
      </c>
      <c r="C180" t="s">
        <v>491</v>
      </c>
      <c r="E180" t="str">
        <f>_xlfn.XLOOKUP(C180,[1]Sheet1!$C:$C,[1]Sheet1!$E:$E)</f>
        <v>(IDMOQ6) #BS02, W16xH16cm, 1.0ltr  JUG, BASIS (LSA) 1PC/CTN</v>
      </c>
      <c r="F180" t="s">
        <v>492</v>
      </c>
    </row>
    <row r="181" spans="2:6">
      <c r="B181">
        <f>_xlfn.XLOOKUP(C181,[1]Sheet1!$C:$C,[1]Sheet1!$B:$B)</f>
        <v>0</v>
      </c>
      <c r="C181" t="s">
        <v>493</v>
      </c>
      <c r="E181" t="str">
        <f>_xlfn.XLOOKUP(C181,[1]Sheet1!$C:$C,[1]Sheet1!$E:$E)</f>
        <v>(DCWSL19) #BS07 1.5ltr GLASS JUG, TURQUOISE COLOR/BASIS (LSA)</v>
      </c>
      <c r="F181" t="s">
        <v>494</v>
      </c>
    </row>
    <row r="182" spans="2:6">
      <c r="B182" t="str">
        <f>_xlfn.XLOOKUP(C182,[1]Sheet1!$C:$C,[1]Sheet1!$B:$B)</f>
        <v>BS09</v>
      </c>
      <c r="C182" t="s">
        <v>495</v>
      </c>
      <c r="E182" t="str">
        <f>_xlfn.XLOOKUP(C182,[1]Sheet1!$C:$C,[1]Sheet1!$E:$E)</f>
        <v>(DCWSL19) #BS09 1.5ltr GLASS JUG, VIOLET COLOR/BASIS (LSA)</v>
      </c>
      <c r="F182" t="s">
        <v>497</v>
      </c>
    </row>
    <row r="183" spans="2:6">
      <c r="B183" t="str">
        <f>_xlfn.XLOOKUP(C183,[1]Sheet1!$C:$C,[1]Sheet1!$B:$B)</f>
        <v>BS05</v>
      </c>
      <c r="C183" t="s">
        <v>496</v>
      </c>
      <c r="E183" t="str">
        <f>_xlfn.XLOOKUP(C183,[1]Sheet1!$C:$C,[1]Sheet1!$E:$E)</f>
        <v>(DCWSL19) #BS05 1.5ltr GLASS JUG, LIME COLOR/BASIS (LSA)</v>
      </c>
      <c r="F183" t="s">
        <v>500</v>
      </c>
    </row>
    <row r="184" spans="2:6">
      <c r="B184" t="str">
        <f>_xlfn.XLOOKUP(C184,[1]Sheet1!$C:$C,[1]Sheet1!$B:$B)</f>
        <v>BS08</v>
      </c>
      <c r="C184" t="s">
        <v>499</v>
      </c>
      <c r="E184" t="str">
        <f>_xlfn.XLOOKUP(C184,[1]Sheet1!$C:$C,[1]Sheet1!$E:$E)</f>
        <v>(WSL19) #BS08 1.5ltr GLASS JUG, WHITE COLOR/BASIS (LSA)</v>
      </c>
      <c r="F184" t="s">
        <v>498</v>
      </c>
    </row>
    <row r="185" spans="2:6">
      <c r="B185">
        <f>_xlfn.XLOOKUP(C185,[1]Sheet1!$C:$C,[1]Sheet1!$B:$B)</f>
        <v>0</v>
      </c>
      <c r="C185" t="s">
        <v>501</v>
      </c>
      <c r="E185" t="str">
        <f>_xlfn.XLOOKUP(C185,[1]Sheet1!$C:$C,[1]Sheet1!$E:$E)</f>
        <v>(DCWSL19) #BS06 1.5ltr GLASS JUG, RED COLOR/BASIS (LSA)</v>
      </c>
      <c r="F185" t="s">
        <v>502</v>
      </c>
    </row>
    <row r="186" spans="2:6">
      <c r="B186">
        <f>_xlfn.XLOOKUP(C186,[1]Sheet1!$C:$C,[1]Sheet1!$B:$B)</f>
        <v>0</v>
      </c>
      <c r="C186" t="s">
        <v>503</v>
      </c>
      <c r="E186" t="str">
        <f>_xlfn.XLOOKUP(C186,[1]Sheet1!$C:$C,[1]Sheet1!$E:$E)</f>
        <v>(DCWSL19) #BS04 1.5ltr GLASS JUG, BLACK COLOR/BASIS (LSA)</v>
      </c>
      <c r="F186" t="s">
        <v>498</v>
      </c>
    </row>
    <row r="187" spans="2:6">
      <c r="B187" t="str">
        <f>_xlfn.XLOOKUP(C187,[1]Sheet1!$C:$C,[1]Sheet1!$B:$B)</f>
        <v>G211-54-992</v>
      </c>
      <c r="C187" t="s">
        <v>504</v>
      </c>
      <c r="E187" t="str">
        <f>_xlfn.XLOOKUP(C187,[1]Sheet1!$C:$C,[1]Sheet1!$E:$E)</f>
        <v>(ID) LSA #BS03 BASIS 1.5ltr JUG CLEAR (6PCS/CTN)</v>
      </c>
      <c r="F187" t="s">
        <v>498</v>
      </c>
    </row>
    <row r="188" spans="2:6">
      <c r="B188" t="str">
        <f>_xlfn.XLOOKUP(C188,[1]Sheet1!$C:$C,[1]Sheet1!$B:$B)</f>
        <v>OO10</v>
      </c>
      <c r="C188" t="s">
        <v>505</v>
      </c>
      <c r="E188" t="str">
        <f>_xlfn.XLOOKUP(C188,[1]Sheet1!$C:$C,[1]Sheet1!$E:$E)</f>
        <v>(DCWSL21) # OO10 0.4ltr JUG, CLEAR/ONO (LSA)</v>
      </c>
      <c r="F188" t="s">
        <v>506</v>
      </c>
    </row>
    <row r="189" spans="2:6">
      <c r="B189">
        <f>_xlfn.XLOOKUP(C189,[1]Sheet1!$C:$C,[1]Sheet1!$B:$B)</f>
        <v>0</v>
      </c>
      <c r="C189" t="s">
        <v>508</v>
      </c>
      <c r="E189" t="str">
        <f>_xlfn.XLOOKUP(C189,[1]Sheet1!$C:$C,[1]Sheet1!$E:$E)</f>
        <v>(DCWSL19) #CX09 0.87ltr CARAFE, LIME/CENTRO (LSA)</v>
      </c>
      <c r="F189" t="s">
        <v>507</v>
      </c>
    </row>
    <row r="190" spans="2:6">
      <c r="B190" t="str">
        <f>_xlfn.XLOOKUP(C190,[1]Sheet1!$C:$C,[1]Sheet1!$B:$B)</f>
        <v>MV20</v>
      </c>
      <c r="C190" t="s">
        <v>340</v>
      </c>
      <c r="E190" t="str">
        <f>_xlfn.XLOOKUP(C190,[1]Sheet1!$C:$C,[1]Sheet1!$E:$E)</f>
        <v>(DCWSL19) #MV20 0.75ltr JUG, CLEAR/MOYA (LSA)</v>
      </c>
      <c r="F190" t="s">
        <v>509</v>
      </c>
    </row>
    <row r="191" spans="2:6">
      <c r="B191">
        <f>_xlfn.XLOOKUP(C191,[1]Sheet1!$C:$C,[1]Sheet1!$B:$B)</f>
        <v>0</v>
      </c>
      <c r="C191" t="s">
        <v>510</v>
      </c>
      <c r="E191" t="str">
        <f>_xlfn.XLOOKUP(C191,[1]Sheet1!$C:$C,[1]Sheet1!$E:$E)</f>
        <v>(DCWSL20) #SZ01 350ml GLASS SAUCEBOAT &amp; SCOPE, CLEAR/SERVE COLL (LSA)</v>
      </c>
      <c r="F191" t="s">
        <v>511</v>
      </c>
    </row>
    <row r="192" spans="2:6">
      <c r="B192" t="str">
        <f>_xlfn.XLOOKUP(C192,[1]Sheet1!$C:$C,[1]Sheet1!$B:$B)</f>
        <v>SA13</v>
      </c>
      <c r="C192" t="s">
        <v>512</v>
      </c>
      <c r="E192" t="str">
        <f>_xlfn.XLOOKUP(C192,[1]Sheet1!$C:$C,[1]Sheet1!$E:$E)</f>
        <v>(DCWSL19)(*PX/PC,SELL BY SET) 250ml CHAMPAGNE SAUCER, PLATINUM/SAVOY (LSA) (2/SET)</v>
      </c>
      <c r="F192" t="s">
        <v>513</v>
      </c>
    </row>
    <row r="193" spans="2:6">
      <c r="B193" t="str">
        <f>_xlfn.XLOOKUP(C193,[1]Sheet1!$C:$C,[1]Sheet1!$B:$B)</f>
        <v>BR18</v>
      </c>
      <c r="C193" t="s">
        <v>514</v>
      </c>
      <c r="E193" t="str">
        <f>_xlfn.XLOOKUP(C193,[1]Sheet1!$C:$C,[1]Sheet1!$E:$E)</f>
        <v>(DCWSL19) #7142017 / #BR18 DIA17xH19cm GLASS ICE/CHAMPAGNE BUCKET, CLEAR/BAR (LSA)</v>
      </c>
      <c r="F193" t="s">
        <v>515</v>
      </c>
    </row>
    <row r="194" spans="2:6">
      <c r="B194" t="str">
        <f>_xlfn.XLOOKUP(C194,[1]Sheet1!$C:$C,[1]Sheet1!$B:$B)</f>
        <v>G294-14-301</v>
      </c>
      <c r="C194" t="s">
        <v>516</v>
      </c>
      <c r="E194" t="str">
        <f>_xlfn.XLOOKUP(C194,[1]Sheet1!$C:$C,[1]Sheet1!$E:$E)</f>
        <v>LSA, G294-14-301, UM01, HT:14cm UMBERTO GLASS VASE, CLEAR, 4PCS/CTN</v>
      </c>
      <c r="F194" t="s">
        <v>517</v>
      </c>
    </row>
    <row r="195" spans="2:6">
      <c r="B195" t="str">
        <f>_xlfn.XLOOKUP(C195,[1]Sheet1!$C:$C,[1]Sheet1!$B:$B)</f>
        <v>G294-15-301</v>
      </c>
      <c r="C195" t="s">
        <v>519</v>
      </c>
      <c r="E195" t="str">
        <f>_xlfn.XLOOKUP(C195,[1]Sheet1!$C:$C,[1]Sheet1!$E:$E)</f>
        <v>LSA, G294-15-301, UM02, HT:15cm UMBERTO GLASS VASE, CLEAR, 2PCS/CTN</v>
      </c>
      <c r="F195" t="s">
        <v>518</v>
      </c>
    </row>
    <row r="196" spans="2:6">
      <c r="B196" t="str">
        <f>_xlfn.XLOOKUP(C196,[1]Sheet1!$C:$C,[1]Sheet1!$B:$B)</f>
        <v>G297-24-301</v>
      </c>
      <c r="C196" t="s">
        <v>520</v>
      </c>
      <c r="E196" t="str">
        <f>_xlfn.XLOOKUP(C196,[1]Sheet1!$C:$C,[1]Sheet1!$E:$E)</f>
        <v>(IDMOQ:2) LSA, G297-24-301, UM03, HT:24cm UMBERTO GLASS VASE, CLEAR, 2PC/CTN</v>
      </c>
      <c r="F196" t="s">
        <v>521</v>
      </c>
    </row>
    <row r="197" spans="2:6">
      <c r="B197" t="str">
        <f>_xlfn.XLOOKUP(C197,[1]Sheet1!$C:$C,[1]Sheet1!$B:$B)</f>
        <v>G297-40-301</v>
      </c>
      <c r="C197" t="s">
        <v>522</v>
      </c>
      <c r="E197" t="str">
        <f>_xlfn.XLOOKUP(C197,[1]Sheet1!$C:$C,[1]Sheet1!$E:$E)</f>
        <v>(IDMOQ:2) LSA #G297-40-301, UM06, HT:40cm UMBERTO GLASS VASE, CLEAR, 2PC/CTN</v>
      </c>
      <c r="F197" t="s">
        <v>521</v>
      </c>
    </row>
    <row r="198" spans="2:6">
      <c r="B198" t="str">
        <f>_xlfn.XLOOKUP(C198,[1]Sheet1!$C:$C,[1]Sheet1!$B:$B)</f>
        <v>JA27</v>
      </c>
      <c r="C198" t="s">
        <v>523</v>
      </c>
      <c r="E198" t="str">
        <f>_xlfn.XLOOKUP(C198,[1]Sheet1!$C:$C,[1]Sheet1!$E:$E)</f>
        <v>(DCWSL19)(*PX/PC,SELL BY SET OF 4) JAZZ CHAMP FLUTE ASST BLACK DECORS (LSA) 4PCS/SET (SELL BY SET)</v>
      </c>
      <c r="F198" t="s">
        <v>524</v>
      </c>
    </row>
    <row r="199" spans="2:6">
      <c r="B199" t="str">
        <f>_xlfn.XLOOKUP(C199,[1]Sheet1!$C:$C,[1]Sheet1!$B:$B)</f>
        <v>G302-07-991</v>
      </c>
      <c r="C199" t="s">
        <v>525</v>
      </c>
      <c r="E199" t="str">
        <f>_xlfn.XLOOKUP(C199,[1]Sheet1!$C:$C,[1]Sheet1!$E:$E)</f>
        <v>(*PRICE/PC,SELL BY SET)  #BR21 200ml BAR HOLLOW STEM FLUTE, CLEAR X 2 (LSA) (SELL BY SET)</v>
      </c>
      <c r="F199" t="s">
        <v>527</v>
      </c>
    </row>
    <row r="200" spans="2:6">
      <c r="B200">
        <f>_xlfn.XLOOKUP(C200,[1]Sheet1!$C:$C,[1]Sheet1!$B:$B)</f>
        <v>0</v>
      </c>
      <c r="C200" t="s">
        <v>526</v>
      </c>
      <c r="E200" t="str">
        <f>_xlfn.XLOOKUP(C200,[1]Sheet1!$C:$C,[1]Sheet1!$E:$E)</f>
        <v>(DCWSL19) #MQ03 39ml WINE GLASS, CLEAR/MIDI (LSA)</v>
      </c>
      <c r="F200" t="s">
        <v>528</v>
      </c>
    </row>
    <row r="201" spans="2:6">
      <c r="B201">
        <f>_xlfn.XLOOKUP(C201,[1]Sheet1!$C:$C,[1]Sheet1!$B:$B)</f>
        <v>0</v>
      </c>
      <c r="C201" t="s">
        <v>530</v>
      </c>
      <c r="E201" t="str">
        <f>_xlfn.XLOOKUP(C201,[1]Sheet1!$C:$C,[1]Sheet1!$E:$E)</f>
        <v>(DCWSL19) H12cm DIA12cm VASE/CANDLEHOLDER, CLEAR/COLUMN (LSA)</v>
      </c>
      <c r="F201" t="s">
        <v>529</v>
      </c>
    </row>
    <row r="202" spans="2:6">
      <c r="B202">
        <f>_xlfn.XLOOKUP(C202,[1]Sheet1!$C:$C,[1]Sheet1!$B:$B)</f>
        <v>0</v>
      </c>
      <c r="C202" t="s">
        <v>532</v>
      </c>
      <c r="E202" t="str">
        <f>_xlfn.XLOOKUP(C202,[1]Sheet1!$C:$C,[1]Sheet1!$E:$E)</f>
        <v>(DCWSL19) H36cm DIA17cm VASE/CANDLEHOLDER, CLEAR/COLUMN (LSA)</v>
      </c>
      <c r="F202" t="s">
        <v>531</v>
      </c>
    </row>
    <row r="203" spans="2:6">
      <c r="B203" t="str">
        <f>_xlfn.XLOOKUP(C203,[1]Sheet1!$C:$C,[1]Sheet1!$B:$B)</f>
        <v>G331-13-301</v>
      </c>
      <c r="C203" t="s">
        <v>533</v>
      </c>
      <c r="E203" t="str">
        <f>_xlfn.XLOOKUP(C203,[1]Sheet1!$C:$C,[1]Sheet1!$E:$E)</f>
        <v>#MI01 13cm GLASS CONTAINER WITH LID,  CLEAR/MAXI (LSA) 3PCS/CTN</v>
      </c>
      <c r="F203" t="s">
        <v>534</v>
      </c>
    </row>
    <row r="204" spans="2:6">
      <c r="B204" t="str">
        <f>_xlfn.XLOOKUP(C204,[1]Sheet1!$C:$C,[1]Sheet1!$B:$B)</f>
        <v>G331-18-301</v>
      </c>
      <c r="C204" t="s">
        <v>535</v>
      </c>
      <c r="E204" t="str">
        <f>_xlfn.XLOOKUP(C204,[1]Sheet1!$C:$C,[1]Sheet1!$E:$E)</f>
        <v>#MI02 18cm GLASS CONTAINER WITH LID, CLEAR/MAXI (LSA)</v>
      </c>
      <c r="F204" t="s">
        <v>534</v>
      </c>
    </row>
    <row r="205" spans="2:6">
      <c r="B205">
        <f>_xlfn.XLOOKUP(C205,[1]Sheet1!$C:$C,[1]Sheet1!$B:$B)</f>
        <v>0</v>
      </c>
      <c r="C205" t="s">
        <v>536</v>
      </c>
      <c r="E205" t="str">
        <f>_xlfn.XLOOKUP(C205,[1]Sheet1!$C:$C,[1]Sheet1!$E:$E)</f>
        <v>(DCWSL19) H30cm CHAMPAGNE SAUCER, LIME/MIDI (LSA)</v>
      </c>
      <c r="F205" t="s">
        <v>537</v>
      </c>
    </row>
    <row r="206" spans="2:6">
      <c r="B206" t="str">
        <f>_xlfn.XLOOKUP(C206,[1]Sheet1!$C:$C,[1]Sheet1!$B:$B)</f>
        <v>G350-11-301</v>
      </c>
      <c r="C206" t="s">
        <v>538</v>
      </c>
      <c r="E206" t="str">
        <f>_xlfn.XLOOKUP(C206,[1]Sheet1!$C:$C,[1]Sheet1!$E:$E)</f>
        <v>LSA #FW01 11cm GLASS CLEAR SPRIG FLOWER VASE 4PCS/CTN</v>
      </c>
      <c r="F206" t="s">
        <v>539</v>
      </c>
    </row>
    <row r="207" spans="2:6">
      <c r="B207">
        <f>_xlfn.XLOOKUP(C207,[1]Sheet1!$C:$C,[1]Sheet1!$B:$B)</f>
        <v>0</v>
      </c>
      <c r="C207" t="s">
        <v>540</v>
      </c>
      <c r="E207" t="str">
        <f>_xlfn.XLOOKUP(C207,[1]Sheet1!$C:$C,[1]Sheet1!$E:$E)</f>
        <v>(DCWSL19)  #MQ02 H34cm COCKTAIL/MARTINI GLASS, MIDI (LSA)</v>
      </c>
      <c r="F207" t="s">
        <v>541</v>
      </c>
    </row>
    <row r="208" spans="2:6">
      <c r="B208" t="str">
        <f>_xlfn.XLOOKUP(C208,[1]Sheet1!$C:$C,[1]Sheet1!$B:$B)</f>
        <v>LI19</v>
      </c>
      <c r="C208" t="s">
        <v>542</v>
      </c>
      <c r="E208" t="str">
        <f>_xlfn.XLOOKUP(C208,[1]Sheet1!$C:$C,[1]Sheet1!$E:$E)</f>
        <v>(WSL19) H8.5cm TEALIGHT HOLDER, AMBER LIGHT(LSA)</v>
      </c>
      <c r="F208" t="s">
        <v>543</v>
      </c>
    </row>
    <row r="209" spans="2:6">
      <c r="B209">
        <f>_xlfn.XLOOKUP(C209,[1]Sheet1!$C:$C,[1]Sheet1!$B:$B)</f>
        <v>0</v>
      </c>
      <c r="C209" t="s">
        <v>544</v>
      </c>
      <c r="E209" t="str">
        <f>_xlfn.XLOOKUP(C209,[1]Sheet1!$C:$C,[1]Sheet1!$E:$E)</f>
        <v>(DCWSL19) #TO20 34cm, BOWL, CLEAR/TONDO (LSA)</v>
      </c>
      <c r="F209" t="s">
        <v>546</v>
      </c>
    </row>
    <row r="210" spans="2:6">
      <c r="B210" t="str">
        <f>_xlfn.XLOOKUP(C210,[1]Sheet1!$C:$C,[1]Sheet1!$B:$B)</f>
        <v>G443-25-301</v>
      </c>
      <c r="C210" t="s">
        <v>547</v>
      </c>
      <c r="E210" t="str">
        <f>_xlfn.XLOOKUP(C210,[1]Sheet1!$C:$C,[1]Sheet1!$E:$E)</f>
        <v>(ID) #FW14 H25cm GRAND BOUQUET VASE, CLEAR/FLOWER (LSA)</v>
      </c>
      <c r="F210" t="s">
        <v>548</v>
      </c>
    </row>
    <row r="211" spans="2:6">
      <c r="B211" t="str">
        <f>_xlfn.XLOOKUP(C211,[1]Sheet1!$C:$C,[1]Sheet1!$B:$B)</f>
        <v>G459-00-381</v>
      </c>
      <c r="C211" t="s">
        <v>549</v>
      </c>
      <c r="E211" t="str">
        <f>_xlfn.XLOOKUP(C211,[1]Sheet1!$C:$C,[1]Sheet1!$E:$E)</f>
        <v>#FL02 0.81ltr FLASK DECANTER, CLEAR/PLAT NECK (LSA)</v>
      </c>
      <c r="F211" t="s">
        <v>550</v>
      </c>
    </row>
    <row r="212" spans="2:6">
      <c r="B212">
        <f>_xlfn.XLOOKUP(C212,[1]Sheet1!$C:$C,[1]Sheet1!$B:$B)</f>
        <v>0</v>
      </c>
      <c r="C212" t="s">
        <v>551</v>
      </c>
      <c r="E212" t="str">
        <f>_xlfn.XLOOKUP(C212,[1]Sheet1!$C:$C,[1]Sheet1!$E:$E)</f>
        <v>(DCWSL19) H23.5cm VASE, CLEAR/VERONA (LSA)</v>
      </c>
      <c r="F212" t="s">
        <v>552</v>
      </c>
    </row>
    <row r="213" spans="2:6">
      <c r="B213" t="str">
        <f>_xlfn.XLOOKUP(C213,[1]Sheet1!$C:$C,[1]Sheet1!$B:$B)</f>
        <v>G474-01-985</v>
      </c>
      <c r="C213" t="s">
        <v>553</v>
      </c>
      <c r="E213" t="str">
        <f>_xlfn.XLOOKUP(C213,[1]Sheet1!$C:$C,[1]Sheet1!$E:$E)</f>
        <v>#MV19 50ml LIQUER GLASS, CLEAR/MOYA (LSA) 2PCS/SET (SELL BY SET)</v>
      </c>
      <c r="F213" t="s">
        <v>554</v>
      </c>
    </row>
    <row r="214" spans="2:6">
      <c r="B214" t="str">
        <f>_xlfn.XLOOKUP(C214,[1]Sheet1!$C:$C,[1]Sheet1!$B:$B)</f>
        <v>G495-22-301</v>
      </c>
      <c r="C214" t="s">
        <v>555</v>
      </c>
      <c r="E214" t="str">
        <f>_xlfn.XLOOKUP(C214,[1]Sheet1!$C:$C,[1]Sheet1!$E:$E)</f>
        <v>#SZ08 DIA22cm SERVE TALL COMPORT, CLEAR (LSA)</v>
      </c>
      <c r="F214" t="s">
        <v>556</v>
      </c>
    </row>
    <row r="215" spans="2:6">
      <c r="B215">
        <f>_xlfn.XLOOKUP(C215,[1]Sheet1!$C:$C,[1]Sheet1!$B:$B)</f>
        <v>0</v>
      </c>
      <c r="C215" t="s">
        <v>557</v>
      </c>
      <c r="E215" t="str">
        <f>_xlfn.XLOOKUP(C215,[1]Sheet1!$C:$C,[1]Sheet1!$E:$E)</f>
        <v>(DCWSL19) #SZ14 36cm GLASS CAKESTAND &amp; DOME, CLEAR/SERVE (LSA)</v>
      </c>
      <c r="F215" t="s">
        <v>558</v>
      </c>
    </row>
    <row r="216" spans="2:6">
      <c r="B216">
        <f>_xlfn.XLOOKUP(C216,[1]Sheet1!$C:$C,[1]Sheet1!$B:$B)</f>
        <v>0</v>
      </c>
      <c r="C216" t="s">
        <v>559</v>
      </c>
      <c r="E216" t="str">
        <f>_xlfn.XLOOKUP(C216,[1]Sheet1!$C:$C,[1]Sheet1!$E:$E)</f>
        <v>(DCWSL19)(*SELL BY PC) H6.5cm TEALIGHT HOLDER, CRANBERRY/HAZE (LSA)</v>
      </c>
      <c r="F216" t="s">
        <v>560</v>
      </c>
    </row>
    <row r="217" spans="2:6">
      <c r="B217" t="str">
        <f>_xlfn.XLOOKUP(C217,[1]Sheet1!$C:$C,[1]Sheet1!$B:$B)</f>
        <v>CZ06</v>
      </c>
      <c r="C217" t="s">
        <v>562</v>
      </c>
      <c r="E217" t="str">
        <f>_xlfn.XLOOKUP(C217,[1]Sheet1!$C:$C,[1]Sheet1!$E:$E)</f>
        <v>(WSL19)(SELL BY PC) #CZ06 6.5cm COLORED GLASS TEALIGHT HOLDER, BERRY/CORO (LSA) 4PCS/SET (SELL BY SET)</v>
      </c>
      <c r="F217" t="s">
        <v>560</v>
      </c>
    </row>
    <row r="218" spans="2:6">
      <c r="B218">
        <f>_xlfn.XLOOKUP(C218,[1]Sheet1!$C:$C,[1]Sheet1!$B:$B)</f>
        <v>0</v>
      </c>
      <c r="C218" t="s">
        <v>564</v>
      </c>
      <c r="E218" t="str">
        <f>_xlfn.XLOOKUP(C218,[1]Sheet1!$C:$C,[1]Sheet1!$E:$E)</f>
        <v>(DCWSL19) 37cm GLASS FLOWER, RASPBERRY PINK/GERBERA (LSA)</v>
      </c>
      <c r="F218" t="s">
        <v>565</v>
      </c>
    </row>
    <row r="219" spans="2:6">
      <c r="B219">
        <f>_xlfn.XLOOKUP(C219,[1]Sheet1!$C:$C,[1]Sheet1!$B:$B)</f>
        <v>0</v>
      </c>
      <c r="C219" t="s">
        <v>567</v>
      </c>
      <c r="E219" t="str">
        <f>_xlfn.XLOOKUP(C219,[1]Sheet1!$C:$C,[1]Sheet1!$E:$E)</f>
        <v>(DCWSL19) 37cm GLASS FLOWER, SKY BLUE/GERBERA (LSA)</v>
      </c>
      <c r="F219" t="s">
        <v>568</v>
      </c>
    </row>
    <row r="220" spans="2:6">
      <c r="B220">
        <f>_xlfn.XLOOKUP(C220,[1]Sheet1!$C:$C,[1]Sheet1!$B:$B)</f>
        <v>0</v>
      </c>
      <c r="C220" t="s">
        <v>570</v>
      </c>
      <c r="E220" t="str">
        <f>_xlfn.XLOOKUP(C220,[1]Sheet1!$C:$C,[1]Sheet1!$E:$E)</f>
        <v>(DCWSL19) 37cm GLASS FLOWER, GOLD/GERBERA (LSA)</v>
      </c>
      <c r="F220" t="s">
        <v>571</v>
      </c>
    </row>
    <row r="221" spans="2:6">
      <c r="B221">
        <f>_xlfn.XLOOKUP(C221,[1]Sheet1!$C:$C,[1]Sheet1!$B:$B)</f>
        <v>0</v>
      </c>
      <c r="C221" t="s">
        <v>572</v>
      </c>
      <c r="E221" t="str">
        <f>_xlfn.XLOOKUP(C221,[1]Sheet1!$C:$C,[1]Sheet1!$E:$E)</f>
        <v>(DCWSL19) 37cm GLASS FLOWER, PLATINUM/GERBERA (LSA)</v>
      </c>
      <c r="F221" t="s">
        <v>573</v>
      </c>
    </row>
    <row r="222" spans="2:6">
      <c r="B222" t="str">
        <f>_xlfn.XLOOKUP(C222,[1]Sheet1!$C:$C,[1]Sheet1!$B:$B)</f>
        <v>G602-13-301</v>
      </c>
      <c r="C222" t="s">
        <v>575</v>
      </c>
      <c r="E222" t="str">
        <f>_xlfn.XLOOKUP(C222,[1]Sheet1!$C:$C,[1]Sheet1!$E:$E)</f>
        <v>LSA, G602-13-301, FLOWER GARDEN POSY VASE H13CM CLEAR (ID)</v>
      </c>
      <c r="F222" t="s">
        <v>576</v>
      </c>
    </row>
    <row r="223" spans="2:6">
      <c r="B223" t="str">
        <f>_xlfn.XLOOKUP(C223,[1]Sheet1!$C:$C,[1]Sheet1!$B:$B)</f>
        <v>G617-25-301</v>
      </c>
      <c r="C223" t="s">
        <v>577</v>
      </c>
      <c r="E223" t="str">
        <f>_xlfn.XLOOKUP(C223,[1]Sheet1!$C:$C,[1]Sheet1!$E:$E)</f>
        <v>#VI02 DIA25xH17.5cm GLASS PLATE DIA25cm &amp; DOME DIA22.5cm, CLEAR/VIENNA (LSA)</v>
      </c>
      <c r="F223" t="s">
        <v>578</v>
      </c>
    </row>
    <row r="224" spans="2:6">
      <c r="B224">
        <f>_xlfn.XLOOKUP(C224,[1]Sheet1!$C:$C,[1]Sheet1!$B:$B)</f>
        <v>0</v>
      </c>
      <c r="C224" t="s">
        <v>579</v>
      </c>
      <c r="E224" t="str">
        <f>_xlfn.XLOOKUP(C224,[1]Sheet1!$C:$C,[1]Sheet1!$E:$E)</f>
        <v>(DCWSL19)(*SELL BY PC) 150ml GLASS CHAMPAGNE APERITIF, CLEAR/BAR (LSA) 4PCS/SET</v>
      </c>
      <c r="F224" t="s">
        <v>580</v>
      </c>
    </row>
    <row r="225" spans="2:6">
      <c r="B225" t="str">
        <f>_xlfn.XLOOKUP(C225,[1]Sheet1!$C:$C,[1]Sheet1!$B:$B)</f>
        <v>G668-35-301</v>
      </c>
      <c r="C225" t="s">
        <v>581</v>
      </c>
      <c r="E225" t="str">
        <f>_xlfn.XLOOKUP(C225,[1]Sheet1!$C:$C,[1]Sheet1!$E:$E)</f>
        <v>#FW09 H35cm GRAND BOUQUET VASE, CLEAR/FLOWER (LSA) 3PCS/CTN</v>
      </c>
      <c r="F225" t="s">
        <v>582</v>
      </c>
    </row>
    <row r="226" spans="2:6">
      <c r="B226" t="str">
        <f>_xlfn.XLOOKUP(C226,[1]Sheet1!$C:$C,[1]Sheet1!$B:$B)</f>
        <v>G687-30-301</v>
      </c>
      <c r="C226" t="s">
        <v>583</v>
      </c>
      <c r="E226" t="str">
        <f>_xlfn.XLOOKUP(C226,[1]Sheet1!$C:$C,[1]Sheet1!$E:$E)</f>
        <v>(WSL19) #SZ04 30cm GLASS TRIO DISH, CLEAR/SERVE (LSA)</v>
      </c>
      <c r="F226" t="s">
        <v>584</v>
      </c>
    </row>
    <row r="227" spans="2:6">
      <c r="B227">
        <f>_xlfn.XLOOKUP(C227,[1]Sheet1!$C:$C,[1]Sheet1!$B:$B)</f>
        <v>0</v>
      </c>
      <c r="C227" t="s">
        <v>585</v>
      </c>
      <c r="E227" t="str">
        <f>_xlfn.XLOOKUP(C227,[1]Sheet1!$C:$C,[1]Sheet1!$E:$E)</f>
        <v>(DCWSL19)(*SELL BY PC) MALIKA HIGHBALL , THK CLR SPIRAL  (LSA) 4PCS/SET</v>
      </c>
      <c r="F227" t="s">
        <v>307</v>
      </c>
    </row>
    <row r="228" spans="2:6">
      <c r="B228" t="str">
        <f>_xlfn.XLOOKUP(C228,[1]Sheet1!$C:$C,[1]Sheet1!$B:$B)</f>
        <v>WI08</v>
      </c>
      <c r="C228" t="s">
        <v>586</v>
      </c>
      <c r="E228" t="str">
        <f>_xlfn.XLOOKUP(C228,[1]Sheet1!$C:$C,[1]Sheet1!$E:$E)</f>
        <v>(*PRICE/PC,SELL BY SET OF 4) #WI08 300ml 'WINE' CLEAR GLASS CHAMPAGNE SAUCER (LSA) 4PCS/SET</v>
      </c>
      <c r="F228" t="s">
        <v>587</v>
      </c>
    </row>
    <row r="229" spans="2:6">
      <c r="B229" t="str">
        <f>_xlfn.XLOOKUP(C229,[1]Sheet1!$C:$C,[1]Sheet1!$B:$B)</f>
        <v>G740-40-301</v>
      </c>
      <c r="C229" t="s">
        <v>588</v>
      </c>
      <c r="E229" t="str">
        <f>_xlfn.XLOOKUP(C229,[1]Sheet1!$C:$C,[1]Sheet1!$E:$E)</f>
        <v>#KN01 40cm GLASS CAKESTAND, CLEAR/KONSTANTIN (LSA)</v>
      </c>
      <c r="F229" t="s">
        <v>589</v>
      </c>
    </row>
    <row r="230" spans="2:6">
      <c r="B230" t="str">
        <f>_xlfn.XLOOKUP(C230,[1]Sheet1!$C:$C,[1]Sheet1!$B:$B)</f>
        <v>LI10</v>
      </c>
      <c r="C230" t="s">
        <v>590</v>
      </c>
      <c r="E230" t="str">
        <f>_xlfn.XLOOKUP(C230,[1]Sheet1!$C:$C,[1]Sheet1!$E:$E)</f>
        <v>(WSL19) 35cm GLASS STORM LANTERN, CLEAR/LIGHT (LSA)</v>
      </c>
      <c r="F230" t="s">
        <v>591</v>
      </c>
    </row>
    <row r="231" spans="2:6">
      <c r="B231">
        <f>_xlfn.XLOOKUP(C231,[1]Sheet1!$C:$C,[1]Sheet1!$B:$B)</f>
        <v>0</v>
      </c>
      <c r="C231" t="s">
        <v>592</v>
      </c>
      <c r="E231" t="str">
        <f>_xlfn.XLOOKUP(C231,[1]Sheet1!$C:$C,[1]Sheet1!$E:$E)</f>
        <v>(DCWSL19) 29cm GLASS CANDLE STEM, CLEAR/LIGHT (LSA)</v>
      </c>
      <c r="F231" t="s">
        <v>591</v>
      </c>
    </row>
    <row r="232" spans="2:6">
      <c r="B232">
        <f>_xlfn.XLOOKUP(C232,[1]Sheet1!$C:$C,[1]Sheet1!$B:$B)</f>
        <v>0</v>
      </c>
      <c r="C232" t="s">
        <v>593</v>
      </c>
      <c r="E232" t="str">
        <f>_xlfn.XLOOKUP(C232,[1]Sheet1!$C:$C,[1]Sheet1!$E:$E)</f>
        <v>(DCWSL19) 24cm GLASS CANDLESTICK HOLDER, CLEAR/LIGHT (LSA)</v>
      </c>
      <c r="F232" t="s">
        <v>591</v>
      </c>
    </row>
    <row r="233" spans="2:6">
      <c r="B233">
        <f>_xlfn.XLOOKUP(C233,[1]Sheet1!$C:$C,[1]Sheet1!$B:$B)</f>
        <v>0</v>
      </c>
      <c r="C233" t="s">
        <v>594</v>
      </c>
      <c r="E233" t="str">
        <f>_xlfn.XLOOKUP(C233,[1]Sheet1!$C:$C,[1]Sheet1!$E:$E)</f>
        <v>(DCWSL19) #MX04 54cm GLASS CHAMPAGNE SAUCER, CLEAR/MAX (LSA)</v>
      </c>
      <c r="F233" t="s">
        <v>595</v>
      </c>
    </row>
    <row r="234" spans="2:6">
      <c r="B234">
        <f>_xlfn.XLOOKUP(C234,[1]Sheet1!$C:$C,[1]Sheet1!$B:$B)</f>
        <v>0</v>
      </c>
      <c r="C234" t="s">
        <v>596</v>
      </c>
      <c r="E234" t="str">
        <f>_xlfn.XLOOKUP(C234,[1]Sheet1!$C:$C,[1]Sheet1!$E:$E)</f>
        <v>(DCWSL19) #IZ27 H24cm VASE/LANTERN, MINERAL/INZA (LSA)</v>
      </c>
      <c r="F234" t="s">
        <v>597</v>
      </c>
    </row>
    <row r="235" spans="2:6">
      <c r="B235">
        <f>_xlfn.XLOOKUP(C235,[1]Sheet1!$C:$C,[1]Sheet1!$B:$B)</f>
        <v>0</v>
      </c>
      <c r="C235" t="s">
        <v>599</v>
      </c>
      <c r="E235" t="str">
        <f>_xlfn.XLOOKUP(C235,[1]Sheet1!$C:$C,[1]Sheet1!$E:$E)</f>
        <v>(DCWSL19)(ID) #FZ10 / #G817-26-981 26cm SALAD BOWL &amp; SERVERS, CLEAR/FIRO (LSA)</v>
      </c>
      <c r="F235" t="s">
        <v>598</v>
      </c>
    </row>
    <row r="236" spans="2:6">
      <c r="B236" t="str">
        <f>_xlfn.XLOOKUP(C236,[1]Sheet1!$C:$C,[1]Sheet1!$B:$B)</f>
        <v>G837-10-985</v>
      </c>
      <c r="C236" t="s">
        <v>600</v>
      </c>
      <c r="E236" t="str">
        <f>_xlfn.XLOOKUP(C236,[1]Sheet1!$C:$C,[1]Sheet1!$E:$E)</f>
        <v>#MV13 290ml TUMBLER, CLEAR/MOYA (LSA) 2PCS/SET (SELL BY SET)</v>
      </c>
      <c r="F236" t="s">
        <v>601</v>
      </c>
    </row>
    <row r="237" spans="2:6">
      <c r="B237">
        <f>_xlfn.XLOOKUP(C237,[1]Sheet1!$C:$C,[1]Sheet1!$B:$B)</f>
        <v>0</v>
      </c>
      <c r="C237" t="s">
        <v>602</v>
      </c>
      <c r="E237" t="str">
        <f>_xlfn.XLOOKUP(C237,[1]Sheet1!$C:$C,[1]Sheet1!$E:$E)</f>
        <v>(DCWSL19) H17xDIA17cm VASE/CANDLEHOLDER, CLEAR/COLUMN (LSA)</v>
      </c>
      <c r="F237" t="s">
        <v>603</v>
      </c>
    </row>
    <row r="238" spans="2:6">
      <c r="B238" t="str">
        <f>_xlfn.XLOOKUP(C238,[1]Sheet1!$C:$C,[1]Sheet1!$B:$B)</f>
        <v>MV21</v>
      </c>
      <c r="C238" t="s">
        <v>604</v>
      </c>
      <c r="E238" t="str">
        <f>_xlfn.XLOOKUP(C238,[1]Sheet1!$C:$C,[1]Sheet1!$E:$E)</f>
        <v>(DCWSL21)  #MV21 DIA28cm GLASS MOYA COMPORT, CLEAR (LSA)</v>
      </c>
      <c r="F238" t="s">
        <v>605</v>
      </c>
    </row>
    <row r="239" spans="2:6">
      <c r="B239">
        <f>_xlfn.XLOOKUP(C239,[1]Sheet1!$C:$C,[1]Sheet1!$B:$B)</f>
        <v>0</v>
      </c>
      <c r="C239" t="s">
        <v>606</v>
      </c>
      <c r="E239" t="str">
        <f>_xlfn.XLOOKUP(C239,[1]Sheet1!$C:$C,[1]Sheet1!$E:$E)</f>
        <v>(DCWSL19) #OO06 H25.5cm VASE, MOCHA/ONO (LSA)</v>
      </c>
      <c r="F239" t="s">
        <v>607</v>
      </c>
    </row>
    <row r="240" spans="2:6">
      <c r="B240" t="str">
        <f>_xlfn.XLOOKUP(C240,[1]Sheet1!$C:$C,[1]Sheet1!$B:$B)</f>
        <v>G875-25-301</v>
      </c>
      <c r="C240" t="s">
        <v>610</v>
      </c>
      <c r="E240" t="str">
        <f>_xlfn.XLOOKUP(C240,[1]Sheet1!$C:$C,[1]Sheet1!$E:$E)</f>
        <v>#SZ23 DIA26.5xH25cm CAKESTAND &amp; DOME, CLEAR/SERVE (LSA)</v>
      </c>
      <c r="F240" t="s">
        <v>609</v>
      </c>
    </row>
    <row r="241" spans="2:6">
      <c r="B241" t="str">
        <f>_xlfn.XLOOKUP(C241,[1]Sheet1!$C:$C,[1]Sheet1!$B:$B)</f>
        <v>G875-31-301</v>
      </c>
      <c r="C241" t="s">
        <v>611</v>
      </c>
      <c r="E241" t="str">
        <f>_xlfn.XLOOKUP(C241,[1]Sheet1!$C:$C,[1]Sheet1!$E:$E)</f>
        <v>LSA #SZ24 Ø34.5/Ø32cm SERVE CAKE STAND &amp; DOME, CLEAR (2PCS/CTN)</v>
      </c>
      <c r="F241" t="s">
        <v>612</v>
      </c>
    </row>
    <row r="242" spans="2:6">
      <c r="B242" t="str">
        <f>_xlfn.XLOOKUP(C242,[1]Sheet1!$C:$C,[1]Sheet1!$B:$B)</f>
        <v>G878-28-301</v>
      </c>
      <c r="C242" t="s">
        <v>613</v>
      </c>
      <c r="E242" t="str">
        <f>_xlfn.XLOOKUP(C242,[1]Sheet1!$C:$C,[1]Sheet1!$E:$E)</f>
        <v>#SZ25 DIA15/DIA14cm GLASS STAND &amp; DOME, CLEAR/SERVE (LSA) 3PCS/CTN</v>
      </c>
      <c r="F242" t="s">
        <v>614</v>
      </c>
    </row>
    <row r="243" spans="2:6">
      <c r="B243" t="str">
        <f>_xlfn.XLOOKUP(C243,[1]Sheet1!$C:$C,[1]Sheet1!$B:$B)</f>
        <v>G879-11-301</v>
      </c>
      <c r="C243" t="s">
        <v>615</v>
      </c>
      <c r="E243" t="str">
        <f>_xlfn.XLOOKUP(C243,[1]Sheet1!$C:$C,[1]Sheet1!$E:$E)</f>
        <v>(DC25) #SZ21 11.5/10.5cm GLASS BUTTER DISH &amp; LID, CLEAR/SERVE (LSA) 4PCS/CTN</v>
      </c>
      <c r="F243" t="s">
        <v>616</v>
      </c>
    </row>
    <row r="244" spans="2:6">
      <c r="B244" t="str">
        <f>_xlfn.XLOOKUP(C244,[1]Sheet1!$C:$C,[1]Sheet1!$B:$B)</f>
        <v>WI01</v>
      </c>
      <c r="C244" t="s">
        <v>617</v>
      </c>
      <c r="E244" t="str">
        <f>_xlfn.XLOOKUP(C244,[1]Sheet1!$C:$C,[1]Sheet1!$E:$E)</f>
        <v>(*PRICE/PC,SELL BY SET OF 4) #WI01 370ml WINE STEMLESS WHITE WINE, CLEAR (LSA) 4PCS/SET (SELL BY SET)</v>
      </c>
      <c r="F244" t="s">
        <v>618</v>
      </c>
    </row>
    <row r="245" spans="2:6">
      <c r="B245" t="str">
        <f>_xlfn.XLOOKUP(C245,[1]Sheet1!$C:$C,[1]Sheet1!$B:$B)</f>
        <v>WI02</v>
      </c>
      <c r="C245" t="s">
        <v>619</v>
      </c>
      <c r="E245" t="str">
        <f>_xlfn.XLOOKUP(C245,[1]Sheet1!$C:$C,[1]Sheet1!$E:$E)</f>
        <v>(*PRICE/PC,SELL BY SET OF 4) #WI02 530ml WINE STEMLESS RED WINE, CLEAR (LSA) 4PCS/SET (SELL BY SET)</v>
      </c>
      <c r="F245" t="s">
        <v>620</v>
      </c>
    </row>
    <row r="246" spans="2:6">
      <c r="B246">
        <f>_xlfn.XLOOKUP(C246,[1]Sheet1!$C:$C,[1]Sheet1!$B:$B)</f>
        <v>0</v>
      </c>
      <c r="C246" t="s">
        <v>621</v>
      </c>
      <c r="E246" t="str">
        <f>_xlfn.XLOOKUP(C246,[1]Sheet1!$C:$C,[1]Sheet1!$E:$E)</f>
        <v>(DCWSL19)(*SELL BY PC) #SZ06 17cm GLASS CONDIMENT DISHES, CLEAR/SERVE (LSA)</v>
      </c>
      <c r="F246" t="s">
        <v>622</v>
      </c>
    </row>
    <row r="247" spans="2:6">
      <c r="B247" t="str">
        <f>_xlfn.XLOOKUP(C247,[1]Sheet1!$C:$C,[1]Sheet1!$B:$B)</f>
        <v>SZ07</v>
      </c>
      <c r="C247" t="s">
        <v>623</v>
      </c>
      <c r="E247" t="str">
        <f>_xlfn.XLOOKUP(C247,[1]Sheet1!$C:$C,[1]Sheet1!$E:$E)</f>
        <v>(DCWSL21)  #SZ07 32cm GLASS LOW COMPORT DISH, CLEAR/SERVE (LSA) 4PCS/CTN</v>
      </c>
      <c r="F247" t="s">
        <v>622</v>
      </c>
    </row>
    <row r="248" spans="2:6">
      <c r="B248">
        <f>_xlfn.XLOOKUP(C248,[1]Sheet1!$C:$C,[1]Sheet1!$B:$B)</f>
        <v>0</v>
      </c>
      <c r="C248" t="s">
        <v>624</v>
      </c>
      <c r="E248" t="str">
        <f>_xlfn.XLOOKUP(C248,[1]Sheet1!$C:$C,[1]Sheet1!$E:$E)</f>
        <v>(DCWSL19) #MX02 65cm COCKTAIL GLASS, CLEAR/MAXA (LSA)</v>
      </c>
      <c r="F248" t="s">
        <v>625</v>
      </c>
    </row>
    <row r="249" spans="2:6">
      <c r="B249" t="str">
        <f>_xlfn.XLOOKUP(C249,[1]Sheet1!$C:$C,[1]Sheet1!$B:$B)</f>
        <v>SZ22</v>
      </c>
      <c r="C249" t="s">
        <v>626</v>
      </c>
      <c r="E249" t="str">
        <f>_xlfn.XLOOKUP(C249,[1]Sheet1!$C:$C,[1]Sheet1!$E:$E)</f>
        <v>(WSL19)(PRICE/PC,SELL BY SET OF 4) #SZ22 DIA11.5cm GLASS TALL DISH, CLEAR/SERVE (LSA) 4PCS/SET</v>
      </c>
      <c r="F249" t="s">
        <v>627</v>
      </c>
    </row>
    <row r="250" spans="2:6">
      <c r="B250">
        <f>_xlfn.XLOOKUP(C250,[1]Sheet1!$C:$C,[1]Sheet1!$B:$B)</f>
        <v>0</v>
      </c>
      <c r="C250" t="s">
        <v>628</v>
      </c>
      <c r="E250" t="str">
        <f>_xlfn.XLOOKUP(C250,[1]Sheet1!$C:$C,[1]Sheet1!$E:$E)</f>
        <v>(DCWSL19) #MX01 75cm GIANT WINE GLASS, CLEAR/MAXA (LSA)</v>
      </c>
      <c r="F250" t="s">
        <v>629</v>
      </c>
    </row>
    <row r="251" spans="2:6">
      <c r="B251">
        <f>_xlfn.XLOOKUP(C251,[1]Sheet1!$C:$C,[1]Sheet1!$B:$B)</f>
        <v>0</v>
      </c>
      <c r="C251" t="s">
        <v>630</v>
      </c>
      <c r="E251" t="str">
        <f>_xlfn.XLOOKUP(C251,[1]Sheet1!$C:$C,[1]Sheet1!$E:$E)</f>
        <v>(DCWSL19) ICE BUCKET, LEON (LSA)</v>
      </c>
      <c r="F251" t="s">
        <v>631</v>
      </c>
    </row>
    <row r="252" spans="2:6">
      <c r="B252" t="str">
        <f>_xlfn.XLOOKUP(C252,[1]Sheet1!$C:$C,[1]Sheet1!$B:$B)</f>
        <v>G911-12-301</v>
      </c>
      <c r="C252" t="s">
        <v>633</v>
      </c>
      <c r="E252" t="str">
        <f>_xlfn.XLOOKUP(C252,[1]Sheet1!$C:$C,[1]Sheet1!$E:$E)</f>
        <v>(ID) #SZ18 / #G911-12-301 120mm CAVIAR SET, CLEAR/SERVE (LSA)</v>
      </c>
      <c r="F252" t="s">
        <v>632</v>
      </c>
    </row>
    <row r="253" spans="2:6">
      <c r="B253" t="str">
        <f>_xlfn.XLOOKUP(C253,[1]Sheet1!$C:$C,[1]Sheet1!$B:$B)</f>
        <v>G912-26-301</v>
      </c>
      <c r="C253" t="s">
        <v>634</v>
      </c>
      <c r="E253" t="str">
        <f>_xlfn.XLOOKUP(C253,[1]Sheet1!$C:$C,[1]Sheet1!$E:$E)</f>
        <v>#SZ11 H25cm GLASS BONBON JAR, CLEAR/SERVE (LSA) 3PCS/CTN</v>
      </c>
      <c r="F253" t="s">
        <v>635</v>
      </c>
    </row>
    <row r="254" spans="2:6">
      <c r="B254" t="str">
        <f>_xlfn.XLOOKUP(C254,[1]Sheet1!$C:$C,[1]Sheet1!$B:$B)</f>
        <v>G912-38-301</v>
      </c>
      <c r="C254" t="s">
        <v>636</v>
      </c>
      <c r="E254" t="str">
        <f>_xlfn.XLOOKUP(C254,[1]Sheet1!$C:$C,[1]Sheet1!$E:$E)</f>
        <v>#SZ33 H38cm TALL GLASS BONBON JAR, CLEAR/SERVE (LSA) 2PCS/CTN</v>
      </c>
      <c r="F254" t="s">
        <v>637</v>
      </c>
    </row>
    <row r="255" spans="2:6">
      <c r="B255" t="str">
        <f>_xlfn.XLOOKUP(C255,[1]Sheet1!$C:$C,[1]Sheet1!$B:$B)</f>
        <v>G914-33-301</v>
      </c>
      <c r="C255" t="s">
        <v>638</v>
      </c>
      <c r="E255" t="str">
        <f>_xlfn.XLOOKUP(C255,[1]Sheet1!$C:$C,[1]Sheet1!$E:$E)</f>
        <v>#KL03 33/30cm GLASS CAKESTAND AND LID, CLEAR/KLARA (LSA)</v>
      </c>
      <c r="F255" t="s">
        <v>639</v>
      </c>
    </row>
    <row r="256" spans="2:6">
      <c r="B256" t="str">
        <f>_xlfn.XLOOKUP(C256,[1]Sheet1!$C:$C,[1]Sheet1!$B:$B)</f>
        <v>VI04</v>
      </c>
      <c r="C256" t="s">
        <v>640</v>
      </c>
      <c r="E256" t="str">
        <f>_xlfn.XLOOKUP(C256,[1]Sheet1!$C:$C,[1]Sheet1!$E:$E)</f>
        <v>(DCWSL22) #VI04 20/15cm GLASS CAKESTAND &amp; DOME , CLEAR/VIENNA (3/CTN)(LSA)</v>
      </c>
      <c r="F256" t="s">
        <v>641</v>
      </c>
    </row>
    <row r="257" spans="2:6">
      <c r="B257" t="str">
        <f>_xlfn.XLOOKUP(C257,[1]Sheet1!$C:$C,[1]Sheet1!$B:$B)</f>
        <v>G915-32-301</v>
      </c>
      <c r="C257" t="s">
        <v>642</v>
      </c>
      <c r="E257" t="str">
        <f>_xlfn.XLOOKUP(C257,[1]Sheet1!$C:$C,[1]Sheet1!$E:$E)</f>
        <v>#VI05 23/20.5cm GLASS TALL CAKESTAND &amp; LID (*Inner Ht:12cm), CLEAR/VIENNA (4PCS/CTN)(LSA)</v>
      </c>
      <c r="F257" t="s">
        <v>641</v>
      </c>
    </row>
    <row r="258" spans="2:6">
      <c r="B258">
        <f>_xlfn.XLOOKUP(C258,[1]Sheet1!$C:$C,[1]Sheet1!$B:$B)</f>
        <v>0</v>
      </c>
      <c r="C258" t="s">
        <v>643</v>
      </c>
      <c r="E258" t="str">
        <f>_xlfn.XLOOKUP(C258,[1]Sheet1!$C:$C,[1]Sheet1!$E:$E)</f>
        <v>(DCWSL19) #VI06 DIA15xH:32cm GLASS CAKESTAND &amp; LID, CLEAR/VIENNA (LSA)</v>
      </c>
      <c r="F258" t="s">
        <v>641</v>
      </c>
    </row>
    <row r="259" spans="2:6">
      <c r="B259">
        <f>_xlfn.XLOOKUP(C259,[1]Sheet1!$C:$C,[1]Sheet1!$B:$B)</f>
        <v>0</v>
      </c>
      <c r="C259" t="s">
        <v>644</v>
      </c>
      <c r="E259" t="str">
        <f>_xlfn.XLOOKUP(C259,[1]Sheet1!$C:$C,[1]Sheet1!$E:$E)</f>
        <v>(DCWSL19)(*PRICE/PC,SELL BY SET) SERVE CONDIMENT POTS &amp; SCOOPS CL (LSA) 2PCS/SET (SELL BY SET)</v>
      </c>
      <c r="F259" t="s">
        <v>645</v>
      </c>
    </row>
    <row r="260" spans="2:6">
      <c r="B260">
        <f>_xlfn.XLOOKUP(C260,[1]Sheet1!$C:$C,[1]Sheet1!$B:$B)</f>
        <v>0</v>
      </c>
      <c r="C260" t="s">
        <v>646</v>
      </c>
      <c r="E260" t="str">
        <f>_xlfn.XLOOKUP(C260,[1]Sheet1!$C:$C,[1]Sheet1!$E:$E)</f>
        <v>(DCWSL19)(*SELL BY PC) 400ml WINE GLASS, CRANBERRY/HAZE (LSA)</v>
      </c>
      <c r="F260" t="s">
        <v>647</v>
      </c>
    </row>
    <row r="261" spans="2:6">
      <c r="B261">
        <f>_xlfn.XLOOKUP(C261,[1]Sheet1!$C:$C,[1]Sheet1!$B:$B)</f>
        <v>0</v>
      </c>
      <c r="C261" t="s">
        <v>648</v>
      </c>
      <c r="E261" t="str">
        <f>_xlfn.XLOOKUP(C261,[1]Sheet1!$C:$C,[1]Sheet1!$E:$E)</f>
        <v>(DCWSL19)(*SELL BY PC) 400ml WINE GLASS, APPLE/HAZE (LSA)</v>
      </c>
      <c r="F261" t="s">
        <v>649</v>
      </c>
    </row>
    <row r="262" spans="2:6">
      <c r="B262">
        <f>_xlfn.XLOOKUP(C262,[1]Sheet1!$C:$C,[1]Sheet1!$B:$B)</f>
        <v>0</v>
      </c>
      <c r="C262" t="s">
        <v>651</v>
      </c>
      <c r="E262" t="str">
        <f>_xlfn.XLOOKUP(C262,[1]Sheet1!$C:$C,[1]Sheet1!$E:$E)</f>
        <v>(DCWSL19)(*SELL BY PC) 400ml WINEGLASS, SKY/HAZE (LSA)</v>
      </c>
      <c r="F262" t="s">
        <v>652</v>
      </c>
    </row>
    <row r="263" spans="2:6">
      <c r="B263">
        <f>_xlfn.XLOOKUP(C263,[1]Sheet1!$C:$C,[1]Sheet1!$B:$B)</f>
        <v>0</v>
      </c>
      <c r="C263" t="s">
        <v>653</v>
      </c>
      <c r="E263" t="str">
        <f>_xlfn.XLOOKUP(C263,[1]Sheet1!$C:$C,[1]Sheet1!$E:$E)</f>
        <v>(DCWSL19) #EL30 DIA23cm COMPORT, CLEAR/ELINA (LSA)</v>
      </c>
      <c r="F263" t="s">
        <v>654</v>
      </c>
    </row>
    <row r="264" spans="2:6">
      <c r="B264" t="str">
        <f>_xlfn.XLOOKUP(C264,[1]Sheet1!$C:$C,[1]Sheet1!$B:$B)</f>
        <v>EL26</v>
      </c>
      <c r="C264" t="s">
        <v>655</v>
      </c>
      <c r="E264" t="str">
        <f>_xlfn.XLOOKUP(C264,[1]Sheet1!$C:$C,[1]Sheet1!$E:$E)</f>
        <v>(DCWSL21)  #EL26 32cm COMPORT, CLEAR/ELINA (LSA) 2PCS/CTN</v>
      </c>
      <c r="F264" t="s">
        <v>654</v>
      </c>
    </row>
    <row r="265" spans="2:6">
      <c r="B265" t="str">
        <f>_xlfn.XLOOKUP(C265,[1]Sheet1!$C:$C,[1]Sheet1!$B:$B)</f>
        <v>JA28</v>
      </c>
      <c r="C265" t="s">
        <v>656</v>
      </c>
      <c r="E265" t="str">
        <f>_xlfn.XLOOKUP(C265,[1]Sheet1!$C:$C,[1]Sheet1!$E:$E)</f>
        <v>(DCWSL21)  (*PX/PC, SELL BY SET OF 4) #JA28 JAZZ COCKTAIL GL ASST BLACK DECORS (LSA) 4PCS/SET</v>
      </c>
      <c r="F265" t="s">
        <v>657</v>
      </c>
    </row>
    <row r="266" spans="2:6">
      <c r="B266" t="str">
        <f>_xlfn.XLOOKUP(C266,[1]Sheet1!$C:$C,[1]Sheet1!$B:$B)</f>
        <v>SZ27</v>
      </c>
      <c r="C266" t="s">
        <v>659</v>
      </c>
      <c r="E266" t="str">
        <f>_xlfn.XLOOKUP(C266,[1]Sheet1!$C:$C,[1]Sheet1!$E:$E)</f>
        <v>(DCWSL19) #SZ27 DIA14cm GLASS CIRCLE DISH, CLEAR/SERVE  (LSA)</v>
      </c>
      <c r="F266" t="s">
        <v>660</v>
      </c>
    </row>
    <row r="267" spans="2:6">
      <c r="B267" t="str">
        <f>_xlfn.XLOOKUP(C267,[1]Sheet1!$C:$C,[1]Sheet1!$B:$B)</f>
        <v>SZ28</v>
      </c>
      <c r="C267" t="s">
        <v>661</v>
      </c>
      <c r="E267" t="str">
        <f>_xlfn.XLOOKUP(C267,[1]Sheet1!$C:$C,[1]Sheet1!$E:$E)</f>
        <v>(DCWSL21)  #SZ28 DIA35cm GLASS CIRCLE PLATTER, CLEAR/SERVE (LSA)</v>
      </c>
      <c r="F267" t="s">
        <v>662</v>
      </c>
    </row>
    <row r="268" spans="2:6">
      <c r="B268">
        <f>_xlfn.XLOOKUP(C268,[1]Sheet1!$C:$C,[1]Sheet1!$B:$B)</f>
        <v>0</v>
      </c>
      <c r="C268" t="s">
        <v>663</v>
      </c>
      <c r="E268" t="str">
        <f>_xlfn.XLOOKUP(C268,[1]Sheet1!$C:$C,[1]Sheet1!$E:$E)</f>
        <v>(DCWSL19) #SZ29  L40xW12cm GLASS LONG DISH PLATTER, CLEAR/SERVE (LSA)</v>
      </c>
      <c r="F268" t="s">
        <v>664</v>
      </c>
    </row>
    <row r="269" spans="2:6">
      <c r="B269">
        <f>_xlfn.XLOOKUP(C269,[1]Sheet1!$C:$C,[1]Sheet1!$B:$B)</f>
        <v>0</v>
      </c>
      <c r="C269" t="s">
        <v>665</v>
      </c>
      <c r="E269" t="str">
        <f>_xlfn.XLOOKUP(C269,[1]Sheet1!$C:$C,[1]Sheet1!$E:$E)</f>
        <v>(DCWSL19)(*PRICE/PC,SELL BY SET) #SA18# 380ml SAVOY WINE GLASS, CLEAR (LSA) 2PCS/SET (SELL BY SET)</v>
      </c>
      <c r="F269" t="s">
        <v>666</v>
      </c>
    </row>
    <row r="270" spans="2:6">
      <c r="B270">
        <f>_xlfn.XLOOKUP(C270,[1]Sheet1!$C:$C,[1]Sheet1!$B:$B)</f>
        <v>0</v>
      </c>
      <c r="C270" t="s">
        <v>667</v>
      </c>
      <c r="E270" t="str">
        <f>_xlfn.XLOOKUP(C270,[1]Sheet1!$C:$C,[1]Sheet1!$E:$E)</f>
        <v>(DCWSL19)(*PRICE/PC,SELL BY SET) 380ml SAVOY WINE GLASS, PLATINUM (LSA) 2PCS/SET (SELL BY SET)</v>
      </c>
      <c r="F270" t="s">
        <v>666</v>
      </c>
    </row>
    <row r="271" spans="2:6">
      <c r="B271">
        <f>_xlfn.XLOOKUP(C271,[1]Sheet1!$C:$C,[1]Sheet1!$B:$B)</f>
        <v>0</v>
      </c>
      <c r="C271" t="s">
        <v>668</v>
      </c>
      <c r="E271" t="str">
        <f>_xlfn.XLOOKUP(C271,[1]Sheet1!$C:$C,[1]Sheet1!$E:$E)</f>
        <v>(DCWSL19)(*PRICE/PC,SELL BY SET) #SA19 450ml SAVOY WINE GLASS, CLEAR (LSA) 2PCS/SET</v>
      </c>
      <c r="F271" t="s">
        <v>666</v>
      </c>
    </row>
    <row r="272" spans="2:6">
      <c r="B272">
        <f>_xlfn.XLOOKUP(C272,[1]Sheet1!$C:$C,[1]Sheet1!$B:$B)</f>
        <v>0</v>
      </c>
      <c r="C272" t="s">
        <v>669</v>
      </c>
      <c r="E272" t="str">
        <f>_xlfn.XLOOKUP(C272,[1]Sheet1!$C:$C,[1]Sheet1!$E:$E)</f>
        <v>(DCWSL19)(*PRICE/PC,SELL BY SET) 450ml SAVOY WINE GLASS, PLATINUM (LSA) 2PCS/SET</v>
      </c>
      <c r="F272" t="s">
        <v>666</v>
      </c>
    </row>
    <row r="273" spans="2:6">
      <c r="B273">
        <f>_xlfn.XLOOKUP(C273,[1]Sheet1!$C:$C,[1]Sheet1!$B:$B)</f>
        <v>0</v>
      </c>
      <c r="C273" t="s">
        <v>670</v>
      </c>
      <c r="E273" t="str">
        <f>_xlfn.XLOOKUP(C273,[1]Sheet1!$C:$C,[1]Sheet1!$E:$E)</f>
        <v>(DCWSL19) #LW09 DIA:22cm BOWL &amp; ASH BASE, LOTTA (LSA)</v>
      </c>
      <c r="F273" t="s">
        <v>671</v>
      </c>
    </row>
    <row r="274" spans="2:6">
      <c r="B274" t="str">
        <f>_xlfn.XLOOKUP(C274,[1]Sheet1!$C:$C,[1]Sheet1!$B:$B)</f>
        <v>G991-13-301</v>
      </c>
      <c r="C274" t="s">
        <v>672</v>
      </c>
      <c r="E274" t="str">
        <f>_xlfn.XLOOKUP(C274,[1]Sheet1!$C:$C,[1]Sheet1!$E:$E)</f>
        <v>#LW23 H13cm LANTERN &amp; ASH BASE, LOTTA (LSA)</v>
      </c>
      <c r="F274" t="s">
        <v>673</v>
      </c>
    </row>
    <row r="275" spans="2:6">
      <c r="B275" t="str">
        <f>_xlfn.XLOOKUP(C275,[1]Sheet1!$C:$C,[1]Sheet1!$B:$B)</f>
        <v>G993-14-301</v>
      </c>
      <c r="C275" t="s">
        <v>674</v>
      </c>
      <c r="E275" t="str">
        <f>_xlfn.XLOOKUP(C275,[1]Sheet1!$C:$C,[1]Sheet1!$E:$E)</f>
        <v>LSA G993-14-301 #LW18 CONTAINER &amp; ASH LID LOTTA H14cm 4PCS/CTN</v>
      </c>
      <c r="F275" t="s">
        <v>675</v>
      </c>
    </row>
    <row r="276" spans="2:6">
      <c r="B276" t="str">
        <f>_xlfn.XLOOKUP(C276,[1]Sheet1!$C:$C,[1]Sheet1!$B:$B)</f>
        <v>G993-19-301</v>
      </c>
      <c r="C276" t="s">
        <v>676</v>
      </c>
      <c r="E276" t="str">
        <f>_xlfn.XLOOKUP(C276,[1]Sheet1!$C:$C,[1]Sheet1!$E:$E)</f>
        <v>LSA G993-19-301 #LW19  CONTAINER &amp; ASH LID LOTTA H19cm (4PCS/CTN)</v>
      </c>
      <c r="F276" t="s">
        <v>686</v>
      </c>
    </row>
    <row r="277" spans="2:6">
      <c r="B277" t="str">
        <f>_xlfn.XLOOKUP(C277,[1]Sheet1!$C:$C,[1]Sheet1!$B:$B)</f>
        <v>PL27</v>
      </c>
      <c r="C277" t="s">
        <v>677</v>
      </c>
      <c r="E277" t="str">
        <f>_xlfn.XLOOKUP(C277,[1]Sheet1!$C:$C,[1]Sheet1!$E:$E)</f>
        <v>(DCWSL19) #PL27#1.3L H:16.5xW:24cm POLKA TEAPOT PEARL (1/CTN)</v>
      </c>
      <c r="F277" t="s">
        <v>687</v>
      </c>
    </row>
    <row r="278" spans="2:6">
      <c r="B278" t="str">
        <f>_xlfn.XLOOKUP(C278,[1]Sheet1!$C:$C,[1]Sheet1!$B:$B)</f>
        <v>P079-20-997</v>
      </c>
      <c r="C278" t="s">
        <v>678</v>
      </c>
      <c r="E278" t="str">
        <f>_xlfn.XLOOKUP(C278,[1]Sheet1!$C:$C,[1]Sheet1!$E:$E)</f>
        <v>(*SPO18) #DI22 20cm DINE STARTER/DESSERT COUPE PLATE (LSA) 4PCS/CTN</v>
      </c>
      <c r="F278" t="s">
        <v>688</v>
      </c>
    </row>
    <row r="279" spans="2:6">
      <c r="B279" t="str">
        <f>_xlfn.XLOOKUP(C279,[1]Sheet1!$C:$C,[1]Sheet1!$B:$B)</f>
        <v>P097-34-997</v>
      </c>
      <c r="C279" t="s">
        <v>679</v>
      </c>
      <c r="E279" t="str">
        <f>_xlfn.XLOOKUP(C279,[1]Sheet1!$C:$C,[1]Sheet1!$E:$E)</f>
        <v>(ID-MOQ) LSA P097-34-997 #DI30 DINE FRUIT/SERVING BOWL COUPE DIAØ34cm, 2'S/CTN (IDPOA)</v>
      </c>
      <c r="F279" t="s">
        <v>689</v>
      </c>
    </row>
    <row r="280" spans="2:6">
      <c r="B280">
        <f>_xlfn.XLOOKUP(C280,[1]Sheet1!$C:$C,[1]Sheet1!$B:$B)</f>
        <v>0</v>
      </c>
      <c r="C280" t="s">
        <v>680</v>
      </c>
      <c r="E280" t="str">
        <f>_xlfn.XLOOKUP(C280,[1]Sheet1!$C:$C,[1]Sheet1!$E:$E)</f>
        <v>(DCWSL19) 0.4ltr GRANDE MUG, CRANBERRY/HAZE (LSA)</v>
      </c>
      <c r="F280" t="s">
        <v>691</v>
      </c>
    </row>
    <row r="281" spans="2:6">
      <c r="B281">
        <f>_xlfn.XLOOKUP(C281,[1]Sheet1!$C:$C,[1]Sheet1!$B:$B)</f>
        <v>0</v>
      </c>
      <c r="C281" t="s">
        <v>681</v>
      </c>
      <c r="E281" t="str">
        <f>_xlfn.XLOOKUP(C281,[1]Sheet1!$C:$C,[1]Sheet1!$E:$E)</f>
        <v>(DCWSL19) 0.4ltr GRANDE MUG, APPLE/HAZE (LSA)</v>
      </c>
      <c r="F281" t="s">
        <v>692</v>
      </c>
    </row>
    <row r="282" spans="2:6">
      <c r="B282">
        <f>_xlfn.XLOOKUP(C282,[1]Sheet1!$C:$C,[1]Sheet1!$B:$B)</f>
        <v>0</v>
      </c>
      <c r="C282" t="s">
        <v>682</v>
      </c>
      <c r="E282" t="str">
        <f>_xlfn.XLOOKUP(C282,[1]Sheet1!$C:$C,[1]Sheet1!$E:$E)</f>
        <v>(DCWSL19) 0.4ltr GRANDE MUG, SKY/HAZE (LSA)</v>
      </c>
      <c r="F282" t="s">
        <v>694</v>
      </c>
    </row>
    <row r="283" spans="2:6">
      <c r="B283" t="str">
        <f>_xlfn.XLOOKUP(C283,[1]Sheet1!$C:$C,[1]Sheet1!$B:$B)</f>
        <v>LW13</v>
      </c>
      <c r="C283" t="s">
        <v>683</v>
      </c>
      <c r="E283" t="str">
        <f>_xlfn.XLOOKUP(C283,[1]Sheet1!$C:$C,[1]Sheet1!$E:$E)</f>
        <v>(DCWSL19)(IDMOQ4) #LW13 DIA18cm SERVING PLATTER &amp; ASH BASE, LOTTA (LSA)</v>
      </c>
      <c r="F283" t="s">
        <v>696</v>
      </c>
    </row>
    <row r="284" spans="2:6">
      <c r="B284">
        <f>_xlfn.XLOOKUP(C284,[1]Sheet1!$C:$C,[1]Sheet1!$B:$B)</f>
        <v>0</v>
      </c>
      <c r="C284" t="s">
        <v>684</v>
      </c>
      <c r="E284" t="str">
        <f>_xlfn.XLOOKUP(C284,[1]Sheet1!$C:$C,[1]Sheet1!$E:$E)</f>
        <v>(DCWSL19) #CU08 DIA16xH5.5cm BOWL W/ASH HDL, CIRCLE (LSA)</v>
      </c>
      <c r="F284" t="s">
        <v>698</v>
      </c>
    </row>
    <row r="285" spans="2:6">
      <c r="B285">
        <f>_xlfn.XLOOKUP(C285,[1]Sheet1!$C:$C,[1]Sheet1!$B:$B)</f>
        <v>0</v>
      </c>
      <c r="C285" t="s">
        <v>685</v>
      </c>
      <c r="E285" t="str">
        <f>_xlfn.XLOOKUP(C285,[1]Sheet1!$C:$C,[1]Sheet1!$E:$E)</f>
        <v>(DCWSL19) #CU09 DIA22xH5.5cm BOWL W/ASH HDL, CIRCLE (LSA)</v>
      </c>
      <c r="F285" t="s">
        <v>698</v>
      </c>
    </row>
  </sheetData>
  <conditionalFormatting sqref="A2:A1048576">
    <cfRule type="duplicateValues" dxfId="2" priority="2"/>
  </conditionalFormatting>
  <conditionalFormatting sqref="A1">
    <cfRule type="duplicateValues" dxfId="0" priority="1"/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3555-5FC4-4256-B8F1-AA73B51E7085}">
  <dimension ref="A1:I285"/>
  <sheetViews>
    <sheetView tabSelected="1" workbookViewId="0">
      <selection activeCell="E2" sqref="E2:E1048576"/>
    </sheetView>
  </sheetViews>
  <sheetFormatPr defaultRowHeight="15"/>
  <cols>
    <col min="1" max="1" width="21.42578125" customWidth="1"/>
    <col min="2" max="2" width="20.5703125" customWidth="1"/>
    <col min="3" max="3" width="20" customWidth="1"/>
    <col min="5" max="5" width="19.5703125" customWidth="1"/>
    <col min="6" max="6" width="20.140625" customWidth="1"/>
    <col min="7" max="7" width="32.140625" customWidth="1"/>
    <col min="8" max="8" width="14.5703125" customWidth="1"/>
  </cols>
  <sheetData>
    <row r="1" spans="1:9" s="3" customFormat="1">
      <c r="A1" s="2" t="s">
        <v>705</v>
      </c>
      <c r="B1" s="2" t="s">
        <v>704</v>
      </c>
      <c r="C1" s="2" t="s">
        <v>701</v>
      </c>
      <c r="D1" s="2" t="s">
        <v>702</v>
      </c>
      <c r="E1" s="2" t="s">
        <v>703</v>
      </c>
      <c r="F1" s="2" t="s">
        <v>1</v>
      </c>
      <c r="G1" s="2" t="s">
        <v>2</v>
      </c>
      <c r="H1" s="2" t="s">
        <v>3</v>
      </c>
      <c r="I1" s="2" t="s">
        <v>4</v>
      </c>
    </row>
    <row r="2" spans="1:9">
      <c r="A2" t="str">
        <f>_xlfn.XLOOKUP(C2,[1]Sheet1!$C:$C,[1]Sheet1!$A:$A)</f>
        <v>5344-G385-33-301</v>
      </c>
      <c r="B2" t="str">
        <f>_xlfn.XLOOKUP(C2,[1]Sheet1!$C:$C,[1]Sheet1!$B:$B)</f>
        <v>G385-33-301</v>
      </c>
      <c r="C2" t="s">
        <v>18</v>
      </c>
      <c r="D2" t="s">
        <v>5</v>
      </c>
      <c r="E2" t="str">
        <f>_xlfn.XLOOKUP(C2,[1]Sheet1!$C:$C,[1]Sheet1!$E:$E)</f>
        <v>#VI03 33/30cm GLASS PLATE &amp; DOME, CLEAR/VIENNA (LSA)</v>
      </c>
      <c r="F2" t="s">
        <v>20</v>
      </c>
      <c r="G2" t="s">
        <v>21</v>
      </c>
      <c r="H2" t="s">
        <v>22</v>
      </c>
      <c r="I2" t="s">
        <v>7</v>
      </c>
    </row>
    <row r="3" spans="1:9">
      <c r="A3" t="str">
        <f>_xlfn.XLOOKUP(C3,[1]Sheet1!$C:$C,[1]Sheet1!$A:$A)</f>
        <v>5344-P204-02-517</v>
      </c>
      <c r="B3" t="str">
        <f>_xlfn.XLOOKUP(C3,[1]Sheet1!$C:$C,[1]Sheet1!$B:$B)</f>
        <v>LW14</v>
      </c>
      <c r="C3" t="s">
        <v>23</v>
      </c>
      <c r="D3" t="s">
        <v>5</v>
      </c>
      <c r="E3" t="str">
        <f>_xlfn.XLOOKUP(C3,[1]Sheet1!$C:$C,[1]Sheet1!$E:$E)</f>
        <v>(DCWSL19) #LW14 DIA29.5xH6cm SERVING PLATTER &amp; ASH BASE, LOTTA (LSA)</v>
      </c>
      <c r="F3" t="s">
        <v>25</v>
      </c>
      <c r="G3" t="s">
        <v>26</v>
      </c>
      <c r="H3" t="s">
        <v>14</v>
      </c>
      <c r="I3" t="s">
        <v>9</v>
      </c>
    </row>
    <row r="4" spans="1:9">
      <c r="A4" t="str">
        <f>_xlfn.XLOOKUP(C4,[1]Sheet1!$C:$C,[1]Sheet1!$A:$A)</f>
        <v>5344-G060-09-301</v>
      </c>
      <c r="B4" t="str">
        <f>_xlfn.XLOOKUP(C4,[1]Sheet1!$C:$C,[1]Sheet1!$B:$B)</f>
        <v>G060-09-301</v>
      </c>
      <c r="C4" t="s">
        <v>29</v>
      </c>
      <c r="D4" t="s">
        <v>5</v>
      </c>
      <c r="E4" t="str">
        <f>_xlfn.XLOOKUP(C4,[1]Sheet1!$C:$C,[1]Sheet1!$E:$E)</f>
        <v>LSA #GI01/#GIO H7xW8cm, 310ml TUMBLER CLEAR/LOW 48PCS/CTN</v>
      </c>
      <c r="F4" t="s">
        <v>31</v>
      </c>
      <c r="G4" t="s">
        <v>32</v>
      </c>
      <c r="H4" t="s">
        <v>28</v>
      </c>
      <c r="I4" t="s">
        <v>7</v>
      </c>
    </row>
    <row r="5" spans="1:9">
      <c r="A5" t="str">
        <f>_xlfn.XLOOKUP(C5,[1]Sheet1!$C:$C,[1]Sheet1!$A:$A)</f>
        <v>5344-G1048-15-301</v>
      </c>
      <c r="B5" t="str">
        <f>_xlfn.XLOOKUP(C5,[1]Sheet1!$C:$C,[1]Sheet1!$B:$B)</f>
        <v>G1048-15-301</v>
      </c>
      <c r="C5" t="s">
        <v>35</v>
      </c>
      <c r="D5" t="s">
        <v>5</v>
      </c>
      <c r="E5" t="str">
        <f>_xlfn.XLOOKUP(C5,[1]Sheet1!$C:$C,[1]Sheet1!$E:$E)</f>
        <v>LSA G1048-15-301 #IV01 DOME/ASH BASE CLEAR/IVALO DIA15xH15.5cm  (4PCS/CTN)</v>
      </c>
      <c r="F5" t="s">
        <v>37</v>
      </c>
      <c r="G5" t="s">
        <v>38</v>
      </c>
      <c r="H5" t="s">
        <v>27</v>
      </c>
      <c r="I5" t="s">
        <v>7</v>
      </c>
    </row>
    <row r="6" spans="1:9">
      <c r="A6" t="str">
        <f>_xlfn.XLOOKUP(C6,[1]Sheet1!$C:$C,[1]Sheet1!$A:$A)</f>
        <v>5344-G1048-21-301</v>
      </c>
      <c r="B6" t="str">
        <f>_xlfn.XLOOKUP(C6,[1]Sheet1!$C:$C,[1]Sheet1!$B:$B)</f>
        <v>G1048-21-301</v>
      </c>
      <c r="C6" t="s">
        <v>39</v>
      </c>
      <c r="D6" t="s">
        <v>5</v>
      </c>
      <c r="E6" t="str">
        <f>_xlfn.XLOOKUP(C6,[1]Sheet1!$C:$C,[1]Sheet1!$E:$E)</f>
        <v>LSA G1048-21-301 #IV02 DOME/ASH BASE CLEAR/IVALO DIA22xH28.5cm (2PCS/CTN)</v>
      </c>
      <c r="F6" t="s">
        <v>41</v>
      </c>
      <c r="G6" t="s">
        <v>42</v>
      </c>
      <c r="H6" t="s">
        <v>16</v>
      </c>
      <c r="I6" t="s">
        <v>7</v>
      </c>
    </row>
    <row r="7" spans="1:9">
      <c r="A7" t="str">
        <f>_xlfn.XLOOKUP(C7,[1]Sheet1!$C:$C,[1]Sheet1!$A:$A)</f>
        <v>5344-G1079-10-301</v>
      </c>
      <c r="B7">
        <f>_xlfn.XLOOKUP(C7,[1]Sheet1!$C:$C,[1]Sheet1!$B:$B)</f>
        <v>0</v>
      </c>
      <c r="C7" t="s">
        <v>43</v>
      </c>
      <c r="D7" t="s">
        <v>5</v>
      </c>
      <c r="E7" t="str">
        <f>_xlfn.XLOOKUP(C7,[1]Sheet1!$C:$C,[1]Sheet1!$E:$E)</f>
        <v>(DCWSL19) #PX08 L45cm DOME TRIO &amp; OAK PADDLE, CLEAR/PADDLE (LSA)</v>
      </c>
      <c r="F7" t="s">
        <v>45</v>
      </c>
      <c r="G7" t="s">
        <v>46</v>
      </c>
      <c r="H7" t="s">
        <v>14</v>
      </c>
      <c r="I7" t="s">
        <v>7</v>
      </c>
    </row>
    <row r="8" spans="1:9">
      <c r="A8" t="str">
        <f>_xlfn.XLOOKUP(C8,[1]Sheet1!$C:$C,[1]Sheet1!$A:$A)</f>
        <v>5344-G1219-00-301</v>
      </c>
      <c r="B8" t="str">
        <f>_xlfn.XLOOKUP(C8,[1]Sheet1!$C:$C,[1]Sheet1!$B:$B)</f>
        <v>G1219-00-301</v>
      </c>
      <c r="C8" t="s">
        <v>47</v>
      </c>
      <c r="D8" t="s">
        <v>5</v>
      </c>
      <c r="E8" t="str">
        <f>_xlfn.XLOOKUP(C8,[1]Sheet1!$C:$C,[1]Sheet1!$E:$E)</f>
        <v>#WH10 L44cm WHISKY CONNOISEUR SET W/WALNUT TRAY, ISLAY (LSA)</v>
      </c>
      <c r="F8" t="s">
        <v>49</v>
      </c>
      <c r="G8" t="s">
        <v>50</v>
      </c>
      <c r="H8" t="s">
        <v>14</v>
      </c>
      <c r="I8" t="s">
        <v>7</v>
      </c>
    </row>
    <row r="9" spans="1:9">
      <c r="A9" t="str">
        <f>_xlfn.XLOOKUP(C9,[1]Sheet1!$C:$C,[1]Sheet1!$A:$A)</f>
        <v>5344-G1389-15-359</v>
      </c>
      <c r="B9" t="str">
        <f>_xlfn.XLOOKUP(C9,[1]Sheet1!$C:$C,[1]Sheet1!$B:$B)</f>
        <v>G1389-15-359</v>
      </c>
      <c r="C9" t="s">
        <v>51</v>
      </c>
      <c r="D9" t="s">
        <v>5</v>
      </c>
      <c r="E9" t="str">
        <f>_xlfn.XLOOKUP(C9,[1]Sheet1!$C:$C,[1]Sheet1!$E:$E)</f>
        <v>(DC25) LSA, G1389-15-359, GIN BALLOON GLASS 420ML PLATINUM X2 (ID)</v>
      </c>
      <c r="F9" t="s">
        <v>53</v>
      </c>
      <c r="G9" t="s">
        <v>54</v>
      </c>
      <c r="H9" t="s">
        <v>11</v>
      </c>
      <c r="I9" t="s">
        <v>55</v>
      </c>
    </row>
    <row r="10" spans="1:9">
      <c r="A10" t="str">
        <f>_xlfn.XLOOKUP(C10,[1]Sheet1!$C:$C,[1]Sheet1!$A:$A)</f>
        <v>5344-G1619-09-301</v>
      </c>
      <c r="B10" t="str">
        <f>_xlfn.XLOOKUP(C10,[1]Sheet1!$C:$C,[1]Sheet1!$B:$B)</f>
        <v>G1619-09-301</v>
      </c>
      <c r="C10" t="s">
        <v>57</v>
      </c>
      <c r="D10" t="s">
        <v>5</v>
      </c>
      <c r="E10" t="str">
        <f>_xlfn.XLOOKUP(C10,[1]Sheet1!$C:$C,[1]Sheet1!$E:$E)</f>
        <v>(IDMOQ24PCS) #BG07, 240ml COCKTAIL GLASS SAUCER, CLEAR, BOROUGH (LSA) 4PCS/SET</v>
      </c>
      <c r="F10" t="s">
        <v>59</v>
      </c>
      <c r="G10" t="s">
        <v>60</v>
      </c>
      <c r="H10" t="s">
        <v>6</v>
      </c>
      <c r="I10" t="s">
        <v>7</v>
      </c>
    </row>
    <row r="11" spans="1:9">
      <c r="A11" t="str">
        <f>_xlfn.XLOOKUP(C11,[1]Sheet1!$C:$C,[1]Sheet1!$A:$A)</f>
        <v>5344-G1635-04-301</v>
      </c>
      <c r="B11" t="str">
        <f>_xlfn.XLOOKUP(C11,[1]Sheet1!$C:$C,[1]Sheet1!$B:$B)</f>
        <v>G1635-04-301</v>
      </c>
      <c r="C11" t="s">
        <v>61</v>
      </c>
      <c r="D11" t="s">
        <v>5</v>
      </c>
      <c r="E11" t="str">
        <f>_xlfn.XLOOKUP(C11,[1]Sheet1!$C:$C,[1]Sheet1!$E:$E)</f>
        <v>50ml / 2oz VODKA SHOT GLASS, CLEAR (LSA) 4PCS/SET (SELL BY SET)</v>
      </c>
      <c r="F11" t="s">
        <v>63</v>
      </c>
      <c r="G11" t="s">
        <v>64</v>
      </c>
      <c r="H11" t="s">
        <v>11</v>
      </c>
      <c r="I11" t="s">
        <v>7</v>
      </c>
    </row>
    <row r="12" spans="1:9">
      <c r="A12" t="str">
        <f>_xlfn.XLOOKUP(C12,[1]Sheet1!$C:$C,[1]Sheet1!$A:$A)</f>
        <v>5344-G1646-00-301</v>
      </c>
      <c r="B12" t="str">
        <f>_xlfn.XLOOKUP(C12,[1]Sheet1!$C:$C,[1]Sheet1!$B:$B)</f>
        <v>G1646-00-301</v>
      </c>
      <c r="C12" t="s">
        <v>65</v>
      </c>
      <c r="D12" t="s">
        <v>5</v>
      </c>
      <c r="E12" t="str">
        <f>_xlfn.XLOOKUP(C12,[1]Sheet1!$C:$C,[1]Sheet1!$E:$E)</f>
        <v>(IDMOQ2SETS) #BI16, WHISKY SET, CLEAR, BORIS (LSA) 1SET/CTN</v>
      </c>
      <c r="F12" t="s">
        <v>67</v>
      </c>
      <c r="G12" t="s">
        <v>68</v>
      </c>
      <c r="H12" t="s">
        <v>16</v>
      </c>
      <c r="I12" t="s">
        <v>7</v>
      </c>
    </row>
    <row r="13" spans="1:9">
      <c r="A13" t="str">
        <f>_xlfn.XLOOKUP(C13,[1]Sheet1!$C:$C,[1]Sheet1!$A:$A)</f>
        <v>5344-G1747-14-127</v>
      </c>
      <c r="B13" t="str">
        <f>_xlfn.XLOOKUP(C13,[1]Sheet1!$C:$C,[1]Sheet1!$B:$B)</f>
        <v>G1747-14-127</v>
      </c>
      <c r="C13" t="s">
        <v>69</v>
      </c>
      <c r="D13" t="s">
        <v>5</v>
      </c>
      <c r="E13" t="str">
        <f>_xlfn.XLOOKUP(C13,[1]Sheet1!$C:$C,[1]Sheet1!$E:$E)</f>
        <v>380ml ARC CONTRAST TUMBLER MOSS (SET/2) (SELL BY SET)</v>
      </c>
      <c r="F13" t="s">
        <v>71</v>
      </c>
      <c r="G13" t="s">
        <v>72</v>
      </c>
      <c r="H13" t="s">
        <v>11</v>
      </c>
      <c r="I13" t="s">
        <v>10</v>
      </c>
    </row>
    <row r="14" spans="1:9">
      <c r="A14" t="str">
        <f>_xlfn.XLOOKUP(C14,[1]Sheet1!$C:$C,[1]Sheet1!$A:$A)</f>
        <v>5344-G271-14-991</v>
      </c>
      <c r="B14" t="str">
        <f>_xlfn.XLOOKUP(C14,[1]Sheet1!$C:$C,[1]Sheet1!$B:$B)</f>
        <v>BR12</v>
      </c>
      <c r="C14" t="s">
        <v>73</v>
      </c>
      <c r="D14" t="s">
        <v>5</v>
      </c>
      <c r="E14" t="str">
        <f>_xlfn.XLOOKUP(C14,[1]Sheet1!$C:$C,[1]Sheet1!$E:$E)</f>
        <v>(*PRICE/PC,SELL BY SET OF 4) #BR12 400ml 'BAR' CLEAR LAGER GLASS (LSA) 4PCS/SET (SELL BY SET)</v>
      </c>
      <c r="F14" t="s">
        <v>75</v>
      </c>
      <c r="G14" t="s">
        <v>76</v>
      </c>
      <c r="H14" t="s">
        <v>14</v>
      </c>
      <c r="I14" t="s">
        <v>7</v>
      </c>
    </row>
    <row r="15" spans="1:9">
      <c r="A15" t="str">
        <f>_xlfn.XLOOKUP(C15,[1]Sheet1!$C:$C,[1]Sheet1!$A:$A)</f>
        <v>5344-G916-24-301</v>
      </c>
      <c r="B15" t="str">
        <f>_xlfn.XLOOKUP(C15,[1]Sheet1!$C:$C,[1]Sheet1!$B:$B)</f>
        <v>G916-24-301</v>
      </c>
      <c r="C15" t="s">
        <v>77</v>
      </c>
      <c r="D15" t="s">
        <v>5</v>
      </c>
      <c r="E15" t="str">
        <f>_xlfn.XLOOKUP(C15,[1]Sheet1!$C:$C,[1]Sheet1!$E:$E)</f>
        <v>#SZ12 DIA24xH16cm GLASS PLATE DIA24cm &amp; DOME DIA22cm, CLEAR/SERVE (LSA)</v>
      </c>
      <c r="F15" t="s">
        <v>79</v>
      </c>
      <c r="G15" t="s">
        <v>80</v>
      </c>
      <c r="H15" t="s">
        <v>17</v>
      </c>
      <c r="I15" t="s">
        <v>7</v>
      </c>
    </row>
    <row r="16" spans="1:9">
      <c r="A16" t="str">
        <f>_xlfn.XLOOKUP(C16,[1]Sheet1!$C:$C,[1]Sheet1!$A:$A)</f>
        <v>5344-G977-15-294</v>
      </c>
      <c r="B16" t="str">
        <f>_xlfn.XLOOKUP(C16,[1]Sheet1!$C:$C,[1]Sheet1!$B:$B)</f>
        <v>G977-15-294</v>
      </c>
      <c r="C16" t="s">
        <v>81</v>
      </c>
      <c r="D16" t="s">
        <v>5</v>
      </c>
      <c r="E16" t="str">
        <f>_xlfn.XLOOKUP(C16,[1]Sheet1!$C:$C,[1]Sheet1!$E:$E)</f>
        <v>(WSL19)(PX/PC, SELL BY SET OF 4) 420ml POLKA TUMBLER, PASTEL ASSTD (LSA) 4PCS/SET (SELL BY SET)</v>
      </c>
      <c r="F16" t="s">
        <v>83</v>
      </c>
      <c r="G16" t="s">
        <v>84</v>
      </c>
      <c r="H16" t="s">
        <v>17</v>
      </c>
      <c r="I16" t="s">
        <v>34</v>
      </c>
    </row>
    <row r="17" spans="1:9">
      <c r="A17" t="str">
        <f>_xlfn.XLOOKUP(C17,[1]Sheet1!$C:$C,[1]Sheet1!$A:$A)</f>
        <v>5344-G989-03-301</v>
      </c>
      <c r="B17" t="str">
        <f>_xlfn.XLOOKUP(C17,[1]Sheet1!$C:$C,[1]Sheet1!$B:$B)</f>
        <v>G989-03-301</v>
      </c>
      <c r="C17" t="s">
        <v>85</v>
      </c>
      <c r="D17" t="s">
        <v>5</v>
      </c>
      <c r="E17" t="str">
        <f>_xlfn.XLOOKUP(C17,[1]Sheet1!$C:$C,[1]Sheet1!$E:$E)</f>
        <v>#LW08 DIA:32cm CHEESE/PASTRIES DOME &amp; ASH BASE, LOTTA (LSA)</v>
      </c>
      <c r="F17" t="s">
        <v>87</v>
      </c>
      <c r="G17" t="s">
        <v>88</v>
      </c>
      <c r="H17" t="s">
        <v>16</v>
      </c>
      <c r="I17" t="s">
        <v>7</v>
      </c>
    </row>
    <row r="18" spans="1:9">
      <c r="A18" t="str">
        <f>_xlfn.XLOOKUP(C18,[1]Sheet1!$C:$C,[1]Sheet1!$A:$A)</f>
        <v>5344-G1217-36-301</v>
      </c>
      <c r="B18" t="str">
        <f>_xlfn.XLOOKUP(C18,[1]Sheet1!$C:$C,[1]Sheet1!$B:$B)</f>
        <v>G1217-36-301</v>
      </c>
      <c r="C18" t="s">
        <v>89</v>
      </c>
      <c r="D18" t="s">
        <v>5</v>
      </c>
      <c r="E18" t="str">
        <f>_xlfn.XLOOKUP(C18,[1]Sheet1!$C:$C,[1]Sheet1!$E:$E)</f>
        <v>(WSL19) #WH03 1.0ltr WHISKY DECANTER W/WALNUT BASE, ISLAY (LSA) 2PCS/CTN</v>
      </c>
      <c r="F18" t="s">
        <v>91</v>
      </c>
      <c r="G18" t="s">
        <v>92</v>
      </c>
      <c r="H18" t="s">
        <v>16</v>
      </c>
      <c r="I18" t="s">
        <v>7</v>
      </c>
    </row>
    <row r="19" spans="1:9">
      <c r="A19" t="str">
        <f>_xlfn.XLOOKUP(C19,[1]Sheet1!$C:$C,[1]Sheet1!$A:$A)</f>
        <v>5344-G1612-43-301</v>
      </c>
      <c r="B19" t="str">
        <f>_xlfn.XLOOKUP(C19,[1]Sheet1!$C:$C,[1]Sheet1!$B:$B)</f>
        <v>G1612-43-301</v>
      </c>
      <c r="C19" t="s">
        <v>93</v>
      </c>
      <c r="D19" t="s">
        <v>5</v>
      </c>
      <c r="E19" t="str">
        <f>_xlfn.XLOOKUP(C19,[1]Sheet1!$C:$C,[1]Sheet1!$E:$E)</f>
        <v>(IDMOQ2) #VO04 W14xH30.5cm, 1.2ltr JUG, VOID (LSA) 1PC/CTN</v>
      </c>
      <c r="F19" t="s">
        <v>95</v>
      </c>
      <c r="G19" t="s">
        <v>96</v>
      </c>
      <c r="H19" t="s">
        <v>6</v>
      </c>
      <c r="I19" t="s">
        <v>7</v>
      </c>
    </row>
    <row r="20" spans="1:9">
      <c r="A20" t="str">
        <f>_xlfn.XLOOKUP(C20,[1]Sheet1!$C:$C,[1]Sheet1!$A:$A)</f>
        <v>5344-G1690-36-301</v>
      </c>
      <c r="B20" t="str">
        <f>_xlfn.XLOOKUP(C20,[1]Sheet1!$C:$C,[1]Sheet1!$B:$B)</f>
        <v>G1690-36-301</v>
      </c>
      <c r="C20" t="s">
        <v>97</v>
      </c>
      <c r="D20" t="s">
        <v>5</v>
      </c>
      <c r="E20" t="str">
        <f>_xlfn.XLOOKUP(C20,[1]Sheet1!$C:$C,[1]Sheet1!$E:$E)</f>
        <v>LSA, G1690-36-301, CASK WHISKY RECTANGLE DECANTER 1L CLEAR (ID)</v>
      </c>
      <c r="F20" t="s">
        <v>99</v>
      </c>
      <c r="G20" t="s">
        <v>100</v>
      </c>
      <c r="H20" t="s">
        <v>6</v>
      </c>
      <c r="I20" t="s">
        <v>7</v>
      </c>
    </row>
    <row r="21" spans="1:9">
      <c r="A21" t="str">
        <f>_xlfn.XLOOKUP(C21,[1]Sheet1!$C:$C,[1]Sheet1!$A:$A)</f>
        <v>5344-G1691-36-301</v>
      </c>
      <c r="B21" t="str">
        <f>_xlfn.XLOOKUP(C21,[1]Sheet1!$C:$C,[1]Sheet1!$B:$B)</f>
        <v>G1691-36-301</v>
      </c>
      <c r="C21" t="s">
        <v>101</v>
      </c>
      <c r="D21" t="s">
        <v>5</v>
      </c>
      <c r="E21" t="str">
        <f>_xlfn.XLOOKUP(C21,[1]Sheet1!$C:$C,[1]Sheet1!$E:$E)</f>
        <v>LSA, G1691-36-301, CASK WHISKY SQUARE DECANTER 1L CLEAR (ID)</v>
      </c>
      <c r="F21" t="s">
        <v>103</v>
      </c>
      <c r="G21" t="s">
        <v>104</v>
      </c>
      <c r="H21" t="s">
        <v>6</v>
      </c>
      <c r="I21" t="s">
        <v>7</v>
      </c>
    </row>
    <row r="22" spans="1:9">
      <c r="A22" t="str">
        <f>_xlfn.XLOOKUP(C22,[1]Sheet1!$C:$C,[1]Sheet1!$A:$A)</f>
        <v>5344-G263-95-991</v>
      </c>
      <c r="B22" t="str">
        <f>_xlfn.XLOOKUP(C22,[1]Sheet1!$C:$C,[1]Sheet1!$B:$B)</f>
        <v>G263-95-991</v>
      </c>
      <c r="C22" t="s">
        <v>105</v>
      </c>
      <c r="D22" t="s">
        <v>5</v>
      </c>
      <c r="E22" t="str">
        <f>_xlfn.XLOOKUP(C22,[1]Sheet1!$C:$C,[1]Sheet1!$E:$E)</f>
        <v>#BR14 2.65ltr GLASS ICE LIP JUG, CLEAR/BAR (LSA) 2PCS/CTN</v>
      </c>
      <c r="F22" t="s">
        <v>107</v>
      </c>
      <c r="G22" t="s">
        <v>108</v>
      </c>
      <c r="H22" t="s">
        <v>6</v>
      </c>
      <c r="I22" t="s">
        <v>7</v>
      </c>
    </row>
    <row r="23" spans="1:9">
      <c r="A23" t="str">
        <f>_xlfn.XLOOKUP(C23,[1]Sheet1!$C:$C,[1]Sheet1!$A:$A)</f>
        <v>5344-G1171-24-988</v>
      </c>
      <c r="B23">
        <f>_xlfn.XLOOKUP(C23,[1]Sheet1!$C:$C,[1]Sheet1!$B:$B)</f>
        <v>0</v>
      </c>
      <c r="C23" t="s">
        <v>109</v>
      </c>
      <c r="D23" t="s">
        <v>5</v>
      </c>
      <c r="E23" t="str">
        <f>_xlfn.XLOOKUP(C23,[1]Sheet1!$C:$C,[1]Sheet1!$E:$E)</f>
        <v>(DCWSL19) #MZ25 24/16.5cm SERVING BOWL &amp; OAK BASE, RECYCLED PART OPTIC, MIA (LSA)</v>
      </c>
      <c r="F23" t="s">
        <v>111</v>
      </c>
      <c r="G23" t="s">
        <v>112</v>
      </c>
      <c r="H23" t="s">
        <v>14</v>
      </c>
      <c r="I23" t="s">
        <v>7</v>
      </c>
    </row>
    <row r="24" spans="1:9">
      <c r="A24" t="str">
        <f>_xlfn.XLOOKUP(C24,[1]Sheet1!$C:$C,[1]Sheet1!$A:$A)</f>
        <v>5344-G1182-09-358</v>
      </c>
      <c r="B24" t="str">
        <f>_xlfn.XLOOKUP(C24,[1]Sheet1!$C:$C,[1]Sheet1!$B:$B)</f>
        <v>G1182-09-358</v>
      </c>
      <c r="C24" t="s">
        <v>113</v>
      </c>
      <c r="D24" t="s">
        <v>5</v>
      </c>
      <c r="E24" t="str">
        <f>_xlfn.XLOOKUP(C24,[1]Sheet1!$C:$C,[1]Sheet1!$E:$E)</f>
        <v>(IDMOQ4PCS) #HS18, DIA9.5cm GOLD BOWL, HOST (LSA) 1PC/CTN</v>
      </c>
      <c r="F24" t="s">
        <v>115</v>
      </c>
      <c r="G24" t="s">
        <v>116</v>
      </c>
      <c r="H24" t="s">
        <v>17</v>
      </c>
      <c r="I24" t="s">
        <v>56</v>
      </c>
    </row>
    <row r="25" spans="1:9">
      <c r="A25" t="str">
        <f>_xlfn.XLOOKUP(C25,[1]Sheet1!$C:$C,[1]Sheet1!$A:$A)</f>
        <v>5344-G1182-15-359</v>
      </c>
      <c r="B25" t="str">
        <f>_xlfn.XLOOKUP(C25,[1]Sheet1!$C:$C,[1]Sheet1!$B:$B)</f>
        <v>G1182-15-359</v>
      </c>
      <c r="C25" t="s">
        <v>117</v>
      </c>
      <c r="D25" t="s">
        <v>5</v>
      </c>
      <c r="E25" t="str">
        <f>_xlfn.XLOOKUP(C25,[1]Sheet1!$C:$C,[1]Sheet1!$E:$E)</f>
        <v>(IDMOQ3PCS) #HS21, DIA15cm PLATINUM BOWL, HOST (LSA) 1PC/CTN</v>
      </c>
      <c r="F25" t="s">
        <v>119</v>
      </c>
      <c r="G25" t="s">
        <v>120</v>
      </c>
      <c r="H25" t="s">
        <v>22</v>
      </c>
      <c r="I25" t="s">
        <v>55</v>
      </c>
    </row>
    <row r="26" spans="1:9">
      <c r="A26" t="str">
        <f>_xlfn.XLOOKUP(C26,[1]Sheet1!$C:$C,[1]Sheet1!$A:$A)</f>
        <v>5344-G503-28-301</v>
      </c>
      <c r="B26" t="str">
        <f>_xlfn.XLOOKUP(C26,[1]Sheet1!$C:$C,[1]Sheet1!$B:$B)</f>
        <v>G503-28-301</v>
      </c>
      <c r="C26" t="s">
        <v>121</v>
      </c>
      <c r="D26" t="s">
        <v>5</v>
      </c>
      <c r="E26" t="str">
        <f>_xlfn.XLOOKUP(C26,[1]Sheet1!$C:$C,[1]Sheet1!$E:$E)</f>
        <v>#SZ10 27.5cm GLASS LOW BOWL, CLEAR/SERVE (LSA)(3PCS/CTN)</v>
      </c>
      <c r="F26" t="s">
        <v>123</v>
      </c>
      <c r="G26" t="s">
        <v>124</v>
      </c>
      <c r="H26" t="s">
        <v>17</v>
      </c>
      <c r="I26" t="s">
        <v>7</v>
      </c>
    </row>
    <row r="27" spans="1:9">
      <c r="A27" t="str">
        <f>_xlfn.XLOOKUP(C27,[1]Sheet1!$C:$C,[1]Sheet1!$A:$A)</f>
        <v>5344-G990-02-301</v>
      </c>
      <c r="B27" t="str">
        <f>_xlfn.XLOOKUP(C27,[1]Sheet1!$C:$C,[1]Sheet1!$B:$B)</f>
        <v>G990-02-301</v>
      </c>
      <c r="C27" t="s">
        <v>125</v>
      </c>
      <c r="D27" t="s">
        <v>5</v>
      </c>
      <c r="E27" t="str">
        <f>_xlfn.XLOOKUP(C27,[1]Sheet1!$C:$C,[1]Sheet1!$E:$E)</f>
        <v>LSA G990-02-301 #LW10  BOWL &amp; ASH BASE LOTTA DIA:31cm (LSA)</v>
      </c>
      <c r="F27" t="s">
        <v>127</v>
      </c>
      <c r="G27" t="s">
        <v>128</v>
      </c>
      <c r="H27" t="s">
        <v>16</v>
      </c>
      <c r="I27" t="s">
        <v>7</v>
      </c>
    </row>
    <row r="28" spans="1:9">
      <c r="A28" t="str">
        <f>_xlfn.XLOOKUP(C28,[1]Sheet1!$C:$C,[1]Sheet1!$A:$A)</f>
        <v>5344-P218-26-997</v>
      </c>
      <c r="B28" t="str">
        <f>_xlfn.XLOOKUP(C28,[1]Sheet1!$C:$C,[1]Sheet1!$B:$B)</f>
        <v>P218-26-997</v>
      </c>
      <c r="C28" t="s">
        <v>129</v>
      </c>
      <c r="D28" t="s">
        <v>5</v>
      </c>
      <c r="E28" t="str">
        <f>_xlfn.XLOOKUP(C28,[1]Sheet1!$C:$C,[1]Sheet1!$E:$E)</f>
        <v>(ID-MOQ)LSA P218-26-997 #DI45 DINE BOWL &amp; OAK SERVERS DIAØ24cm, 2'S/CTN (IDPOA)</v>
      </c>
      <c r="F28" t="s">
        <v>131</v>
      </c>
      <c r="G28" t="s">
        <v>132</v>
      </c>
      <c r="H28" t="s">
        <v>16</v>
      </c>
      <c r="I28" t="s">
        <v>12</v>
      </c>
    </row>
    <row r="29" spans="1:9">
      <c r="A29" t="str">
        <f>_xlfn.XLOOKUP(C29,[1]Sheet1!$C:$C,[1]Sheet1!$A:$A)</f>
        <v>5344-W114-01-250</v>
      </c>
      <c r="B29" t="str">
        <f>_xlfn.XLOOKUP(C29,[1]Sheet1!$C:$C,[1]Sheet1!$B:$B)</f>
        <v>W114-01-250</v>
      </c>
      <c r="C29" t="s">
        <v>133</v>
      </c>
      <c r="D29" t="s">
        <v>5</v>
      </c>
      <c r="E29" t="str">
        <f>_xlfn.XLOOKUP(C29,[1]Sheet1!$C:$C,[1]Sheet1!$E:$E)</f>
        <v>(WSL19)(ID-MOQ:4) #UT41 DIA25cm BOARD ASH &amp; LEATHER HDL (LSA)</v>
      </c>
      <c r="F29" t="s">
        <v>135</v>
      </c>
      <c r="G29" t="s">
        <v>136</v>
      </c>
      <c r="H29" t="s">
        <v>6</v>
      </c>
      <c r="I29" t="s">
        <v>9</v>
      </c>
    </row>
    <row r="30" spans="1:9">
      <c r="A30" t="str">
        <f>_xlfn.XLOOKUP(C30,[1]Sheet1!$C:$C,[1]Sheet1!$A:$A)</f>
        <v>5344-W195-01-000</v>
      </c>
      <c r="B30" t="str">
        <f>_xlfn.XLOOKUP(C30,[1]Sheet1!$C:$C,[1]Sheet1!$B:$B)</f>
        <v>W195-01-000</v>
      </c>
      <c r="C30" t="s">
        <v>137</v>
      </c>
      <c r="D30" t="s">
        <v>5</v>
      </c>
      <c r="E30" t="str">
        <f>_xlfn.XLOOKUP(C30,[1]Sheet1!$C:$C,[1]Sheet1!$E:$E)</f>
        <v>(IDMOQ4SETS) #BG18, L17/L22.5/L30cm TRIO BOARD SET W/ASH LEATHER (LSA) 1SET/CTN</v>
      </c>
      <c r="F30" t="s">
        <v>139</v>
      </c>
      <c r="G30" t="s">
        <v>140</v>
      </c>
      <c r="H30" t="s">
        <v>6</v>
      </c>
      <c r="I30" t="s">
        <v>9</v>
      </c>
    </row>
    <row r="31" spans="1:9">
      <c r="A31" t="str">
        <f>_xlfn.XLOOKUP(C31,[1]Sheet1!$C:$C,[1]Sheet1!$A:$A)</f>
        <v>5344-G1618-22-301</v>
      </c>
      <c r="B31" t="str">
        <f>_xlfn.XLOOKUP(C31,[1]Sheet1!$C:$C,[1]Sheet1!$B:$B)</f>
        <v>G1618-22-301</v>
      </c>
      <c r="C31" t="s">
        <v>143</v>
      </c>
      <c r="D31" t="s">
        <v>5</v>
      </c>
      <c r="E31" t="str">
        <f>_xlfn.XLOOKUP(C31,[1]Sheet1!$C:$C,[1]Sheet1!$E:$E)</f>
        <v>(IDMOQ24PCS) #BG05, 625ml CRAFT BEER GLASS, CLEAR, BOROUGH (LSA) 4PCS/SET</v>
      </c>
      <c r="F31" t="s">
        <v>142</v>
      </c>
      <c r="G31" t="s">
        <v>144</v>
      </c>
      <c r="H31" t="s">
        <v>11</v>
      </c>
      <c r="I31" t="s">
        <v>56</v>
      </c>
    </row>
    <row r="32" spans="1:9">
      <c r="A32" t="str">
        <f>_xlfn.XLOOKUP(C32,[1]Sheet1!$C:$C,[1]Sheet1!$A:$A)</f>
        <v>5344-G1655-07-610</v>
      </c>
      <c r="B32" t="str">
        <f>_xlfn.XLOOKUP(C32,[1]Sheet1!$C:$C,[1]Sheet1!$B:$B)</f>
        <v>G1655-07-610</v>
      </c>
      <c r="C32" t="s">
        <v>145</v>
      </c>
      <c r="D32" t="s">
        <v>5</v>
      </c>
      <c r="E32" t="str">
        <f>_xlfn.XLOOKUP(C32,[1]Sheet1!$C:$C,[1]Sheet1!$E:$E)</f>
        <v>(ID) LSA #RT07, H7CM ROTUNDA TEALIGHT HOLDER/VASE, SAPPHIRE (4PCS/CTN)</v>
      </c>
      <c r="F32" t="s">
        <v>147</v>
      </c>
      <c r="G32" t="s">
        <v>148</v>
      </c>
      <c r="H32" t="s">
        <v>8</v>
      </c>
      <c r="I32" t="s">
        <v>15</v>
      </c>
    </row>
    <row r="33" spans="1:9">
      <c r="A33" t="str">
        <f>_xlfn.XLOOKUP(C33,[1]Sheet1!$C:$C,[1]Sheet1!$A:$A)</f>
        <v>5344-G1662-08-141</v>
      </c>
      <c r="B33" t="str">
        <f>_xlfn.XLOOKUP(C33,[1]Sheet1!$C:$C,[1]Sheet1!$B:$B)</f>
        <v>G1662-08-141</v>
      </c>
      <c r="C33" t="s">
        <v>149</v>
      </c>
      <c r="D33" t="s">
        <v>5</v>
      </c>
      <c r="E33" t="str">
        <f>_xlfn.XLOOKUP(C33,[1]Sheet1!$C:$C,[1]Sheet1!$E:$E)</f>
        <v>LSA, G1662-08-141, EPOQUE TEALIGHT HOLDER H8.5CM AMBER/LUSTRE (ID)</v>
      </c>
      <c r="F33" t="s">
        <v>151</v>
      </c>
      <c r="G33" t="s">
        <v>152</v>
      </c>
      <c r="H33" t="s">
        <v>11</v>
      </c>
      <c r="I33" t="s">
        <v>13</v>
      </c>
    </row>
    <row r="34" spans="1:9">
      <c r="A34" t="str">
        <f>_xlfn.XLOOKUP(C34,[1]Sheet1!$C:$C,[1]Sheet1!$A:$A)</f>
        <v>5344-G1706-08-895</v>
      </c>
      <c r="B34" t="str">
        <f>_xlfn.XLOOKUP(C34,[1]Sheet1!$C:$C,[1]Sheet1!$B:$B)</f>
        <v>G1706-08-895</v>
      </c>
      <c r="C34" t="s">
        <v>153</v>
      </c>
      <c r="D34" t="s">
        <v>5</v>
      </c>
      <c r="E34" t="str">
        <f>_xlfn.XLOOKUP(C34,[1]Sheet1!$C:$C,[1]Sheet1!$E:$E)</f>
        <v>(ID) LSA #LG11 LAGOON H 8cm TEALIGHT HOLDER/VASE SEA GREEN (4PCS/CTN)</v>
      </c>
      <c r="F34" t="s">
        <v>155</v>
      </c>
      <c r="G34" t="s">
        <v>156</v>
      </c>
      <c r="H34" t="s">
        <v>8</v>
      </c>
      <c r="I34" t="s">
        <v>10</v>
      </c>
    </row>
    <row r="35" spans="1:9">
      <c r="A35" t="str">
        <f>_xlfn.XLOOKUP(C35,[1]Sheet1!$C:$C,[1]Sheet1!$A:$A)</f>
        <v>5344-G368-08-552</v>
      </c>
      <c r="B35" t="str">
        <f>_xlfn.XLOOKUP(C35,[1]Sheet1!$C:$C,[1]Sheet1!$B:$B)</f>
        <v>LI20</v>
      </c>
      <c r="C35" t="s">
        <v>157</v>
      </c>
      <c r="D35" t="s">
        <v>5</v>
      </c>
      <c r="E35" t="str">
        <f>_xlfn.XLOOKUP(C35,[1]Sheet1!$C:$C,[1]Sheet1!$E:$E)</f>
        <v>#LI20 H8.5cm TEALIGHT HOLDER, MOCHA LIGHT (LSA)</v>
      </c>
      <c r="F35" t="s">
        <v>159</v>
      </c>
      <c r="G35" t="s">
        <v>160</v>
      </c>
      <c r="H35" t="s">
        <v>14</v>
      </c>
      <c r="I35" t="s">
        <v>161</v>
      </c>
    </row>
    <row r="36" spans="1:9">
      <c r="A36" t="str">
        <f>_xlfn.XLOOKUP(C36,[1]Sheet1!$C:$C,[1]Sheet1!$A:$A)</f>
        <v>5344-G991-23-301</v>
      </c>
      <c r="B36" t="str">
        <f>_xlfn.XLOOKUP(C36,[1]Sheet1!$C:$C,[1]Sheet1!$B:$B)</f>
        <v>G991-23-301</v>
      </c>
      <c r="C36" t="s">
        <v>162</v>
      </c>
      <c r="D36" t="s">
        <v>5</v>
      </c>
      <c r="E36" t="str">
        <f>_xlfn.XLOOKUP(C36,[1]Sheet1!$C:$C,[1]Sheet1!$E:$E)</f>
        <v>(WSL19) H22.5cm LANTERN &amp; ASH BASE, LOTTA (LSA)</v>
      </c>
      <c r="F36" t="s">
        <v>164</v>
      </c>
      <c r="G36" t="s">
        <v>165</v>
      </c>
      <c r="H36" t="s">
        <v>17</v>
      </c>
      <c r="I36" t="s">
        <v>7</v>
      </c>
    </row>
    <row r="37" spans="1:9">
      <c r="A37" t="str">
        <f>_xlfn.XLOOKUP(C37,[1]Sheet1!$C:$C,[1]Sheet1!$A:$A)</f>
        <v>5344-G1072-09-301</v>
      </c>
      <c r="B37" t="str">
        <f>_xlfn.XLOOKUP(C37,[1]Sheet1!$C:$C,[1]Sheet1!$B:$B)</f>
        <v>G1072-09-301</v>
      </c>
      <c r="C37" t="s">
        <v>166</v>
      </c>
      <c r="D37" t="s">
        <v>5</v>
      </c>
      <c r="E37" t="str">
        <f>_xlfn.XLOOKUP(C37,[1]Sheet1!$C:$C,[1]Sheet1!$E:$E)</f>
        <v>(IDMOQ12PCS) #FW27, H9.5cm CLEAR MINI TABLE VASE, FLOWER (LSA) 1PC/CTN</v>
      </c>
      <c r="F37" t="s">
        <v>168</v>
      </c>
      <c r="G37" t="s">
        <v>169</v>
      </c>
      <c r="H37" t="s">
        <v>8</v>
      </c>
      <c r="I37" t="s">
        <v>7</v>
      </c>
    </row>
    <row r="38" spans="1:9">
      <c r="A38" t="str">
        <f>_xlfn.XLOOKUP(C38,[1]Sheet1!$C:$C,[1]Sheet1!$A:$A)</f>
        <v>5344-G1608-31-153</v>
      </c>
      <c r="B38" t="str">
        <f>_xlfn.XLOOKUP(C38,[1]Sheet1!$C:$C,[1]Sheet1!$B:$B)</f>
        <v>G1608-31-153</v>
      </c>
      <c r="C38" t="s">
        <v>170</v>
      </c>
      <c r="D38" t="s">
        <v>5</v>
      </c>
      <c r="E38" t="str">
        <f>_xlfn.XLOOKUP(C38,[1]Sheet1!$C:$C,[1]Sheet1!$E:$E)</f>
        <v>LSA, G1608-31-153, BOULDER VASE H31CM CHALK THREAD (ID)</v>
      </c>
      <c r="F38" t="s">
        <v>172</v>
      </c>
      <c r="G38" t="s">
        <v>173</v>
      </c>
      <c r="H38" t="s">
        <v>16</v>
      </c>
      <c r="I38" t="s">
        <v>12</v>
      </c>
    </row>
    <row r="39" spans="1:9">
      <c r="A39" t="str">
        <f>_xlfn.XLOOKUP(C39,[1]Sheet1!$C:$C,[1]Sheet1!$A:$A)</f>
        <v>5344-G1655-14-301</v>
      </c>
      <c r="B39" t="str">
        <f>_xlfn.XLOOKUP(C39,[1]Sheet1!$C:$C,[1]Sheet1!$B:$B)</f>
        <v>G1655-14-301</v>
      </c>
      <c r="C39" t="s">
        <v>176</v>
      </c>
      <c r="D39" t="s">
        <v>5</v>
      </c>
      <c r="E39" t="str">
        <f>_xlfn.XLOOKUP(C39,[1]Sheet1!$C:$C,[1]Sheet1!$E:$E)</f>
        <v>(ID) LSA #RT04 ROTUNDA H14cm WIDE VASE CLEAR (3PCS/CTN)</v>
      </c>
      <c r="F39" t="s">
        <v>178</v>
      </c>
      <c r="G39" t="s">
        <v>179</v>
      </c>
      <c r="H39" t="s">
        <v>22</v>
      </c>
      <c r="I39" t="s">
        <v>7</v>
      </c>
    </row>
    <row r="40" spans="1:9">
      <c r="A40" t="str">
        <f>_xlfn.XLOOKUP(C40,[1]Sheet1!$C:$C,[1]Sheet1!$A:$A)</f>
        <v>5344-G1655-15-610</v>
      </c>
      <c r="B40" t="str">
        <f>_xlfn.XLOOKUP(C40,[1]Sheet1!$C:$C,[1]Sheet1!$B:$B)</f>
        <v>G1655-15-610</v>
      </c>
      <c r="C40" t="s">
        <v>180</v>
      </c>
      <c r="D40" t="s">
        <v>5</v>
      </c>
      <c r="E40" t="str">
        <f>_xlfn.XLOOKUP(C40,[1]Sheet1!$C:$C,[1]Sheet1!$E:$E)</f>
        <v>(ID) LSA #RT08, H15CM ROTUNDA VASE, SAPPHIRE (4PCS/CTN)</v>
      </c>
      <c r="F40" t="s">
        <v>182</v>
      </c>
      <c r="G40" t="s">
        <v>183</v>
      </c>
      <c r="H40" t="s">
        <v>11</v>
      </c>
      <c r="I40" t="s">
        <v>15</v>
      </c>
    </row>
    <row r="41" spans="1:9">
      <c r="A41" t="str">
        <f>_xlfn.XLOOKUP(C41,[1]Sheet1!$C:$C,[1]Sheet1!$A:$A)</f>
        <v>5344-G1663-13-140</v>
      </c>
      <c r="B41" t="str">
        <f>_xlfn.XLOOKUP(C41,[1]Sheet1!$C:$C,[1]Sheet1!$B:$B)</f>
        <v>G1663-13-140</v>
      </c>
      <c r="C41" t="s">
        <v>184</v>
      </c>
      <c r="D41" t="s">
        <v>5</v>
      </c>
      <c r="E41" t="str">
        <f>_xlfn.XLOOKUP(C41,[1]Sheet1!$C:$C,[1]Sheet1!$E:$E)</f>
        <v>LSA #EQ13, H13.5cm VASE, SAPPHIRE/LUSTRE, EPOQUE 3PC/CTN</v>
      </c>
      <c r="F41" t="s">
        <v>175</v>
      </c>
      <c r="G41" t="s">
        <v>185</v>
      </c>
      <c r="H41" t="s">
        <v>6</v>
      </c>
      <c r="I41" t="s">
        <v>15</v>
      </c>
    </row>
    <row r="42" spans="1:9">
      <c r="A42" t="str">
        <f>_xlfn.XLOOKUP(C42,[1]Sheet1!$C:$C,[1]Sheet1!$A:$A)</f>
        <v>5344-G429-32-301</v>
      </c>
      <c r="B42" t="str">
        <f>_xlfn.XLOOKUP(C42,[1]Sheet1!$C:$C,[1]Sheet1!$B:$B)</f>
        <v>G429-32-301</v>
      </c>
      <c r="C42" t="s">
        <v>186</v>
      </c>
      <c r="D42" t="s">
        <v>5</v>
      </c>
      <c r="E42" t="str">
        <f>_xlfn.XLOOKUP(C42,[1]Sheet1!$C:$C,[1]Sheet1!$E:$E)</f>
        <v>#FW15 H32cm GRAND POSY VASE, CLEAR/FLOWER (LSA) 2PCS/CTN</v>
      </c>
      <c r="F42" t="s">
        <v>188</v>
      </c>
      <c r="G42" t="s">
        <v>189</v>
      </c>
      <c r="H42" t="s">
        <v>22</v>
      </c>
      <c r="I42" t="s">
        <v>7</v>
      </c>
    </row>
    <row r="43" spans="1:9">
      <c r="A43" t="str">
        <f>_xlfn.XLOOKUP(C43,[1]Sheet1!$C:$C,[1]Sheet1!$A:$A)</f>
        <v>5344-G594-11-301</v>
      </c>
      <c r="B43" t="str">
        <f>_xlfn.XLOOKUP(C43,[1]Sheet1!$C:$C,[1]Sheet1!$B:$B)</f>
        <v>G594-11-301</v>
      </c>
      <c r="C43" t="s">
        <v>190</v>
      </c>
      <c r="D43" t="s">
        <v>5</v>
      </c>
      <c r="E43" t="str">
        <f>_xlfn.XLOOKUP(C43,[1]Sheet1!$C:$C,[1]Sheet1!$E:$E)</f>
        <v>LSA, G594-11-301, FLOWER TABLE ARRANGEMENT VASE H11.5CM CLEAR (ID)</v>
      </c>
      <c r="F43" t="s">
        <v>192</v>
      </c>
      <c r="G43" t="s">
        <v>193</v>
      </c>
      <c r="H43" t="s">
        <v>6</v>
      </c>
      <c r="I43" t="s">
        <v>7</v>
      </c>
    </row>
    <row r="44" spans="1:9">
      <c r="A44" t="str">
        <f>_xlfn.XLOOKUP(C44,[1]Sheet1!$C:$C,[1]Sheet1!$A:$A)</f>
        <v>5344-G597-17-301</v>
      </c>
      <c r="B44" t="str">
        <f>_xlfn.XLOOKUP(C44,[1]Sheet1!$C:$C,[1]Sheet1!$B:$B)</f>
        <v>G597-17-301</v>
      </c>
      <c r="C44" t="s">
        <v>194</v>
      </c>
      <c r="D44" t="s">
        <v>5</v>
      </c>
      <c r="E44" t="str">
        <f>_xlfn.XLOOKUP(C44,[1]Sheet1!$C:$C,[1]Sheet1!$E:$E)</f>
        <v>(IDMOQ SET OF 4) #FW03 DIA17xH17cm GLASS TABLE BOUQUET VASE, FLOWER (LSA) 4PCS/CTN</v>
      </c>
      <c r="F44" t="s">
        <v>196</v>
      </c>
      <c r="G44" t="s">
        <v>197</v>
      </c>
      <c r="H44" t="s">
        <v>6</v>
      </c>
      <c r="I44" t="s">
        <v>7</v>
      </c>
    </row>
    <row r="45" spans="1:9">
      <c r="A45" t="str">
        <f>_xlfn.XLOOKUP(C45,[1]Sheet1!$C:$C,[1]Sheet1!$A:$A)</f>
        <v>5344-G612-17-301</v>
      </c>
      <c r="B45" t="str">
        <f>_xlfn.XLOOKUP(C45,[1]Sheet1!$C:$C,[1]Sheet1!$B:$B)</f>
        <v>G612-17-301</v>
      </c>
      <c r="C45" t="s">
        <v>198</v>
      </c>
      <c r="D45" t="s">
        <v>5</v>
      </c>
      <c r="E45" t="str">
        <f>_xlfn.XLOOKUP(C45,[1]Sheet1!$C:$C,[1]Sheet1!$E:$E)</f>
        <v>#FW04 17cm GLASS SINGLE STEM VASE, CLEAR/FLOWER (LSA)</v>
      </c>
      <c r="F45" t="s">
        <v>200</v>
      </c>
      <c r="G45" t="s">
        <v>201</v>
      </c>
      <c r="H45" t="s">
        <v>8</v>
      </c>
      <c r="I45" t="s">
        <v>7</v>
      </c>
    </row>
    <row r="46" spans="1:9">
      <c r="A46" t="str">
        <f>_xlfn.XLOOKUP(C46,[1]Sheet1!$C:$C,[1]Sheet1!$A:$A)</f>
        <v>5344-G686-41-301</v>
      </c>
      <c r="B46" t="str">
        <f>_xlfn.XLOOKUP(C46,[1]Sheet1!$C:$C,[1]Sheet1!$B:$B)</f>
        <v>G686-41-301</v>
      </c>
      <c r="C46" t="s">
        <v>202</v>
      </c>
      <c r="D46" t="s">
        <v>5</v>
      </c>
      <c r="E46" t="str">
        <f>_xlfn.XLOOKUP(C46,[1]Sheet1!$C:$C,[1]Sheet1!$E:$E)</f>
        <v>#FW10 H41cm GRAND STEM VASE, CLEAR/FLOWER (LSA)</v>
      </c>
      <c r="F46" t="s">
        <v>204</v>
      </c>
      <c r="G46" t="s">
        <v>205</v>
      </c>
      <c r="H46" t="s">
        <v>22</v>
      </c>
      <c r="I46" t="s">
        <v>7</v>
      </c>
    </row>
    <row r="47" spans="1:9">
      <c r="A47" t="str">
        <f>_xlfn.XLOOKUP(C47,[1]Sheet1!$C:$C,[1]Sheet1!$A:$A)</f>
        <v>5344-G991-24-301</v>
      </c>
      <c r="B47" t="str">
        <f>_xlfn.XLOOKUP(C47,[1]Sheet1!$C:$C,[1]Sheet1!$B:$B)</f>
        <v>G991-24-301</v>
      </c>
      <c r="C47" t="s">
        <v>206</v>
      </c>
      <c r="D47" t="s">
        <v>5</v>
      </c>
      <c r="E47" t="str">
        <f>_xlfn.XLOOKUP(C47,[1]Sheet1!$C:$C,[1]Sheet1!$E:$E)</f>
        <v>(WSL19) H18cm VASE/LANTERN &amp; ASH BASE, LOTTA (LSA)</v>
      </c>
      <c r="F47" t="s">
        <v>208</v>
      </c>
      <c r="G47" t="s">
        <v>209</v>
      </c>
      <c r="H47" t="s">
        <v>17</v>
      </c>
      <c r="I47" t="s">
        <v>7</v>
      </c>
    </row>
    <row r="48" spans="1:9">
      <c r="A48" t="str">
        <f>_xlfn.XLOOKUP(C48,[1]Sheet1!$C:$C,[1]Sheet1!$A:$A)</f>
        <v>5344-G1712-24-148</v>
      </c>
      <c r="B48" t="str">
        <f>_xlfn.XLOOKUP(C48,[1]Sheet1!$C:$C,[1]Sheet1!$B:$B)</f>
        <v>G1712-24-148</v>
      </c>
      <c r="C48" t="s">
        <v>210</v>
      </c>
      <c r="D48" t="s">
        <v>5</v>
      </c>
      <c r="E48" t="str">
        <f>_xlfn.XLOOKUP(C48,[1]Sheet1!$C:$C,[1]Sheet1!$E:$E)</f>
        <v>(MOQ:4) LSA #WR21 WICKER Ø15cm/H24.5cm CONTAINER &amp; LID CLEAR (6PCS/CTN)</v>
      </c>
      <c r="F48" t="s">
        <v>212</v>
      </c>
      <c r="G48" t="s">
        <v>213</v>
      </c>
      <c r="H48" t="s">
        <v>6</v>
      </c>
      <c r="I48" t="s">
        <v>7</v>
      </c>
    </row>
    <row r="49" spans="1:9">
      <c r="A49" t="str">
        <f>_xlfn.XLOOKUP(C49,[1]Sheet1!$C:$C,[1]Sheet1!$A:$A)</f>
        <v>5344-G1284-09-301B</v>
      </c>
      <c r="B49" t="str">
        <f>_xlfn.XLOOKUP(C49,[1]Sheet1!$C:$C,[1]Sheet1!$B:$B)</f>
        <v>G1284-09-301B</v>
      </c>
      <c r="C49" t="s">
        <v>214</v>
      </c>
      <c r="D49" t="s">
        <v>5</v>
      </c>
      <c r="E49" t="str">
        <f>_xlfn.XLOOKUP(C49,[1]Sheet1!$C:$C,[1]Sheet1!$E:$E)</f>
        <v>H8.5xW6.5cm, 240ml WHITE WINE GLASS, CLEAR/OTIS (2/SET) (SELL BY SET)</v>
      </c>
      <c r="F49" t="s">
        <v>216</v>
      </c>
      <c r="G49" t="s">
        <v>217</v>
      </c>
      <c r="H49" t="s">
        <v>11</v>
      </c>
      <c r="I49" t="s">
        <v>7</v>
      </c>
    </row>
    <row r="50" spans="1:9">
      <c r="A50" t="str">
        <f>_xlfn.XLOOKUP(C50,[1]Sheet1!$C:$C,[1]Sheet1!$A:$A)</f>
        <v>5344-G1620-24-301</v>
      </c>
      <c r="B50" t="str">
        <f>_xlfn.XLOOKUP(C50,[1]Sheet1!$C:$C,[1]Sheet1!$B:$B)</f>
        <v>G1620-24-301</v>
      </c>
      <c r="C50" t="s">
        <v>218</v>
      </c>
      <c r="D50" t="s">
        <v>5</v>
      </c>
      <c r="E50" t="str">
        <f>_xlfn.XLOOKUP(C50,[1]Sheet1!$C:$C,[1]Sheet1!$E:$E)</f>
        <v>(IDMOQ24PCS) #BG09, 680ml BALLOON GLASS, CLEAR, BOROUGH (LSA) 4PCS/SET</v>
      </c>
      <c r="F50" t="s">
        <v>220</v>
      </c>
      <c r="G50" t="s">
        <v>221</v>
      </c>
      <c r="H50" t="s">
        <v>11</v>
      </c>
      <c r="I50" t="s">
        <v>15</v>
      </c>
    </row>
    <row r="51" spans="1:9">
      <c r="A51" t="str">
        <f>_xlfn.XLOOKUP(C51,[1]Sheet1!$C:$C,[1]Sheet1!$A:$A)</f>
        <v>5344-G1748-09-301</v>
      </c>
      <c r="B51" t="str">
        <f>_xlfn.XLOOKUP(C51,[1]Sheet1!$C:$C,[1]Sheet1!$B:$B)</f>
        <v>G1748-09-301</v>
      </c>
      <c r="C51" t="s">
        <v>222</v>
      </c>
      <c r="D51" t="s">
        <v>5</v>
      </c>
      <c r="E51" t="str">
        <f>_xlfn.XLOOKUP(C51,[1]Sheet1!$C:$C,[1]Sheet1!$E:$E)</f>
        <v>LSA #G1748-09-301 #AC06 ARC CLEAR 240ml CHAMPAGNE FLUTE (4PCS/CTN) (SELL BY CTN)</v>
      </c>
      <c r="F51" t="s">
        <v>224</v>
      </c>
      <c r="G51" t="s">
        <v>225</v>
      </c>
      <c r="H51" t="s">
        <v>6</v>
      </c>
      <c r="I51" t="s">
        <v>7</v>
      </c>
    </row>
    <row r="52" spans="1:9">
      <c r="A52" t="str">
        <f>_xlfn.XLOOKUP(C52,[1]Sheet1!$C:$C,[1]Sheet1!$A:$A)</f>
        <v>5344-G259-26-991</v>
      </c>
      <c r="B52" t="str">
        <f>_xlfn.XLOOKUP(C52,[1]Sheet1!$C:$C,[1]Sheet1!$B:$B)</f>
        <v>G259-26-991</v>
      </c>
      <c r="C52" t="s">
        <v>226</v>
      </c>
      <c r="D52" t="s">
        <v>5</v>
      </c>
      <c r="E52" t="str">
        <f>_xlfn.XLOOKUP(C52,[1]Sheet1!$C:$C,[1]Sheet1!$E:$E)</f>
        <v>#BR17 DIA19xH26cm GLASS CHAMPAGNE BUCKET, CLEAR/BAR (LSA)</v>
      </c>
      <c r="F52" t="s">
        <v>228</v>
      </c>
      <c r="G52" t="s">
        <v>229</v>
      </c>
      <c r="H52" t="s">
        <v>22</v>
      </c>
      <c r="I52" t="s">
        <v>7</v>
      </c>
    </row>
    <row r="53" spans="1:9">
      <c r="A53" t="str">
        <f>_xlfn.XLOOKUP(C53,[1]Sheet1!$C:$C,[1]Sheet1!$A:$A)</f>
        <v>5344-G474-04-985</v>
      </c>
      <c r="B53" t="str">
        <f>_xlfn.XLOOKUP(C53,[1]Sheet1!$C:$C,[1]Sheet1!$B:$B)</f>
        <v>G474-04-985</v>
      </c>
      <c r="C53" t="s">
        <v>230</v>
      </c>
      <c r="D53" t="s">
        <v>5</v>
      </c>
      <c r="E53" t="str">
        <f>_xlfn.XLOOKUP(C53,[1]Sheet1!$C:$C,[1]Sheet1!$E:$E)</f>
        <v>#MV17 170ml CHAMP FLUTE, CLEAR/MOYA (LSA) 2PCS/SET (SELL BY SET)</v>
      </c>
      <c r="F53" t="s">
        <v>232</v>
      </c>
      <c r="G53" t="s">
        <v>233</v>
      </c>
      <c r="H53" t="s">
        <v>22</v>
      </c>
      <c r="I53" t="s">
        <v>7</v>
      </c>
    </row>
    <row r="54" spans="1:9">
      <c r="A54" t="str">
        <f>_xlfn.XLOOKUP(C54,[1]Sheet1!$C:$C,[1]Sheet1!$A:$A)</f>
        <v>5344-G730-11-776B</v>
      </c>
      <c r="B54" t="str">
        <f>_xlfn.XLOOKUP(C54,[1]Sheet1!$C:$C,[1]Sheet1!$B:$B)</f>
        <v>G730-11-776B</v>
      </c>
      <c r="C54" t="s">
        <v>234</v>
      </c>
      <c r="D54" t="s">
        <v>5</v>
      </c>
      <c r="E54" t="str">
        <f>_xlfn.XLOOKUP(C54,[1]Sheet1!$C:$C,[1]Sheet1!$E:$E)</f>
        <v>(IDMOQX4SET) LSA #AU28 AURELIA 10oz CHAMPAGNE SAUCER CLEAR OPTIC (2PCS/SET)</v>
      </c>
      <c r="F54" t="s">
        <v>236</v>
      </c>
      <c r="G54" t="s">
        <v>237</v>
      </c>
      <c r="H54" t="s">
        <v>11</v>
      </c>
      <c r="I54" t="s">
        <v>7</v>
      </c>
    </row>
    <row r="55" spans="1:9">
      <c r="A55" t="str">
        <f>_xlfn.XLOOKUP(C55,[1]Sheet1!$C:$C,[1]Sheet1!$A:$A)</f>
        <v>5344-G846-14-985</v>
      </c>
      <c r="B55" t="str">
        <f>_xlfn.XLOOKUP(C55,[1]Sheet1!$C:$C,[1]Sheet1!$B:$B)</f>
        <v>G846-14-985</v>
      </c>
      <c r="C55" t="s">
        <v>238</v>
      </c>
      <c r="D55" t="s">
        <v>5</v>
      </c>
      <c r="E55" t="str">
        <f>_xlfn.XLOOKUP(C55,[1]Sheet1!$C:$C,[1]Sheet1!$E:$E)</f>
        <v>(ID-MOQ) #MV16 395ml MARTINI/WINE GLASS, CLEAR/MOYA (LSA) 2PCS/SET (SELL BY SET)</v>
      </c>
      <c r="F55" t="s">
        <v>240</v>
      </c>
      <c r="G55" t="s">
        <v>241</v>
      </c>
      <c r="H55" t="s">
        <v>11</v>
      </c>
      <c r="I55" t="s">
        <v>7</v>
      </c>
    </row>
    <row r="56" spans="1:9">
      <c r="A56" t="str">
        <f>_xlfn.XLOOKUP(C56,[1]Sheet1!$C:$C,[1]Sheet1!$A:$A)</f>
        <v>5344-G939-27-991</v>
      </c>
      <c r="B56" t="str">
        <f>_xlfn.XLOOKUP(C56,[1]Sheet1!$C:$C,[1]Sheet1!$B:$B)</f>
        <v>WI05</v>
      </c>
      <c r="C56" t="s">
        <v>242</v>
      </c>
      <c r="D56" t="s">
        <v>5</v>
      </c>
      <c r="E56" t="str">
        <f>_xlfn.XLOOKUP(C56,[1]Sheet1!$C:$C,[1]Sheet1!$E:$E)</f>
        <v>(WSL19)(SELL BY PC) #WI05 750ml RED WINE GLASS, CLEAR/WINE (LSA) 3PCS/CTN (SELL BY SET)</v>
      </c>
      <c r="F56" t="s">
        <v>244</v>
      </c>
      <c r="G56" t="s">
        <v>245</v>
      </c>
      <c r="H56" t="s">
        <v>6</v>
      </c>
      <c r="I56" t="s">
        <v>7</v>
      </c>
    </row>
    <row r="57" spans="1:9">
      <c r="A57" t="str">
        <f>_xlfn.XLOOKUP(C57,[1]Sheet1!$C:$C,[1]Sheet1!$A:$A)</f>
        <v>5344-G989-02-301</v>
      </c>
      <c r="B57" t="str">
        <f>_xlfn.XLOOKUP(C57,[1]Sheet1!$C:$C,[1]Sheet1!$B:$B)</f>
        <v>G989-02-301</v>
      </c>
      <c r="C57" t="s">
        <v>246</v>
      </c>
      <c r="D57" t="s">
        <v>5</v>
      </c>
      <c r="E57" t="str">
        <f>_xlfn.XLOOKUP(C57,[1]Sheet1!$C:$C,[1]Sheet1!$E:$E)</f>
        <v>#LW07  DIA:25/25.5cm CAKE/CHEESE DOME &amp; ASH BASE, LOTTA (LSA)</v>
      </c>
      <c r="I57" t="s">
        <v>699</v>
      </c>
    </row>
    <row r="58" spans="1:9">
      <c r="A58" t="str">
        <f>_xlfn.XLOOKUP(C58,[1]Sheet1!$C:$C,[1]Sheet1!$A:$A)</f>
        <v>5344-G261-68-991</v>
      </c>
      <c r="B58" t="str">
        <f>_xlfn.XLOOKUP(C58,[1]Sheet1!$C:$C,[1]Sheet1!$B:$B)</f>
        <v>G261-68-991</v>
      </c>
      <c r="C58" t="s">
        <v>248</v>
      </c>
      <c r="D58" t="s">
        <v>5</v>
      </c>
      <c r="E58" t="str">
        <f>_xlfn.XLOOKUP(C58,[1]Sheet1!$C:$C,[1]Sheet1!$E:$E)</f>
        <v>#BR15 1.9ltr TAPERED JUG, BAR (LSA)</v>
      </c>
      <c r="I58" t="s">
        <v>300</v>
      </c>
    </row>
    <row r="59" spans="1:9">
      <c r="A59" t="str">
        <f>_xlfn.XLOOKUP(C59,[1]Sheet1!$C:$C,[1]Sheet1!$A:$A)</f>
        <v>5344-G507-31-301</v>
      </c>
      <c r="B59" t="str">
        <f>_xlfn.XLOOKUP(C59,[1]Sheet1!$C:$C,[1]Sheet1!$B:$B)</f>
        <v>G507-31-301</v>
      </c>
      <c r="C59" t="s">
        <v>250</v>
      </c>
      <c r="D59" t="s">
        <v>5</v>
      </c>
      <c r="E59" t="str">
        <f>_xlfn.XLOOKUP(C59,[1]Sheet1!$C:$C,[1]Sheet1!$E:$E)</f>
        <v>#SZ13 DIA31cm GLASS CAKE STAND, CLEAR/SERVE  (LSA)</v>
      </c>
      <c r="I59" t="s">
        <v>300</v>
      </c>
    </row>
    <row r="60" spans="1:9">
      <c r="A60" t="str">
        <f>_xlfn.XLOOKUP(C60,[1]Sheet1!$C:$C,[1]Sheet1!$A:$A)</f>
        <v>5344-G1389-15-200</v>
      </c>
      <c r="B60" t="str">
        <f>_xlfn.XLOOKUP(C60,[1]Sheet1!$C:$C,[1]Sheet1!$B:$B)</f>
        <v>G1389-15-200</v>
      </c>
      <c r="C60" t="s">
        <v>252</v>
      </c>
      <c r="D60" t="s">
        <v>5</v>
      </c>
      <c r="E60" t="str">
        <f>_xlfn.XLOOKUP(C60,[1]Sheet1!$C:$C,[1]Sheet1!$E:$E)</f>
        <v>(IDMOQ12) LSA #G1389-15-200 #GN03 GIN BALLOON GLASS 420ML CLEAR  (2PCS/CTN)</v>
      </c>
      <c r="I60" t="s">
        <v>300</v>
      </c>
    </row>
    <row r="61" spans="1:9">
      <c r="A61" t="str">
        <f>_xlfn.XLOOKUP(C61,[1]Sheet1!$C:$C,[1]Sheet1!$A:$A)</f>
        <v>5344-G1500-28-301</v>
      </c>
      <c r="B61" t="str">
        <f>_xlfn.XLOOKUP(C61,[1]Sheet1!$C:$C,[1]Sheet1!$B:$B)</f>
        <v>G1500-28-301</v>
      </c>
      <c r="C61" t="s">
        <v>254</v>
      </c>
      <c r="D61" t="s">
        <v>5</v>
      </c>
      <c r="E61" t="str">
        <f>_xlfn.XLOOKUP(C61,[1]Sheet1!$C:$C,[1]Sheet1!$E:$E)</f>
        <v>LSA G1500-28-301 #IV12 ASH STAND &amp; DOME CLEAR/IVALO DIA28cmxHT23cm  (2PCS/CTN)</v>
      </c>
      <c r="I61" t="s">
        <v>699</v>
      </c>
    </row>
    <row r="62" spans="1:9">
      <c r="A62" t="str">
        <f>_xlfn.XLOOKUP(C62,[1]Sheet1!$C:$C,[1]Sheet1!$A:$A)</f>
        <v>5344-G1240-26-301</v>
      </c>
      <c r="B62" t="str">
        <f>_xlfn.XLOOKUP(C62,[1]Sheet1!$C:$C,[1]Sheet1!$B:$B)</f>
        <v>G1240-26-301</v>
      </c>
      <c r="C62" t="s">
        <v>256</v>
      </c>
      <c r="D62" t="s">
        <v>5</v>
      </c>
      <c r="E62" t="str">
        <f>_xlfn.XLOOKUP(C62,[1]Sheet1!$C:$C,[1]Sheet1!$E:$E)</f>
        <v>LSA, #CJ08 DIAØ26xH25cm CITY DOME &amp; WALNUT STAND CLEAR</v>
      </c>
      <c r="I62" t="s">
        <v>300</v>
      </c>
    </row>
    <row r="63" spans="1:9">
      <c r="A63" t="str">
        <f>_xlfn.XLOOKUP(C63,[1]Sheet1!$C:$C,[1]Sheet1!$A:$A)</f>
        <v>5344-G008-01-992</v>
      </c>
      <c r="B63" t="str">
        <f>_xlfn.XLOOKUP(C63,[1]Sheet1!$C:$C,[1]Sheet1!$B:$B)</f>
        <v>G008-01-992</v>
      </c>
      <c r="C63" t="s">
        <v>258</v>
      </c>
      <c r="D63" t="s">
        <v>5</v>
      </c>
      <c r="E63" t="str">
        <f>_xlfn.XLOOKUP(C63,[1]Sheet1!$C:$C,[1]Sheet1!$E:$E)</f>
        <v>(Old Code:#G008-01-301)#BI05 50ml VODKA GLASS, CLEAR/BORIS(LSA) 3PCS/CTN (SELL BY SET)</v>
      </c>
      <c r="I63" t="s">
        <v>300</v>
      </c>
    </row>
    <row r="64" spans="1:9">
      <c r="A64" t="str">
        <f>_xlfn.XLOOKUP(C64,[1]Sheet1!$C:$C,[1]Sheet1!$A:$A)</f>
        <v>5344-G1048-31-301</v>
      </c>
      <c r="B64" t="str">
        <f>_xlfn.XLOOKUP(C64,[1]Sheet1!$C:$C,[1]Sheet1!$B:$B)</f>
        <v>G1048-31-301</v>
      </c>
      <c r="C64" t="s">
        <v>260</v>
      </c>
      <c r="D64" t="s">
        <v>5</v>
      </c>
      <c r="E64" t="str">
        <f>_xlfn.XLOOKUP(C64,[1]Sheet1!$C:$C,[1]Sheet1!$E:$E)</f>
        <v>#IV03 DIA32xH20.5cm DOME/ASH BASE, CLEAR/IVALO (LSA) 2PCS/CTN</v>
      </c>
      <c r="I64" t="s">
        <v>300</v>
      </c>
    </row>
    <row r="65" spans="1:9">
      <c r="A65" t="str">
        <f>_xlfn.XLOOKUP(C65,[1]Sheet1!$C:$C,[1]Sheet1!$A:$A)</f>
        <v>5344-G902-24-301</v>
      </c>
      <c r="B65" t="str">
        <f>_xlfn.XLOOKUP(C65,[1]Sheet1!$C:$C,[1]Sheet1!$B:$B)</f>
        <v>G902-24-301</v>
      </c>
      <c r="C65" t="s">
        <v>262</v>
      </c>
      <c r="D65" t="s">
        <v>5</v>
      </c>
      <c r="E65" t="str">
        <f>_xlfn.XLOOKUP(C65,[1]Sheet1!$C:$C,[1]Sheet1!$E:$E)</f>
        <v>#KL01 24cm CAKE STAND LOW, CLEAR/KLARA (LSA) 3PCS/CTN</v>
      </c>
      <c r="I65" t="s">
        <v>300</v>
      </c>
    </row>
    <row r="66" spans="1:9">
      <c r="A66" t="str">
        <f>_xlfn.XLOOKUP(C66,[1]Sheet1!$C:$C,[1]Sheet1!$A:$A)</f>
        <v>5344-G902-30-301</v>
      </c>
      <c r="B66" t="str">
        <f>_xlfn.XLOOKUP(C66,[1]Sheet1!$C:$C,[1]Sheet1!$B:$B)</f>
        <v>G902-30-301</v>
      </c>
      <c r="C66" t="s">
        <v>264</v>
      </c>
      <c r="D66" t="s">
        <v>5</v>
      </c>
      <c r="E66" t="str">
        <f>_xlfn.XLOOKUP(C66,[1]Sheet1!$C:$C,[1]Sheet1!$E:$E)</f>
        <v>#KL02 30cm CAKE STAND HIGH, CLEAR/KLARA (LSA)</v>
      </c>
      <c r="I66" t="s">
        <v>300</v>
      </c>
    </row>
    <row r="67" spans="1:9">
      <c r="A67" t="str">
        <f>_xlfn.XLOOKUP(C67,[1]Sheet1!$C:$C,[1]Sheet1!$A:$A)</f>
        <v>5344-G846-11-985</v>
      </c>
      <c r="B67" t="str">
        <f>_xlfn.XLOOKUP(C67,[1]Sheet1!$C:$C,[1]Sheet1!$B:$B)</f>
        <v>G846-11-985</v>
      </c>
      <c r="C67" t="s">
        <v>266</v>
      </c>
      <c r="D67" t="s">
        <v>5</v>
      </c>
      <c r="E67" t="str">
        <f>_xlfn.XLOOKUP(C67,[1]Sheet1!$C:$C,[1]Sheet1!$E:$E)</f>
        <v>#MV18 300ml COCKTAIL GLASS, CLEAR/MOYA (LSA) 2PCS/SET (SELL BY SET)</v>
      </c>
      <c r="I67" t="s">
        <v>300</v>
      </c>
    </row>
    <row r="68" spans="1:9">
      <c r="A68" t="str">
        <f>_xlfn.XLOOKUP(C68,[1]Sheet1!$C:$C,[1]Sheet1!$A:$A)</f>
        <v>5344-G1472-25-200</v>
      </c>
      <c r="B68" t="str">
        <f>_xlfn.XLOOKUP(C68,[1]Sheet1!$C:$C,[1]Sheet1!$B:$B)</f>
        <v>G1472-25-200</v>
      </c>
      <c r="C68" t="s">
        <v>268</v>
      </c>
      <c r="D68" t="s">
        <v>5</v>
      </c>
      <c r="E68" t="str">
        <f>_xlfn.XLOOKUP(C68,[1]Sheet1!$C:$C,[1]Sheet1!$E:$E)</f>
        <v>LSA, G1472-25-200, GIN GRAND BALLOON GLASS 690ML CLEAR X2 (ID)</v>
      </c>
      <c r="I68" t="s">
        <v>300</v>
      </c>
    </row>
    <row r="69" spans="1:9">
      <c r="A69" t="str">
        <f>_xlfn.XLOOKUP(C69,[1]Sheet1!$C:$C,[1]Sheet1!$A:$A)</f>
        <v>5344-G1468-24-301</v>
      </c>
      <c r="B69" t="str">
        <f>_xlfn.XLOOKUP(C69,[1]Sheet1!$C:$C,[1]Sheet1!$B:$B)</f>
        <v>G1468-24-301</v>
      </c>
      <c r="C69" t="s">
        <v>270</v>
      </c>
      <c r="D69" t="s">
        <v>5</v>
      </c>
      <c r="E69" t="str">
        <f>_xlfn.XLOOKUP(C69,[1]Sheet1!$C:$C,[1]Sheet1!$E:$E)</f>
        <v>(IDMOQ16PCS) #BL03, 680ml GIN BALLOON GLASS (LSA) 4PCS/SET</v>
      </c>
      <c r="I69" t="s">
        <v>700</v>
      </c>
    </row>
    <row r="70" spans="1:9">
      <c r="A70" t="str">
        <f>_xlfn.XLOOKUP(C70,[1]Sheet1!$C:$C,[1]Sheet1!$A:$A)</f>
        <v>5344-G1655-14-610</v>
      </c>
      <c r="B70" t="str">
        <f>_xlfn.XLOOKUP(C70,[1]Sheet1!$C:$C,[1]Sheet1!$B:$B)</f>
        <v>G1655-14-610</v>
      </c>
      <c r="C70" t="s">
        <v>272</v>
      </c>
      <c r="D70" t="s">
        <v>5</v>
      </c>
      <c r="E70" t="str">
        <f>_xlfn.XLOOKUP(C70,[1]Sheet1!$C:$C,[1]Sheet1!$E:$E)</f>
        <v>LSA #RT10 ROTUNDA WIDE VASE H14CM SAPPHIRE (3PCS/CTN)</v>
      </c>
      <c r="I70" t="s">
        <v>700</v>
      </c>
    </row>
    <row r="71" spans="1:9">
      <c r="A71" t="str">
        <f>_xlfn.XLOOKUP(C71,[1]Sheet1!$C:$C,[1]Sheet1!$A:$A)</f>
        <v>5344-G1240-32-301</v>
      </c>
      <c r="B71" t="str">
        <f>_xlfn.XLOOKUP(C71,[1]Sheet1!$C:$C,[1]Sheet1!$B:$B)</f>
        <v>G1240-32-301</v>
      </c>
      <c r="C71" t="s">
        <v>274</v>
      </c>
      <c r="D71" t="s">
        <v>5</v>
      </c>
      <c r="E71" t="str">
        <f>_xlfn.XLOOKUP(C71,[1]Sheet1!$C:$C,[1]Sheet1!$E:$E)</f>
        <v>#CJ06 DIA32xH29.5cm DOME &amp; WALNUT BASE, CLEAR/CITY (LSA)</v>
      </c>
      <c r="I71" t="s">
        <v>300</v>
      </c>
    </row>
    <row r="72" spans="1:9">
      <c r="A72" t="str">
        <f>_xlfn.XLOOKUP(C72,[1]Sheet1!$C:$C,[1]Sheet1!$A:$A)</f>
        <v>5344-G1688-36-301</v>
      </c>
      <c r="B72" t="str">
        <f>_xlfn.XLOOKUP(C72,[1]Sheet1!$C:$C,[1]Sheet1!$B:$B)</f>
        <v>G1688-36-301</v>
      </c>
      <c r="C72" t="s">
        <v>276</v>
      </c>
      <c r="D72" t="s">
        <v>5</v>
      </c>
      <c r="E72" t="str">
        <f>_xlfn.XLOOKUP(C72,[1]Sheet1!$C:$C,[1]Sheet1!$E:$E)</f>
        <v>LSA, G1688-36-301, CASK WHISKY OBLONG DECANTER 1L CLEAR (ID)</v>
      </c>
      <c r="I72" t="s">
        <v>300</v>
      </c>
    </row>
    <row r="73" spans="1:9">
      <c r="A73" t="str">
        <f>_xlfn.XLOOKUP(C73,[1]Sheet1!$C:$C,[1]Sheet1!$A:$A)</f>
        <v>5344-G107-86-991</v>
      </c>
      <c r="B73" t="str">
        <f>_xlfn.XLOOKUP(C73,[1]Sheet1!$C:$C,[1]Sheet1!$B:$B)</f>
        <v>G107-86-991</v>
      </c>
      <c r="C73" t="s">
        <v>278</v>
      </c>
      <c r="D73" t="s">
        <v>5</v>
      </c>
      <c r="E73" t="str">
        <f>_xlfn.XLOOKUP(C73,[1]Sheet1!$C:$C,[1]Sheet1!$E:$E)</f>
        <v>#WI10 2.4ltr GLASS WINE CARAFE/DECANTER, WINE (LSA) 2PCS/CTN</v>
      </c>
      <c r="I73" t="s">
        <v>300</v>
      </c>
    </row>
    <row r="74" spans="1:9">
      <c r="A74" t="str">
        <f>_xlfn.XLOOKUP(C74,[1]Sheet1!$C:$C,[1]Sheet1!$A:$A)</f>
        <v>5344- G1663-18-142</v>
      </c>
      <c r="B74" t="str">
        <f>_xlfn.XLOOKUP(C74,[1]Sheet1!$C:$C,[1]Sheet1!$B:$B)</f>
        <v>G1663-18-142</v>
      </c>
      <c r="C74" t="s">
        <v>281</v>
      </c>
      <c r="D74" t="s">
        <v>5</v>
      </c>
      <c r="E74" t="str">
        <f>_xlfn.XLOOKUP(C74,[1]Sheet1!$C:$C,[1]Sheet1!$E:$E)</f>
        <v>LSA, G1663-18-142, EPOQUE VASE H18CM PEACOCK/LUSTRE (ID)</v>
      </c>
      <c r="I74" t="s">
        <v>15</v>
      </c>
    </row>
    <row r="75" spans="1:9">
      <c r="A75" t="str">
        <f>_xlfn.XLOOKUP(C75,[1]Sheet1!$C:$C,[1]Sheet1!$A:$A)</f>
        <v>5344-G005-09-371</v>
      </c>
      <c r="B75" t="str">
        <f>_xlfn.XLOOKUP(C75,[1]Sheet1!$C:$C,[1]Sheet1!$B:$B)</f>
        <v>AS04</v>
      </c>
      <c r="C75" t="s">
        <v>283</v>
      </c>
      <c r="D75" t="s">
        <v>5</v>
      </c>
      <c r="E75" t="str">
        <f>_xlfn.XLOOKUP(C75,[1]Sheet1!$C:$C,[1]Sheet1!$E:$E)</f>
        <v>(DCWSL21)  #AS04 340ml GLASS TUMBLER, TURQUOISE/ASHER (LSA) 6PCS/CTN</v>
      </c>
      <c r="I75" t="s">
        <v>284</v>
      </c>
    </row>
    <row r="76" spans="1:9">
      <c r="A76" t="str">
        <f>_xlfn.XLOOKUP(C76,[1]Sheet1!$C:$C,[1]Sheet1!$A:$A)</f>
        <v>5344-G005-09-372</v>
      </c>
      <c r="B76" t="str">
        <f>_xlfn.XLOOKUP(C76,[1]Sheet1!$C:$C,[1]Sheet1!$B:$B)</f>
        <v>AS05</v>
      </c>
      <c r="C76" t="s">
        <v>285</v>
      </c>
      <c r="D76" t="s">
        <v>5</v>
      </c>
      <c r="E76" t="str">
        <f>_xlfn.XLOOKUP(C76,[1]Sheet1!$C:$C,[1]Sheet1!$E:$E)</f>
        <v>(DCWSL21)  #AS05 340ml GLASS TUMBLER, VIOLET/ASHER (LSA) 6PCS/CTN</v>
      </c>
      <c r="I76" t="s">
        <v>287</v>
      </c>
    </row>
    <row r="77" spans="1:9">
      <c r="A77" t="str">
        <f>_xlfn.XLOOKUP(C77,[1]Sheet1!$C:$C,[1]Sheet1!$A:$A)</f>
        <v>5344-G005-09-391</v>
      </c>
      <c r="B77" t="str">
        <f>_xlfn.XLOOKUP(C77,[1]Sheet1!$C:$C,[1]Sheet1!$B:$B)</f>
        <v>AS06</v>
      </c>
      <c r="C77" t="s">
        <v>288</v>
      </c>
      <c r="D77" t="s">
        <v>5</v>
      </c>
      <c r="E77" t="str">
        <f>_xlfn.XLOOKUP(C77,[1]Sheet1!$C:$C,[1]Sheet1!$E:$E)</f>
        <v>(DCWSL21)  #AS06 340ml GLASS TUMBLER, WHITE/ASHER  (LSA) 6PCS/CTN</v>
      </c>
      <c r="I77" t="s">
        <v>12</v>
      </c>
    </row>
    <row r="78" spans="1:9">
      <c r="A78" t="str">
        <f>_xlfn.XLOOKUP(C78,[1]Sheet1!$C:$C,[1]Sheet1!$A:$A)</f>
        <v>5344-G005-09-804</v>
      </c>
      <c r="B78">
        <f>_xlfn.XLOOKUP(C78,[1]Sheet1!$C:$C,[1]Sheet1!$B:$B)</f>
        <v>0</v>
      </c>
      <c r="C78" t="s">
        <v>290</v>
      </c>
      <c r="D78" t="s">
        <v>5</v>
      </c>
      <c r="E78" t="str">
        <f>_xlfn.XLOOKUP(C78,[1]Sheet1!$C:$C,[1]Sheet1!$E:$E)</f>
        <v>(DCWSL19) #AS03 340ml GLASS TUMBLER, RED/ASHER (LSA)</v>
      </c>
      <c r="I78" t="s">
        <v>33</v>
      </c>
    </row>
    <row r="79" spans="1:9">
      <c r="A79" t="str">
        <f>_xlfn.XLOOKUP(C79,[1]Sheet1!$C:$C,[1]Sheet1!$A:$A)</f>
        <v>5344-G005-09-834</v>
      </c>
      <c r="B79" t="str">
        <f>_xlfn.XLOOKUP(C79,[1]Sheet1!$C:$C,[1]Sheet1!$B:$B)</f>
        <v>AS02</v>
      </c>
      <c r="C79" t="s">
        <v>292</v>
      </c>
      <c r="D79" t="s">
        <v>5</v>
      </c>
      <c r="E79" t="str">
        <f>_xlfn.XLOOKUP(C79,[1]Sheet1!$C:$C,[1]Sheet1!$E:$E)</f>
        <v>(DCWSL21)  #AS02 340ml GLASS TUMBLER, LIME/ASHER (LSA) 6PCS/CTN</v>
      </c>
      <c r="I79" t="s">
        <v>293</v>
      </c>
    </row>
    <row r="80" spans="1:9">
      <c r="A80" t="str">
        <f>_xlfn.XLOOKUP(C80,[1]Sheet1!$C:$C,[1]Sheet1!$A:$A)</f>
        <v>5344-G005-09-909</v>
      </c>
      <c r="B80">
        <f>_xlfn.XLOOKUP(C80,[1]Sheet1!$C:$C,[1]Sheet1!$B:$B)</f>
        <v>0</v>
      </c>
      <c r="C80" t="s">
        <v>295</v>
      </c>
      <c r="D80" t="s">
        <v>5</v>
      </c>
      <c r="E80" t="str">
        <f>_xlfn.XLOOKUP(C80,[1]Sheet1!$C:$C,[1]Sheet1!$E:$E)</f>
        <v>(DCWSL19) #AS01 340ml GLASS TUMBLER, BLACK/ASHER (LSA)</v>
      </c>
      <c r="I80" t="s">
        <v>296</v>
      </c>
    </row>
    <row r="81" spans="1:9">
      <c r="A81" t="str">
        <f>_xlfn.XLOOKUP(C81,[1]Sheet1!$C:$C,[1]Sheet1!$A:$A)</f>
        <v>5344-G008-09-992</v>
      </c>
      <c r="B81" t="str">
        <f>_xlfn.XLOOKUP(C81,[1]Sheet1!$C:$C,[1]Sheet1!$B:$B)</f>
        <v>G008-09-992</v>
      </c>
      <c r="C81" t="s">
        <v>298</v>
      </c>
      <c r="D81" t="s">
        <v>5</v>
      </c>
      <c r="E81" t="str">
        <f>_xlfn.XLOOKUP(C81,[1]Sheet1!$C:$C,[1]Sheet1!$E:$E)</f>
        <v>(Old Code:#G008-09-301) #BI06 260ml TUMBLER GLASS, CLEAR/BORIS(LSA) 3PCS/CTN (SELL BY SET)</v>
      </c>
      <c r="I81" t="s">
        <v>300</v>
      </c>
    </row>
    <row r="82" spans="1:9">
      <c r="A82" t="str">
        <f>_xlfn.XLOOKUP(C82,[1]Sheet1!$C:$C,[1]Sheet1!$A:$A)</f>
        <v>5344-G008-12-992</v>
      </c>
      <c r="B82" t="str">
        <f>_xlfn.XLOOKUP(C82,[1]Sheet1!$C:$C,[1]Sheet1!$B:$B)</f>
        <v>G008-12-992</v>
      </c>
      <c r="C82" t="s">
        <v>301</v>
      </c>
      <c r="D82" t="s">
        <v>5</v>
      </c>
      <c r="E82" t="str">
        <f>_xlfn.XLOOKUP(C82,[1]Sheet1!$C:$C,[1]Sheet1!$E:$E)</f>
        <v>(WSL19)(Old Code:#G008-12-301) #BI07 360ml HIGHBALL GLASS, CLEAR/BORIS (LSA) 3PCS/CTN (SELL BY SET)</v>
      </c>
      <c r="I82" t="s">
        <v>300</v>
      </c>
    </row>
    <row r="83" spans="1:9">
      <c r="A83" t="str">
        <f>_xlfn.XLOOKUP(C83,[1]Sheet1!$C:$C,[1]Sheet1!$A:$A)</f>
        <v>5344-G016-09-301</v>
      </c>
      <c r="B83">
        <f>_xlfn.XLOOKUP(C83,[1]Sheet1!$C:$C,[1]Sheet1!$B:$B)</f>
        <v>0</v>
      </c>
      <c r="C83" t="s">
        <v>303</v>
      </c>
      <c r="D83" t="s">
        <v>5</v>
      </c>
      <c r="E83" t="str">
        <f>_xlfn.XLOOKUP(C83,[1]Sheet1!$C:$C,[1]Sheet1!$E:$E)</f>
        <v>(DCWSL19)(New:G016-09-985) #MV14 330ml TUMBLER GLASS, CLEAR/MOYA (LSA) 2PCS/SET (SELL BY SET)</v>
      </c>
      <c r="I83" t="s">
        <v>300</v>
      </c>
    </row>
    <row r="84" spans="1:9">
      <c r="A84" t="str">
        <f>_xlfn.XLOOKUP(C84,[1]Sheet1!$C:$C,[1]Sheet1!$A:$A)</f>
        <v>5344-G016-09-985</v>
      </c>
      <c r="B84" t="str">
        <f>_xlfn.XLOOKUP(C84,[1]Sheet1!$C:$C,[1]Sheet1!$B:$B)</f>
        <v>MV14</v>
      </c>
      <c r="C84" t="s">
        <v>305</v>
      </c>
      <c r="D84" t="s">
        <v>5</v>
      </c>
      <c r="E84" t="str">
        <f>_xlfn.XLOOKUP(C84,[1]Sheet1!$C:$C,[1]Sheet1!$E:$E)</f>
        <v>(WSL19) #MV14 330ml TUMBLER, CLEAR/MOYA (LSA) (SET OF 2PCS)(3/CTN) (SELL BY SET)</v>
      </c>
      <c r="I84" t="s">
        <v>300</v>
      </c>
    </row>
    <row r="85" spans="1:9">
      <c r="A85" t="str">
        <f>_xlfn.XLOOKUP(C85,[1]Sheet1!$C:$C,[1]Sheet1!$A:$A)</f>
        <v>5344-G029-15-300</v>
      </c>
      <c r="B85">
        <f>_xlfn.XLOOKUP(C85,[1]Sheet1!$C:$C,[1]Sheet1!$B:$B)</f>
        <v>0</v>
      </c>
      <c r="C85" t="s">
        <v>308</v>
      </c>
      <c r="D85" t="s">
        <v>5</v>
      </c>
      <c r="E85" t="str">
        <f>_xlfn.XLOOKUP(C85,[1]Sheet1!$C:$C,[1]Sheet1!$E:$E)</f>
        <v>(DCWSL19)(*SELL BY PC) 425ml HIGHBALL, PLATINIUM/CELESTE (LSA) 4PCS/SET</v>
      </c>
      <c r="I85" t="s">
        <v>300</v>
      </c>
    </row>
    <row r="86" spans="1:9">
      <c r="A86" t="str">
        <f>_xlfn.XLOOKUP(C86,[1]Sheet1!$C:$C,[1]Sheet1!$A:$A)</f>
        <v>5344-G039-11-968</v>
      </c>
      <c r="B86">
        <f>_xlfn.XLOOKUP(C86,[1]Sheet1!$C:$C,[1]Sheet1!$B:$B)</f>
        <v>0</v>
      </c>
      <c r="C86" t="s">
        <v>309</v>
      </c>
      <c r="D86" t="s">
        <v>5</v>
      </c>
      <c r="E86" t="str">
        <f>_xlfn.XLOOKUP(C86,[1]Sheet1!$C:$C,[1]Sheet1!$E:$E)</f>
        <v>(DCWSL19)(*SELL BY PC) 325ml TUMBLER, APPLE/HAZE (LSA)</v>
      </c>
      <c r="I86" t="s">
        <v>300</v>
      </c>
    </row>
    <row r="87" spans="1:9">
      <c r="A87" t="str">
        <f>_xlfn.XLOOKUP(C87,[1]Sheet1!$C:$C,[1]Sheet1!$A:$A)</f>
        <v>5344-G039-13-968</v>
      </c>
      <c r="B87">
        <f>_xlfn.XLOOKUP(C87,[1]Sheet1!$C:$C,[1]Sheet1!$B:$B)</f>
        <v>0</v>
      </c>
      <c r="C87" t="s">
        <v>311</v>
      </c>
      <c r="D87" t="s">
        <v>5</v>
      </c>
      <c r="E87" t="str">
        <f>_xlfn.XLOOKUP(C87,[1]Sheet1!$C:$C,[1]Sheet1!$E:$E)</f>
        <v>(DCWSL19)(*SELL BY PC)  400ml HIGHBALL, APPLE/HAZE (LSA)</v>
      </c>
      <c r="I87" t="s">
        <v>33</v>
      </c>
    </row>
    <row r="88" spans="1:9">
      <c r="A88" t="str">
        <f>_xlfn.XLOOKUP(C88,[1]Sheet1!$C:$C,[1]Sheet1!$A:$A)</f>
        <v>5344-G039-13-969</v>
      </c>
      <c r="B88">
        <f>_xlfn.XLOOKUP(C88,[1]Sheet1!$C:$C,[1]Sheet1!$B:$B)</f>
        <v>0</v>
      </c>
      <c r="C88" t="s">
        <v>315</v>
      </c>
      <c r="D88" t="s">
        <v>5</v>
      </c>
      <c r="E88" t="str">
        <f>_xlfn.XLOOKUP(C88,[1]Sheet1!$C:$C,[1]Sheet1!$E:$E)</f>
        <v>(DCWSL19)(*SELL BY PC) 400ml HIGHBALL, SKY/HAZE (LSA)</v>
      </c>
      <c r="I88" t="s">
        <v>314</v>
      </c>
    </row>
    <row r="89" spans="1:9">
      <c r="A89" t="str">
        <f>_xlfn.XLOOKUP(C89,[1]Sheet1!$C:$C,[1]Sheet1!$A:$A)</f>
        <v>5344-G060-09-148</v>
      </c>
      <c r="B89" t="str">
        <f>_xlfn.XLOOKUP(C89,[1]Sheet1!$C:$C,[1]Sheet1!$B:$B)</f>
        <v>GM01</v>
      </c>
      <c r="C89" t="s">
        <v>316</v>
      </c>
      <c r="D89" t="s">
        <v>5</v>
      </c>
      <c r="E89" t="str">
        <f>_xlfn.XLOOKUP(C89,[1]Sheet1!$C:$C,[1]Sheet1!$E:$E)</f>
        <v>(SELL IN BOX OF 4PCS) LSA #GM01 LSA GEMS TUMBLER ASSORTED AMBER 10OZ (4PCS/CTN)</v>
      </c>
      <c r="I89" t="s">
        <v>318</v>
      </c>
    </row>
    <row r="90" spans="1:9">
      <c r="A90" t="str">
        <f>_xlfn.XLOOKUP(C90,[1]Sheet1!$C:$C,[1]Sheet1!$A:$A)</f>
        <v>5344-G060-09-150</v>
      </c>
      <c r="B90" t="str">
        <f>_xlfn.XLOOKUP(C90,[1]Sheet1!$C:$C,[1]Sheet1!$B:$B)</f>
        <v>G060-09-150</v>
      </c>
      <c r="C90" t="s">
        <v>317</v>
      </c>
      <c r="D90" t="s">
        <v>5</v>
      </c>
      <c r="E90" t="str">
        <f>_xlfn.XLOOKUP(C90,[1]Sheet1!$C:$C,[1]Sheet1!$E:$E)</f>
        <v>(SELL IN BOX OF 4PCS) IDMOQ16PCS LSA #GM03 LSA GEMS TUMBLER ASSORTED JADE 10OZ (4PCS/CTN)</v>
      </c>
      <c r="I90" t="s">
        <v>319</v>
      </c>
    </row>
    <row r="91" spans="1:9">
      <c r="A91" t="str">
        <f>_xlfn.XLOOKUP(C91,[1]Sheet1!$C:$C,[1]Sheet1!$A:$A)</f>
        <v>5344-G094-02-969</v>
      </c>
      <c r="B91">
        <f>_xlfn.XLOOKUP(C91,[1]Sheet1!$C:$C,[1]Sheet1!$B:$B)</f>
        <v>0</v>
      </c>
      <c r="C91" t="s">
        <v>323</v>
      </c>
      <c r="D91" t="s">
        <v>5</v>
      </c>
      <c r="E91" t="str">
        <f>_xlfn.XLOOKUP(C91,[1]Sheet1!$C:$C,[1]Sheet1!$E:$E)</f>
        <v>(DCWSL19)(*SELL BY PC) 80ml VODKA GLASS, SKY/HAZE (LSA) 4PCS/CTN</v>
      </c>
      <c r="I91" t="s">
        <v>10</v>
      </c>
    </row>
    <row r="92" spans="1:9">
      <c r="A92" t="str">
        <f>_xlfn.XLOOKUP(C92,[1]Sheet1!$C:$C,[1]Sheet1!$A:$A)</f>
        <v>5344-G1011-00-301</v>
      </c>
      <c r="B92" t="str">
        <f>_xlfn.XLOOKUP(C92,[1]Sheet1!$C:$C,[1]Sheet1!$B:$B)</f>
        <v>LL03</v>
      </c>
      <c r="C92" t="s">
        <v>324</v>
      </c>
      <c r="D92" t="s">
        <v>5</v>
      </c>
      <c r="E92" t="str">
        <f>_xlfn.XLOOKUP(C92,[1]Sheet1!$C:$C,[1]Sheet1!$E:$E)</f>
        <v>(IDMOQ4SETS) #LL03, 50ml, SET OF 4PCS, ASSORTED VODKA GLASS, CLEAR, LULU (LSA) 1SET/CTN</v>
      </c>
      <c r="I92" t="s">
        <v>300</v>
      </c>
    </row>
    <row r="93" spans="1:9">
      <c r="A93" t="str">
        <f>_xlfn.XLOOKUP(C93,[1]Sheet1!$C:$C,[1]Sheet1!$A:$A)</f>
        <v>5344-G1019-24-301</v>
      </c>
      <c r="B93">
        <f>_xlfn.XLOOKUP(C93,[1]Sheet1!$C:$C,[1]Sheet1!$B:$B)</f>
        <v>0</v>
      </c>
      <c r="C93" t="s">
        <v>326</v>
      </c>
      <c r="D93" t="s">
        <v>5</v>
      </c>
      <c r="E93" t="str">
        <f>_xlfn.XLOOKUP(C93,[1]Sheet1!$C:$C,[1]Sheet1!$E:$E)</f>
        <v>(DCWSL19) 24cm STORM LANTERN, CLEAR/HELIX (LSA)</v>
      </c>
      <c r="I93" t="s">
        <v>300</v>
      </c>
    </row>
    <row r="94" spans="1:9">
      <c r="A94" t="str">
        <f>_xlfn.XLOOKUP(C94,[1]Sheet1!$C:$C,[1]Sheet1!$A:$A)</f>
        <v>5344-G103-63-991</v>
      </c>
      <c r="B94" t="str">
        <f>_xlfn.XLOOKUP(C94,[1]Sheet1!$C:$C,[1]Sheet1!$B:$B)</f>
        <v>WI12</v>
      </c>
      <c r="C94" t="s">
        <v>328</v>
      </c>
      <c r="D94" t="s">
        <v>5</v>
      </c>
      <c r="E94" t="str">
        <f>_xlfn.XLOOKUP(C94,[1]Sheet1!$C:$C,[1]Sheet1!$E:$E)</f>
        <v>(DCWSL21)  #WI12 1.75ltr WINE GLASS WATER CARAFE/DECANTER (LSA) 2PCS/CTN</v>
      </c>
      <c r="I94" t="s">
        <v>300</v>
      </c>
    </row>
    <row r="95" spans="1:9">
      <c r="A95" t="str">
        <f>_xlfn.XLOOKUP(C95,[1]Sheet1!$C:$C,[1]Sheet1!$A:$A)</f>
        <v>5344-G1035-31-301</v>
      </c>
      <c r="B95" t="str">
        <f>_xlfn.XLOOKUP(C95,[1]Sheet1!$C:$C,[1]Sheet1!$B:$B)</f>
        <v>G1035-31-301</v>
      </c>
      <c r="C95" t="s">
        <v>330</v>
      </c>
      <c r="D95" t="s">
        <v>5</v>
      </c>
      <c r="E95" t="str">
        <f>_xlfn.XLOOKUP(C95,[1]Sheet1!$C:$C,[1]Sheet1!$E:$E)</f>
        <v>#SZ34, DIA31cm DESSERT COMPORT, CLEAR/SERVE (LSA) 4PCS/CTN</v>
      </c>
      <c r="I95" t="s">
        <v>300</v>
      </c>
    </row>
    <row r="96" spans="1:9">
      <c r="A96" t="str">
        <f>_xlfn.XLOOKUP(C96,[1]Sheet1!$C:$C,[1]Sheet1!$A:$A)</f>
        <v>5344-G1039-48-391</v>
      </c>
      <c r="B96">
        <f>_xlfn.XLOOKUP(C96,[1]Sheet1!$C:$C,[1]Sheet1!$B:$B)</f>
        <v>0</v>
      </c>
      <c r="C96" t="s">
        <v>332</v>
      </c>
      <c r="D96" t="s">
        <v>5</v>
      </c>
      <c r="E96" t="str">
        <f>_xlfn.XLOOKUP(C96,[1]Sheet1!$C:$C,[1]Sheet1!$E:$E)</f>
        <v>(DCWSL19) H48cm VASE &amp; ASH BASE, WHITE/LOTTA (LSA)</v>
      </c>
      <c r="I96" t="s">
        <v>300</v>
      </c>
    </row>
    <row r="97" spans="1:9">
      <c r="A97" t="str">
        <f>_xlfn.XLOOKUP(C97,[1]Sheet1!$C:$C,[1]Sheet1!$A:$A)</f>
        <v>5344-G1040-62-391</v>
      </c>
      <c r="B97">
        <f>_xlfn.XLOOKUP(C97,[1]Sheet1!$C:$C,[1]Sheet1!$B:$B)</f>
        <v>0</v>
      </c>
      <c r="C97" t="s">
        <v>334</v>
      </c>
      <c r="D97" t="s">
        <v>5</v>
      </c>
      <c r="E97" t="str">
        <f>_xlfn.XLOOKUP(C97,[1]Sheet1!$C:$C,[1]Sheet1!$E:$E)</f>
        <v>(DCWSL19) H62cm VASE/LANTERN &amp; ASH BASE, WHITE/LOTTA (LSA)</v>
      </c>
      <c r="I97" t="s">
        <v>300</v>
      </c>
    </row>
    <row r="98" spans="1:9">
      <c r="A98" t="str">
        <f>_xlfn.XLOOKUP(C98,[1]Sheet1!$C:$C,[1]Sheet1!$A:$A)</f>
        <v>5344-G1052-12-301</v>
      </c>
      <c r="B98" t="str">
        <f>_xlfn.XLOOKUP(C98,[1]Sheet1!$C:$C,[1]Sheet1!$B:$B)</f>
        <v>G1052-12-301</v>
      </c>
      <c r="C98" t="s">
        <v>336</v>
      </c>
      <c r="D98" t="s">
        <v>5</v>
      </c>
      <c r="E98" t="str">
        <f>_xlfn.XLOOKUP(C98,[1]Sheet1!$C:$C,[1]Sheet1!$E:$E)</f>
        <v>#SZ35 H12.5cm HONEY POT &amp; OAK DIPPER, CLEAR/SERVE (LSA) 3PCS/CTN</v>
      </c>
      <c r="I98" t="s">
        <v>300</v>
      </c>
    </row>
    <row r="99" spans="1:9">
      <c r="A99" t="str">
        <f>_xlfn.XLOOKUP(C99,[1]Sheet1!$C:$C,[1]Sheet1!$A:$A)</f>
        <v>5344-G939-12-991</v>
      </c>
      <c r="B99" t="str">
        <f>_xlfn.XLOOKUP(C99,[1]Sheet1!$C:$C,[1]Sheet1!$B:$B)</f>
        <v>WI04</v>
      </c>
      <c r="C99" t="s">
        <v>338</v>
      </c>
      <c r="D99" t="s">
        <v>5</v>
      </c>
      <c r="E99" t="str">
        <f>_xlfn.XLOOKUP(C99,[1]Sheet1!$C:$C,[1]Sheet1!$E:$E)</f>
        <v>(WSL19)(SELL BY PC) #WI04 340ml WHITE WINE GLASS, CLEAR/WINE (LSA) 4PCS/SET (SELL BY SET)</v>
      </c>
      <c r="I99" t="s">
        <v>300</v>
      </c>
    </row>
    <row r="100" spans="1:9">
      <c r="A100" t="str">
        <f>_xlfn.XLOOKUP(C100,[1]Sheet1!$C:$C,[1]Sheet1!$A:$A)</f>
        <v>5344-G225-27-985</v>
      </c>
      <c r="B100" t="str">
        <f>_xlfn.XLOOKUP(C100,[1]Sheet1!$C:$C,[1]Sheet1!$B:$B)</f>
        <v>MV20</v>
      </c>
      <c r="C100" t="s">
        <v>340</v>
      </c>
      <c r="D100" t="s">
        <v>5</v>
      </c>
      <c r="E100" t="str">
        <f>_xlfn.XLOOKUP(C100,[1]Sheet1!$C:$C,[1]Sheet1!$E:$E)</f>
        <v>(DCWSL19) #MV20 0.75ltr JUG, CLEAR/MOYA (LSA)</v>
      </c>
      <c r="I100" t="s">
        <v>300</v>
      </c>
    </row>
    <row r="101" spans="1:9">
      <c r="A101" t="str">
        <f>_xlfn.XLOOKUP(C101,[1]Sheet1!$C:$C,[1]Sheet1!$A:$A)</f>
        <v>5344-P216-08-517</v>
      </c>
      <c r="B101" t="str">
        <f>_xlfn.XLOOKUP(C101,[1]Sheet1!$C:$C,[1]Sheet1!$B:$B)</f>
        <v>P216-08-517</v>
      </c>
      <c r="C101" t="s">
        <v>342</v>
      </c>
      <c r="D101" t="s">
        <v>5</v>
      </c>
      <c r="E101" t="str">
        <f>_xlfn.XLOOKUP(C101,[1]Sheet1!$C:$C,[1]Sheet1!$E:$E)</f>
        <v>#PX04 L:40cm PADDLE BOWL SET &amp; OAK PADDLE (LSA)</v>
      </c>
      <c r="I101" t="s">
        <v>300</v>
      </c>
    </row>
    <row r="102" spans="1:9">
      <c r="A102" t="str">
        <f>_xlfn.XLOOKUP(C102,[1]Sheet1!$C:$C,[1]Sheet1!$A:$A)</f>
        <v>5344-G1060-53-301</v>
      </c>
      <c r="B102">
        <f>_xlfn.XLOOKUP(C102,[1]Sheet1!$C:$C,[1]Sheet1!$B:$B)</f>
        <v>0</v>
      </c>
      <c r="C102" t="s">
        <v>345</v>
      </c>
      <c r="D102" t="s">
        <v>5</v>
      </c>
      <c r="E102" t="str">
        <f>_xlfn.XLOOKUP(C102,[1]Sheet1!$C:$C,[1]Sheet1!$E:$E)</f>
        <v>(DCWSL19) #MX11 H53cm TALL GIANT CLEAR GLASS BONBON JAR/MAXA (LSA)</v>
      </c>
      <c r="I102" t="s">
        <v>300</v>
      </c>
    </row>
    <row r="103" spans="1:9">
      <c r="A103" t="str">
        <f>_xlfn.XLOOKUP(C103,[1]Sheet1!$C:$C,[1]Sheet1!$A:$A)</f>
        <v>5344-G1069-10-301</v>
      </c>
      <c r="B103" t="str">
        <f>_xlfn.XLOOKUP(C103,[1]Sheet1!$C:$C,[1]Sheet1!$B:$B)</f>
        <v>OF05</v>
      </c>
      <c r="C103" t="s">
        <v>347</v>
      </c>
      <c r="D103" t="s">
        <v>5</v>
      </c>
      <c r="E103" t="str">
        <f>_xlfn.XLOOKUP(C103,[1]Sheet1!$C:$C,[1]Sheet1!$E:$E)</f>
        <v>(ID)(PX/PC,SELL IN BOX OF 4PCS) H15.5xW9.5cm 280ml CHAMPAGNE/COCKTAIL GLASS, CLEAR/OTIS(LSA)3/CTN</v>
      </c>
      <c r="I103" t="s">
        <v>300</v>
      </c>
    </row>
    <row r="104" spans="1:9">
      <c r="A104" t="str">
        <f>_xlfn.XLOOKUP(C104,[1]Sheet1!$C:$C,[1]Sheet1!$A:$A)</f>
        <v>5344-G1070-05-301</v>
      </c>
      <c r="B104" t="str">
        <f>_xlfn.XLOOKUP(C104,[1]Sheet1!$C:$C,[1]Sheet1!$B:$B)</f>
        <v>OF04</v>
      </c>
      <c r="C104" t="s">
        <v>348</v>
      </c>
      <c r="D104" t="s">
        <v>5</v>
      </c>
      <c r="E104" t="str">
        <f>_xlfn.XLOOKUP(C104,[1]Sheet1!$C:$C,[1]Sheet1!$E:$E)</f>
        <v>(WSL19)(PX/PC, SELL IN BOX OF 4PCS) H26xW4cm 150ml CHAMPAGNE FLUTE, CLEAR/OTIS (LSA) 3PCS/CTN (SELL BY SET)</v>
      </c>
      <c r="I104" t="s">
        <v>300</v>
      </c>
    </row>
    <row r="105" spans="1:9">
      <c r="A105" t="str">
        <f>_xlfn.XLOOKUP(C105,[1]Sheet1!$C:$C,[1]Sheet1!$A:$A)</f>
        <v>5344-G1084-11-301</v>
      </c>
      <c r="B105" t="str">
        <f>_xlfn.XLOOKUP(C105,[1]Sheet1!$C:$C,[1]Sheet1!$B:$B)</f>
        <v>G1084-11-301</v>
      </c>
      <c r="C105" t="s">
        <v>350</v>
      </c>
      <c r="D105" t="s">
        <v>5</v>
      </c>
      <c r="E105" t="str">
        <f>_xlfn.XLOOKUP(C105,[1]Sheet1!$C:$C,[1]Sheet1!$E:$E)</f>
        <v>LSA G1084-11-301 #IV04 CONTAINER &amp; ASH LID CLEAR/IVALO DIA28xH11cm (2PCS/CTN)</v>
      </c>
      <c r="I105" t="s">
        <v>300</v>
      </c>
    </row>
    <row r="106" spans="1:9">
      <c r="A106" t="str">
        <f>_xlfn.XLOOKUP(C106,[1]Sheet1!$C:$C,[1]Sheet1!$A:$A)</f>
        <v>5344-G1085-15-301</v>
      </c>
      <c r="B106" t="str">
        <f>_xlfn.XLOOKUP(C106,[1]Sheet1!$C:$C,[1]Sheet1!$B:$B)</f>
        <v>G1085-15-301</v>
      </c>
      <c r="C106" t="s">
        <v>352</v>
      </c>
      <c r="D106" t="s">
        <v>5</v>
      </c>
      <c r="E106" t="str">
        <f>_xlfn.XLOOKUP(C106,[1]Sheet1!$C:$C,[1]Sheet1!$E:$E)</f>
        <v>LSA G1085-15-301 #IV05 CONTAINER &amp; ASH LID CLEAR/IVALO  H15.5cm (4PCS/CTN)</v>
      </c>
      <c r="I106" t="s">
        <v>300</v>
      </c>
    </row>
    <row r="107" spans="1:9">
      <c r="A107" t="str">
        <f>_xlfn.XLOOKUP(C107,[1]Sheet1!$C:$C,[1]Sheet1!$A:$A)</f>
        <v>5344-G1085-29-301</v>
      </c>
      <c r="B107" t="str">
        <f>_xlfn.XLOOKUP(C107,[1]Sheet1!$C:$C,[1]Sheet1!$B:$B)</f>
        <v>G1085-29-301</v>
      </c>
      <c r="C107" t="s">
        <v>354</v>
      </c>
      <c r="D107" t="s">
        <v>5</v>
      </c>
      <c r="E107" t="str">
        <f>_xlfn.XLOOKUP(C107,[1]Sheet1!$C:$C,[1]Sheet1!$E:$E)</f>
        <v>#IV06 H29.5cm CONTAINER &amp; ASH LID, CLEAR/IVALO (LSA) 2PCS/CTN</v>
      </c>
      <c r="I107" t="s">
        <v>300</v>
      </c>
    </row>
    <row r="108" spans="1:9">
      <c r="A108" t="str">
        <f>_xlfn.XLOOKUP(C108,[1]Sheet1!$C:$C,[1]Sheet1!$A:$A)</f>
        <v>5344-G1090-36-301</v>
      </c>
      <c r="B108">
        <f>_xlfn.XLOOKUP(C108,[1]Sheet1!$C:$C,[1]Sheet1!$B:$B)</f>
        <v>0</v>
      </c>
      <c r="C108" t="s">
        <v>356</v>
      </c>
      <c r="D108" t="s">
        <v>5</v>
      </c>
      <c r="E108" t="str">
        <f>_xlfn.XLOOKUP(C108,[1]Sheet1!$C:$C,[1]Sheet1!$E:$E)</f>
        <v>(DCWSL19) DIA36cm ONO BOWL, CLEAR (LSA)</v>
      </c>
      <c r="I108" t="s">
        <v>300</v>
      </c>
    </row>
    <row r="109" spans="1:9">
      <c r="A109" t="str">
        <f>_xlfn.XLOOKUP(C109,[1]Sheet1!$C:$C,[1]Sheet1!$A:$A)</f>
        <v>5344-G1097-36-263</v>
      </c>
      <c r="B109">
        <f>_xlfn.XLOOKUP(C109,[1]Sheet1!$C:$C,[1]Sheet1!$B:$B)</f>
        <v>0</v>
      </c>
      <c r="C109" t="s">
        <v>358</v>
      </c>
      <c r="D109" t="s">
        <v>5</v>
      </c>
      <c r="E109" t="str">
        <f>_xlfn.XLOOKUP(C109,[1]Sheet1!$C:$C,[1]Sheet1!$E:$E)</f>
        <v>(DCWSL19) H36cm VASE, PEBBLE/CHALK (LSA)</v>
      </c>
      <c r="I109" t="s">
        <v>300</v>
      </c>
    </row>
    <row r="110" spans="1:9">
      <c r="A110" t="str">
        <f>_xlfn.XLOOKUP(C110,[1]Sheet1!$C:$C,[1]Sheet1!$A:$A)</f>
        <v>5344-G1149-15-361</v>
      </c>
      <c r="B110">
        <f>_xlfn.XLOOKUP(C110,[1]Sheet1!$C:$C,[1]Sheet1!$B:$B)</f>
        <v>0</v>
      </c>
      <c r="C110" t="s">
        <v>360</v>
      </c>
      <c r="D110" t="s">
        <v>5</v>
      </c>
      <c r="E110" t="str">
        <f>_xlfn.XLOOKUP(C110,[1]Sheet1!$C:$C,[1]Sheet1!$E:$E)</f>
        <v>(DCWSL19) #R102 500ml WATER/WINE TUMBLER, MARINE/RIO (LSA)</v>
      </c>
      <c r="I110" t="s">
        <v>300</v>
      </c>
    </row>
    <row r="111" spans="1:9">
      <c r="A111" t="str">
        <f>_xlfn.XLOOKUP(C111,[1]Sheet1!$C:$C,[1]Sheet1!$A:$A)</f>
        <v>5344-G1149-15-373</v>
      </c>
      <c r="B111">
        <f>_xlfn.XLOOKUP(C111,[1]Sheet1!$C:$C,[1]Sheet1!$B:$B)</f>
        <v>0</v>
      </c>
      <c r="C111" t="s">
        <v>362</v>
      </c>
      <c r="D111" t="s">
        <v>5</v>
      </c>
      <c r="E111" t="str">
        <f>_xlfn.XLOOKUP(C111,[1]Sheet1!$C:$C,[1]Sheet1!$E:$E)</f>
        <v>(DCWSL19) #R101 500ml WATER/WINE TUMBLER, CHERRY/RIO (LSA)</v>
      </c>
      <c r="I111" t="s">
        <v>300</v>
      </c>
    </row>
    <row r="112" spans="1:9">
      <c r="A112" t="str">
        <f>_xlfn.XLOOKUP(C112,[1]Sheet1!$C:$C,[1]Sheet1!$A:$A)</f>
        <v>5344-G1149-15-459</v>
      </c>
      <c r="B112">
        <f>_xlfn.XLOOKUP(C112,[1]Sheet1!$C:$C,[1]Sheet1!$B:$B)</f>
        <v>0</v>
      </c>
      <c r="C112" t="s">
        <v>366</v>
      </c>
      <c r="D112" t="s">
        <v>5</v>
      </c>
      <c r="E112" t="str">
        <f>_xlfn.XLOOKUP(C112,[1]Sheet1!$C:$C,[1]Sheet1!$E:$E)</f>
        <v>(DCWSL19) #R103 500ml  WATER/WINE TUMBLER, OCEAN/RIO (LSA)</v>
      </c>
      <c r="I112" t="s">
        <v>300</v>
      </c>
    </row>
    <row r="113" spans="1:9">
      <c r="A113" t="str">
        <f>_xlfn.XLOOKUP(C113,[1]Sheet1!$C:$C,[1]Sheet1!$A:$A)</f>
        <v>5344-G1149-15-801</v>
      </c>
      <c r="B113">
        <f>_xlfn.XLOOKUP(C113,[1]Sheet1!$C:$C,[1]Sheet1!$B:$B)</f>
        <v>0</v>
      </c>
      <c r="C113" t="s">
        <v>365</v>
      </c>
      <c r="D113" t="s">
        <v>5</v>
      </c>
      <c r="E113" t="str">
        <f>_xlfn.XLOOKUP(C113,[1]Sheet1!$C:$C,[1]Sheet1!$E:$E)</f>
        <v>(DCWSL19) #R106 500m WATER/WINE TUMBLER, WILLOW/RIO (LSA)</v>
      </c>
      <c r="I113" t="s">
        <v>300</v>
      </c>
    </row>
    <row r="114" spans="1:9">
      <c r="A114" t="str">
        <f>_xlfn.XLOOKUP(C114,[1]Sheet1!$C:$C,[1]Sheet1!$A:$A)</f>
        <v>5344-G1159-14-301</v>
      </c>
      <c r="B114" t="str">
        <f>_xlfn.XLOOKUP(C114,[1]Sheet1!$C:$C,[1]Sheet1!$B:$B)</f>
        <v>VI07</v>
      </c>
      <c r="C114" t="s">
        <v>368</v>
      </c>
      <c r="D114" t="s">
        <v>5</v>
      </c>
      <c r="E114" t="str">
        <f>_xlfn.XLOOKUP(C114,[1]Sheet1!$C:$C,[1]Sheet1!$E:$E)</f>
        <v>(DCWSL21)  #VI07 DIA14xH16.5cm VIENNA DOME, CLEAR (LSA) 4PCS/CTN</v>
      </c>
      <c r="I114" t="s">
        <v>300</v>
      </c>
    </row>
    <row r="115" spans="1:9">
      <c r="A115" t="str">
        <f>_xlfn.XLOOKUP(C115,[1]Sheet1!$C:$C,[1]Sheet1!$A:$A)</f>
        <v>5344-G1160-22-301</v>
      </c>
      <c r="B115" t="str">
        <f>_xlfn.XLOOKUP(C115,[1]Sheet1!$C:$C,[1]Sheet1!$B:$B)</f>
        <v>G1160-22-301</v>
      </c>
      <c r="C115" t="s">
        <v>370</v>
      </c>
      <c r="D115" t="s">
        <v>5</v>
      </c>
      <c r="E115" t="str">
        <f>_xlfn.XLOOKUP(C115,[1]Sheet1!$C:$C,[1]Sheet1!$E:$E)</f>
        <v>(*DC24)#VI08 DIA22.5xH18cm VIENNA DOME, CLEAR (LSA) 2PCS/CTN</v>
      </c>
      <c r="I115" t="s">
        <v>300</v>
      </c>
    </row>
    <row r="116" spans="1:9">
      <c r="A116" t="str">
        <f>_xlfn.XLOOKUP(C116,[1]Sheet1!$C:$C,[1]Sheet1!$A:$A)</f>
        <v>5344-G1160-30-301</v>
      </c>
      <c r="B116" t="str">
        <f>_xlfn.XLOOKUP(C116,[1]Sheet1!$C:$C,[1]Sheet1!$B:$B)</f>
        <v>VI09</v>
      </c>
      <c r="C116" t="s">
        <v>371</v>
      </c>
      <c r="D116" t="s">
        <v>5</v>
      </c>
      <c r="E116" t="str">
        <f>_xlfn.XLOOKUP(C116,[1]Sheet1!$C:$C,[1]Sheet1!$E:$E)</f>
        <v>(DCWSL21)  #VI09 DIA30xH21cm VIENNA DOME, CLEAR (LSA) 2PCS/CTN</v>
      </c>
      <c r="I116" t="s">
        <v>300</v>
      </c>
    </row>
    <row r="117" spans="1:9">
      <c r="A117" t="str">
        <f>_xlfn.XLOOKUP(C117,[1]Sheet1!$C:$C,[1]Sheet1!$A:$A)</f>
        <v>5344-G1161-16-359</v>
      </c>
      <c r="B117" t="str">
        <f>_xlfn.XLOOKUP(C117,[1]Sheet1!$C:$C,[1]Sheet1!$B:$B)</f>
        <v>PZ34</v>
      </c>
      <c r="C117" t="s">
        <v>372</v>
      </c>
      <c r="D117" t="s">
        <v>5</v>
      </c>
      <c r="E117" t="str">
        <f>_xlfn.XLOOKUP(C117,[1]Sheet1!$C:$C,[1]Sheet1!$E:$E)</f>
        <v>(DCWSL21)  (IDMOQ2) #PZ34 DIA18xH16cm GLASS VASE, PLATINUM/POLKA (LSA) 2PCS/CTN</v>
      </c>
      <c r="I117" t="s">
        <v>300</v>
      </c>
    </row>
    <row r="118" spans="1:9">
      <c r="A118" t="str">
        <f>_xlfn.XLOOKUP(C118,[1]Sheet1!$C:$C,[1]Sheet1!$A:$A)</f>
        <v>5344-G1173-22-988</v>
      </c>
      <c r="B118" t="str">
        <f>_xlfn.XLOOKUP(C118,[1]Sheet1!$C:$C,[1]Sheet1!$B:$B)</f>
        <v>MZ27</v>
      </c>
      <c r="C118" t="s">
        <v>374</v>
      </c>
      <c r="D118" t="s">
        <v>5</v>
      </c>
      <c r="E118" t="str">
        <f>_xlfn.XLOOKUP(C118,[1]Sheet1!$C:$C,[1]Sheet1!$E:$E)</f>
        <v>(DCWSL21)  #MZ27 23.5/22cmxH17.5cm DOME &amp; OAK BASE ,RECYCLED PART OPTIC, MIA (LSA)</v>
      </c>
      <c r="I118" t="s">
        <v>300</v>
      </c>
    </row>
    <row r="119" spans="1:9">
      <c r="A119" t="str">
        <f>_xlfn.XLOOKUP(C119,[1]Sheet1!$C:$C,[1]Sheet1!$A:$A)</f>
        <v>5344-G1182-09-301</v>
      </c>
      <c r="B119" t="str">
        <f>_xlfn.XLOOKUP(C119,[1]Sheet1!$C:$C,[1]Sheet1!$B:$B)</f>
        <v>G1182-09-301</v>
      </c>
      <c r="C119" t="s">
        <v>376</v>
      </c>
      <c r="D119" t="s">
        <v>5</v>
      </c>
      <c r="E119" t="str">
        <f>_xlfn.XLOOKUP(C119,[1]Sheet1!$C:$C,[1]Sheet1!$E:$E)</f>
        <v>(IDMOQ3PCS) #HS03, DIA15cm CLEAR BOWL, HOST (LSA) 1PC/CTN</v>
      </c>
      <c r="I119" t="s">
        <v>56</v>
      </c>
    </row>
    <row r="120" spans="1:9">
      <c r="A120" t="str">
        <f>_xlfn.XLOOKUP(C120,[1]Sheet1!$C:$C,[1]Sheet1!$A:$A)</f>
        <v>5344-G1182-09-358A</v>
      </c>
      <c r="B120">
        <f>_xlfn.XLOOKUP(C120,[1]Sheet1!$C:$C,[1]Sheet1!$B:$B)</f>
        <v>0</v>
      </c>
      <c r="C120" t="s">
        <v>378</v>
      </c>
      <c r="D120" t="s">
        <v>5</v>
      </c>
      <c r="E120" t="str">
        <f>_xlfn.XLOOKUP(C120,[1]Sheet1!$C:$C,[1]Sheet1!$E:$E)</f>
        <v>(DCWSL19) #HS12 DIA9.5xH5.5cm BOWL 50TH YR EDITION, GOLD/HOST (LSA)</v>
      </c>
      <c r="I120" t="s">
        <v>300</v>
      </c>
    </row>
    <row r="121" spans="1:9">
      <c r="A121" t="str">
        <f>_xlfn.XLOOKUP(C121,[1]Sheet1!$C:$C,[1]Sheet1!$A:$A)</f>
        <v>5344-G1182-09-359</v>
      </c>
      <c r="B121" t="str">
        <f>_xlfn.XLOOKUP(C121,[1]Sheet1!$C:$C,[1]Sheet1!$B:$B)</f>
        <v>HS20</v>
      </c>
      <c r="C121" t="s">
        <v>379</v>
      </c>
      <c r="D121" t="s">
        <v>5</v>
      </c>
      <c r="E121" t="str">
        <f>_xlfn.XLOOKUP(C121,[1]Sheet1!$C:$C,[1]Sheet1!$E:$E)</f>
        <v>(IDMOQ4PCS) #HS20, DIA9.5cm PLATINUM BOWL, HOST (LSA) 1PC/CTN</v>
      </c>
      <c r="I121" t="s">
        <v>300</v>
      </c>
    </row>
    <row r="122" spans="1:9">
      <c r="A122" t="str">
        <f>_xlfn.XLOOKUP(C122,[1]Sheet1!$C:$C,[1]Sheet1!$A:$A)</f>
        <v>5344-G1182-09-391A</v>
      </c>
      <c r="B122">
        <f>_xlfn.XLOOKUP(C122,[1]Sheet1!$C:$C,[1]Sheet1!$B:$B)</f>
        <v>0</v>
      </c>
      <c r="C122" t="s">
        <v>381</v>
      </c>
      <c r="D122" t="s">
        <v>5</v>
      </c>
      <c r="E122" t="str">
        <f>_xlfn.XLOOKUP(C122,[1]Sheet1!$C:$C,[1]Sheet1!$E:$E)</f>
        <v>(DCWSL19) #HS16 DIA9.5xH5.5cm BOWL 50TH YR EDITION, WHITE/HOST (LSA)</v>
      </c>
      <c r="I122" t="s">
        <v>300</v>
      </c>
    </row>
    <row r="123" spans="1:9">
      <c r="A123" t="str">
        <f>_xlfn.XLOOKUP(C123,[1]Sheet1!$C:$C,[1]Sheet1!$A:$A)</f>
        <v>5344-G1182-15-358</v>
      </c>
      <c r="B123" t="str">
        <f>_xlfn.XLOOKUP(C123,[1]Sheet1!$C:$C,[1]Sheet1!$B:$B)</f>
        <v>G1182-15-358</v>
      </c>
      <c r="C123" t="s">
        <v>382</v>
      </c>
      <c r="D123" t="s">
        <v>5</v>
      </c>
      <c r="E123" t="str">
        <f>_xlfn.XLOOKUP(C123,[1]Sheet1!$C:$C,[1]Sheet1!$E:$E)</f>
        <v>(ID) LSA, G1182-15-358, HOST BOWL Ø15CM GOLD</v>
      </c>
      <c r="I123" t="s">
        <v>300</v>
      </c>
    </row>
    <row r="124" spans="1:9">
      <c r="A124" t="str">
        <f>_xlfn.XLOOKUP(C124,[1]Sheet1!$C:$C,[1]Sheet1!$A:$A)</f>
        <v>5344-G1213-09-301</v>
      </c>
      <c r="B124" t="str">
        <f>_xlfn.XLOOKUP(C124,[1]Sheet1!$C:$C,[1]Sheet1!$B:$B)</f>
        <v>G1213-09-301</v>
      </c>
      <c r="C124" t="s">
        <v>383</v>
      </c>
      <c r="D124" t="s">
        <v>5</v>
      </c>
      <c r="E124" t="str">
        <f>_xlfn.XLOOKUP(C124,[1]Sheet1!$C:$C,[1]Sheet1!$E:$E)</f>
        <v>(*PX/PC,SELL BY SET)#WH04 H10xW6.5cm, 250ml WHISKY TUMBLER W/WALNUT COASTER, ISLAY (LSA)(3/CTN) (SELL BY SET)</v>
      </c>
      <c r="I124" t="s">
        <v>300</v>
      </c>
    </row>
    <row r="125" spans="1:9">
      <c r="A125" t="str">
        <f>_xlfn.XLOOKUP(C125,[1]Sheet1!$C:$C,[1]Sheet1!$A:$A)</f>
        <v>5344-G1218-36-301</v>
      </c>
      <c r="B125" t="str">
        <f>_xlfn.XLOOKUP(C125,[1]Sheet1!$C:$C,[1]Sheet1!$B:$B)</f>
        <v>WH01</v>
      </c>
      <c r="C125" t="s">
        <v>385</v>
      </c>
      <c r="D125" t="s">
        <v>5</v>
      </c>
      <c r="E125" t="str">
        <f>_xlfn.XLOOKUP(C125,[1]Sheet1!$C:$C,[1]Sheet1!$E:$E)</f>
        <v>(WSL19) #WH01 H25xW13.5cm, 1.0ltr WHISKY DECANTER W/WALNUT BASE, ARRAN (LSA) 2PCS/CTN</v>
      </c>
      <c r="I125" t="s">
        <v>300</v>
      </c>
    </row>
    <row r="126" spans="1:9">
      <c r="A126" t="str">
        <f>_xlfn.XLOOKUP(C126,[1]Sheet1!$C:$C,[1]Sheet1!$A:$A)</f>
        <v>5344-G1236-71-301</v>
      </c>
      <c r="B126">
        <f>_xlfn.XLOOKUP(C126,[1]Sheet1!$C:$C,[1]Sheet1!$B:$B)</f>
        <v>0</v>
      </c>
      <c r="C126" t="s">
        <v>387</v>
      </c>
      <c r="D126" t="s">
        <v>5</v>
      </c>
      <c r="E126" t="str">
        <f>_xlfn.XLOOKUP(C126,[1]Sheet1!$C:$C,[1]Sheet1!$E:$E)</f>
        <v>(DCWSL19) #CG12 H30cm, 2.0ltr BAR JUG &amp; STIRRER, CLEAR/CITY (LSA) 1PC/CTN</v>
      </c>
      <c r="I126" t="s">
        <v>300</v>
      </c>
    </row>
    <row r="127" spans="1:9">
      <c r="A127" t="str">
        <f>_xlfn.XLOOKUP(C127,[1]Sheet1!$C:$C,[1]Sheet1!$A:$A)</f>
        <v>5344-G1239-13-301</v>
      </c>
      <c r="B127" t="str">
        <f>_xlfn.XLOOKUP(C127,[1]Sheet1!$C:$C,[1]Sheet1!$B:$B)</f>
        <v>CJ01</v>
      </c>
      <c r="C127" t="s">
        <v>389</v>
      </c>
      <c r="D127" t="s">
        <v>5</v>
      </c>
      <c r="E127" t="str">
        <f>_xlfn.XLOOKUP(C127,[1]Sheet1!$C:$C,[1]Sheet1!$E:$E)</f>
        <v>(DC25) #CJ01 DIA13xH10.5cm BOWL &amp; WALNUT LID, CLEAR/CITY (LSA) 4PCS/CTN</v>
      </c>
      <c r="I127" t="s">
        <v>300</v>
      </c>
    </row>
    <row r="128" spans="1:9">
      <c r="A128" t="str">
        <f>_xlfn.XLOOKUP(C128,[1]Sheet1!$C:$C,[1]Sheet1!$A:$A)</f>
        <v>5344-G1239-21-301</v>
      </c>
      <c r="B128" t="str">
        <f>_xlfn.XLOOKUP(C128,[1]Sheet1!$C:$C,[1]Sheet1!$B:$B)</f>
        <v>G1239-21-301</v>
      </c>
      <c r="C128" t="s">
        <v>391</v>
      </c>
      <c r="D128" t="s">
        <v>5</v>
      </c>
      <c r="E128" t="str">
        <f>_xlfn.XLOOKUP(C128,[1]Sheet1!$C:$C,[1]Sheet1!$E:$E)</f>
        <v>#CJ02 DIA22xH19cm BOWL &amp; WALNUT LID, CLEAR/CITY (LSA)</v>
      </c>
      <c r="I128" t="s">
        <v>300</v>
      </c>
    </row>
    <row r="129" spans="1:9">
      <c r="A129" t="str">
        <f>_xlfn.XLOOKUP(C129,[1]Sheet1!$C:$C,[1]Sheet1!$A:$A)</f>
        <v>5344-G1240-13-301</v>
      </c>
      <c r="B129" t="str">
        <f>_xlfn.XLOOKUP(C129,[1]Sheet1!$C:$C,[1]Sheet1!$B:$B)</f>
        <v>CJ04</v>
      </c>
      <c r="C129" t="s">
        <v>393</v>
      </c>
      <c r="D129" t="s">
        <v>5</v>
      </c>
      <c r="E129" t="str">
        <f>_xlfn.XLOOKUP(C129,[1]Sheet1!$C:$C,[1]Sheet1!$E:$E)</f>
        <v>(DCWSL21)  #CJ04 DIA13xH11cm DOME &amp; WALNUT BASE, CLEAR/CITY (LSA)</v>
      </c>
      <c r="I129" t="s">
        <v>300</v>
      </c>
    </row>
    <row r="130" spans="1:9">
      <c r="A130" t="str">
        <f>_xlfn.XLOOKUP(C130,[1]Sheet1!$C:$C,[1]Sheet1!$A:$A)</f>
        <v>5344-G1240-22-301</v>
      </c>
      <c r="B130" t="str">
        <f>_xlfn.XLOOKUP(C130,[1]Sheet1!$C:$C,[1]Sheet1!$B:$B)</f>
        <v>G1240-22-301</v>
      </c>
      <c r="C130" t="s">
        <v>395</v>
      </c>
      <c r="D130" t="s">
        <v>5</v>
      </c>
      <c r="E130" t="str">
        <f>_xlfn.XLOOKUP(C130,[1]Sheet1!$C:$C,[1]Sheet1!$E:$E)</f>
        <v>LSA #CJ05 Ø22xH22cm CITY DOME &amp; WALNUT BASE CLEAR</v>
      </c>
      <c r="I130" t="s">
        <v>300</v>
      </c>
    </row>
    <row r="131" spans="1:9">
      <c r="A131" t="str">
        <f>_xlfn.XLOOKUP(C131,[1]Sheet1!$C:$C,[1]Sheet1!$A:$A)</f>
        <v>5344-G1242-00-301</v>
      </c>
      <c r="B131">
        <f>_xlfn.XLOOKUP(C131,[1]Sheet1!$C:$C,[1]Sheet1!$B:$B)</f>
        <v>0</v>
      </c>
      <c r="C131" t="s">
        <v>396</v>
      </c>
      <c r="D131" t="s">
        <v>5</v>
      </c>
      <c r="E131" t="str">
        <f>_xlfn.XLOOKUP(C131,[1]Sheet1!$C:$C,[1]Sheet1!$E:$E)</f>
        <v>(DCWSL19) #IV08 DIA24.5xH26.5cm PUNCH BOWL SET W/ASH LID DIA23cm, CLEAR/IVALO (LSA)</v>
      </c>
      <c r="I131" t="s">
        <v>300</v>
      </c>
    </row>
    <row r="132" spans="1:9">
      <c r="A132" t="str">
        <f>_xlfn.XLOOKUP(C132,[1]Sheet1!$C:$C,[1]Sheet1!$A:$A)</f>
        <v>5344-G1284-11-301</v>
      </c>
      <c r="B132" t="str">
        <f>_xlfn.XLOOKUP(C132,[1]Sheet1!$C:$C,[1]Sheet1!$B:$B)</f>
        <v>OF03</v>
      </c>
      <c r="C132" t="s">
        <v>398</v>
      </c>
      <c r="D132" t="s">
        <v>5</v>
      </c>
      <c r="E132" t="str">
        <f>_xlfn.XLOOKUP(C132,[1]Sheet1!$C:$C,[1]Sheet1!$E:$E)</f>
        <v>(WSL19)(PX/PC, SELL IN BOX OF 4PCS) H8.5xW6.5cm, 310ml RED WINE GLASS, CLEAR/OTIS (LSA) (4/SET) (SELL BY SET)</v>
      </c>
      <c r="I132" t="s">
        <v>300</v>
      </c>
    </row>
    <row r="133" spans="1:9">
      <c r="A133" t="str">
        <f>_xlfn.XLOOKUP(C133,[1]Sheet1!$C:$C,[1]Sheet1!$A:$A)</f>
        <v>5344-G1285-22-301</v>
      </c>
      <c r="B133">
        <f>_xlfn.XLOOKUP(C133,[1]Sheet1!$C:$C,[1]Sheet1!$B:$B)</f>
        <v>0</v>
      </c>
      <c r="C133" t="s">
        <v>400</v>
      </c>
      <c r="D133" t="s">
        <v>5</v>
      </c>
      <c r="E133" t="str">
        <f>_xlfn.XLOOKUP(C133,[1]Sheet1!$C:$C,[1]Sheet1!$E:$E)</f>
        <v>(DCWSL19) #CM04 H22xW25.5xD15.5cm CHAMPAGNE BUCKET, CLEAR/CELEBRATE (LSA)</v>
      </c>
      <c r="I133" t="s">
        <v>300</v>
      </c>
    </row>
    <row r="134" spans="1:9">
      <c r="A134" t="str">
        <f>_xlfn.XLOOKUP(C134,[1]Sheet1!$C:$C,[1]Sheet1!$A:$A)</f>
        <v>5344-G1285-27-301</v>
      </c>
      <c r="B134" t="str">
        <f>_xlfn.XLOOKUP(C134,[1]Sheet1!$C:$C,[1]Sheet1!$B:$B)</f>
        <v>G1285-27-301</v>
      </c>
      <c r="C134" t="s">
        <v>402</v>
      </c>
      <c r="D134" t="s">
        <v>5</v>
      </c>
      <c r="E134" t="str">
        <f>_xlfn.XLOOKUP(C134,[1]Sheet1!$C:$C,[1]Sheet1!$E:$E)</f>
        <v>(WSL19) #CM05 H27xW29xD16cm DUAL CHAMPAGNE BUCKET, CLEAR/CELEBRATE (LSA)</v>
      </c>
      <c r="I134" t="s">
        <v>300</v>
      </c>
    </row>
    <row r="135" spans="1:9">
      <c r="A135" t="str">
        <f>_xlfn.XLOOKUP(C135,[1]Sheet1!$C:$C,[1]Sheet1!$A:$A)</f>
        <v>5344-G1291-12-301</v>
      </c>
      <c r="B135" t="str">
        <f>_xlfn.XLOOKUP(C135,[1]Sheet1!$C:$C,[1]Sheet1!$B:$B)</f>
        <v>CU12</v>
      </c>
      <c r="C135" t="s">
        <v>404</v>
      </c>
      <c r="D135" t="s">
        <v>5</v>
      </c>
      <c r="E135" t="str">
        <f>_xlfn.XLOOKUP(C135,[1]Sheet1!$C:$C,[1]Sheet1!$E:$E)</f>
        <v>(DCWSL19) #CU12 DIA22xH24.5cm BOWL W/ASH HDL, CLEAR/CIRCLE (LSA)</v>
      </c>
      <c r="I135" t="s">
        <v>300</v>
      </c>
    </row>
    <row r="136" spans="1:9">
      <c r="A136" t="str">
        <f>_xlfn.XLOOKUP(C136,[1]Sheet1!$C:$C,[1]Sheet1!$A:$A)</f>
        <v>5344-G1291-16-301</v>
      </c>
      <c r="B136" t="str">
        <f>_xlfn.XLOOKUP(C136,[1]Sheet1!$C:$C,[1]Sheet1!$B:$B)</f>
        <v>CU13</v>
      </c>
      <c r="C136" t="s">
        <v>406</v>
      </c>
      <c r="D136" t="s">
        <v>5</v>
      </c>
      <c r="E136" t="str">
        <f>_xlfn.XLOOKUP(C136,[1]Sheet1!$C:$C,[1]Sheet1!$E:$E)</f>
        <v>(DCWSL21)  #CU13 DIA24xH14.5cm CONTAINER W/ASH HDL, CLEAR/CIRCLE (LSA)</v>
      </c>
      <c r="I136" t="s">
        <v>300</v>
      </c>
    </row>
    <row r="137" spans="1:9">
      <c r="A137" t="str">
        <f>_xlfn.XLOOKUP(C137,[1]Sheet1!$C:$C,[1]Sheet1!$A:$A)</f>
        <v>5344-G1293-13-301</v>
      </c>
      <c r="B137" t="str">
        <f>_xlfn.XLOOKUP(C137,[1]Sheet1!$C:$C,[1]Sheet1!$B:$B)</f>
        <v>UT01</v>
      </c>
      <c r="C137" t="s">
        <v>408</v>
      </c>
      <c r="D137" t="s">
        <v>5</v>
      </c>
      <c r="E137" t="str">
        <f>_xlfn.XLOOKUP(C137,[1]Sheet1!$C:$C,[1]Sheet1!$E:$E)</f>
        <v>(DCWSL19)(ID-MOQ:4) #UT01 18.5cm UTILITY POT &amp; LEATHER HDL, CLEAR (LSA)</v>
      </c>
      <c r="I137" t="s">
        <v>300</v>
      </c>
    </row>
    <row r="138" spans="1:9">
      <c r="A138" t="str">
        <f>_xlfn.XLOOKUP(C138,[1]Sheet1!$C:$C,[1]Sheet1!$A:$A)</f>
        <v>5344-G1326-27-301</v>
      </c>
      <c r="B138" t="str">
        <f>_xlfn.XLOOKUP(C138,[1]Sheet1!$C:$C,[1]Sheet1!$B:$B)</f>
        <v>UT79</v>
      </c>
      <c r="C138" t="s">
        <v>410</v>
      </c>
      <c r="D138" t="s">
        <v>5</v>
      </c>
      <c r="E138" t="str">
        <f>_xlfn.XLOOKUP(C138,[1]Sheet1!$C:$C,[1]Sheet1!$E:$E)</f>
        <v>(IDMOQ2PCS) #UT79, DIA27cm CLEAR BOWL &amp; ASH SERVERS, UTILITY (LSA) 1PC/CTN</v>
      </c>
      <c r="I138" t="s">
        <v>300</v>
      </c>
    </row>
    <row r="139" spans="1:9">
      <c r="A139" t="str">
        <f>_xlfn.XLOOKUP(C139,[1]Sheet1!$C:$C,[1]Sheet1!$A:$A)</f>
        <v>5344-G136-31-301</v>
      </c>
      <c r="B139" t="str">
        <f>_xlfn.XLOOKUP(C139,[1]Sheet1!$C:$C,[1]Sheet1!$B:$B)</f>
        <v>OO02</v>
      </c>
      <c r="C139" t="s">
        <v>412</v>
      </c>
      <c r="D139" t="s">
        <v>5</v>
      </c>
      <c r="E139" t="str">
        <f>_xlfn.XLOOKUP(C139,[1]Sheet1!$C:$C,[1]Sheet1!$E:$E)</f>
        <v>(DCWSL21)  #OO02 0.88ltr GLASS DECANTER, CLEAR/ONO (LSA)</v>
      </c>
      <c r="I139" t="s">
        <v>300</v>
      </c>
    </row>
    <row r="140" spans="1:9">
      <c r="A140" t="str">
        <f>_xlfn.XLOOKUP(C140,[1]Sheet1!$C:$C,[1]Sheet1!$A:$A)</f>
        <v>5344-G1367-08-301</v>
      </c>
      <c r="B140">
        <f>_xlfn.XLOOKUP(C140,[1]Sheet1!$C:$C,[1]Sheet1!$B:$B)</f>
        <v>0</v>
      </c>
      <c r="C140" t="s">
        <v>414</v>
      </c>
      <c r="D140" t="s">
        <v>5</v>
      </c>
      <c r="E140" t="str">
        <f>_xlfn.XLOOKUP(C140,[1]Sheet1!$C:$C,[1]Sheet1!$E:$E)</f>
        <v>(DCWSL19) #CV01 DIA8xH6.5cm CONTAINER W/ASH LID, CLEAR/CONNECT (LSA)</v>
      </c>
      <c r="I140" t="s">
        <v>300</v>
      </c>
    </row>
    <row r="141" spans="1:9">
      <c r="A141" t="str">
        <f>_xlfn.XLOOKUP(C141,[1]Sheet1!$C:$C,[1]Sheet1!$A:$A)</f>
        <v>5344-G1369-20-985</v>
      </c>
      <c r="B141" t="str">
        <f>_xlfn.XLOOKUP(C141,[1]Sheet1!$C:$C,[1]Sheet1!$B:$B)</f>
        <v>G1369-20-985</v>
      </c>
      <c r="C141" t="s">
        <v>416</v>
      </c>
      <c r="D141" t="s">
        <v>5</v>
      </c>
      <c r="E141" t="str">
        <f>_xlfn.XLOOKUP(C141,[1]Sheet1!$C:$C,[1]Sheet1!$E:$E)</f>
        <v>550ml BALLON WINE GLASS, CLEAR/MOYA (LSA) 2PCS/SET (SELL BY SET)</v>
      </c>
      <c r="I141" t="s">
        <v>300</v>
      </c>
    </row>
    <row r="142" spans="1:9">
      <c r="A142" t="str">
        <f>_xlfn.XLOOKUP(C142,[1]Sheet1!$C:$C,[1]Sheet1!$A:$A)</f>
        <v>5344-G1389-15-759</v>
      </c>
      <c r="B142" t="str">
        <f>_xlfn.XLOOKUP(C142,[1]Sheet1!$C:$C,[1]Sheet1!$B:$B)</f>
        <v>G1389-15-759</v>
      </c>
      <c r="C142" t="s">
        <v>418</v>
      </c>
      <c r="D142" t="s">
        <v>5</v>
      </c>
      <c r="E142" t="str">
        <f>_xlfn.XLOOKUP(C142,[1]Sheet1!$C:$C,[1]Sheet1!$E:$E)</f>
        <v>(DC25) (IDMOQ6PCS) #GN12, 420ml GIN BALLOON GLASS, COPPER (LSA) 2PCS/SET</v>
      </c>
      <c r="I142" t="s">
        <v>300</v>
      </c>
    </row>
    <row r="143" spans="1:9">
      <c r="A143" t="str">
        <f>_xlfn.XLOOKUP(C143,[1]Sheet1!$C:$C,[1]Sheet1!$A:$A)</f>
        <v>5344-G1437-80-301</v>
      </c>
      <c r="B143" t="str">
        <f>_xlfn.XLOOKUP(C143,[1]Sheet1!$C:$C,[1]Sheet1!$B:$B)</f>
        <v>G1437-80-301</v>
      </c>
      <c r="C143" t="s">
        <v>420</v>
      </c>
      <c r="D143" t="s">
        <v>5</v>
      </c>
      <c r="E143" t="str">
        <f>_xlfn.XLOOKUP(C143,[1]Sheet1!$C:$C,[1]Sheet1!$E:$E)</f>
        <v>(MOQ:4) LSA #OO14, 2.25L ONO JUG CLEAR (6PCS/CTN)</v>
      </c>
      <c r="I143" t="s">
        <v>300</v>
      </c>
    </row>
    <row r="144" spans="1:9">
      <c r="A144" t="str">
        <f>_xlfn.XLOOKUP(C144,[1]Sheet1!$C:$C,[1]Sheet1!$A:$A)</f>
        <v>5344-G1551-19-610</v>
      </c>
      <c r="B144" t="str">
        <f>_xlfn.XLOOKUP(C144,[1]Sheet1!$C:$C,[1]Sheet1!$B:$B)</f>
        <v>G1551-19-610</v>
      </c>
      <c r="C144" t="s">
        <v>422</v>
      </c>
      <c r="D144" t="s">
        <v>5</v>
      </c>
      <c r="E144" t="str">
        <f>_xlfn.XLOOKUP(C144,[1]Sheet1!$C:$C,[1]Sheet1!$E:$E)</f>
        <v>(IDPOA) LSA H19cm UTILITY VASE, SAPPHIRE</v>
      </c>
      <c r="I144" t="s">
        <v>300</v>
      </c>
    </row>
    <row r="145" spans="1:9">
      <c r="A145" t="str">
        <f>_xlfn.XLOOKUP(C145,[1]Sheet1!$C:$C,[1]Sheet1!$A:$A)</f>
        <v>5344-G1551-19-835</v>
      </c>
      <c r="B145" t="str">
        <f>_xlfn.XLOOKUP(C145,[1]Sheet1!$C:$C,[1]Sheet1!$B:$B)</f>
        <v>G1551-19-835</v>
      </c>
      <c r="C145" t="s">
        <v>424</v>
      </c>
      <c r="D145" t="s">
        <v>5</v>
      </c>
      <c r="E145" t="str">
        <f>_xlfn.XLOOKUP(C145,[1]Sheet1!$C:$C,[1]Sheet1!$E:$E)</f>
        <v>(IDPOA) LSA H19cm UTILITY VASE, AMBER</v>
      </c>
      <c r="I145" t="s">
        <v>300</v>
      </c>
    </row>
    <row r="146" spans="1:9">
      <c r="A146" t="str">
        <f>_xlfn.XLOOKUP(C146,[1]Sheet1!$C:$C,[1]Sheet1!$A:$A)</f>
        <v>5344-G1563-14-301</v>
      </c>
      <c r="B146" t="str">
        <f>_xlfn.XLOOKUP(C146,[1]Sheet1!$C:$C,[1]Sheet1!$B:$B)</f>
        <v>G1563-14-301</v>
      </c>
      <c r="C146" t="s">
        <v>426</v>
      </c>
      <c r="D146" t="s">
        <v>5</v>
      </c>
      <c r="E146" t="str">
        <f>_xlfn.XLOOKUP(C146,[1]Sheet1!$C:$C,[1]Sheet1!$E:$E)</f>
        <v>(IDMOQ12PCS) #RU01, 10x10xH10.5cm, 380ml BALLOON TUMBLER, CLEAR, RUM (LSA) 2PCS/SET</v>
      </c>
      <c r="I146" t="s">
        <v>300</v>
      </c>
    </row>
    <row r="147" spans="1:9">
      <c r="A147" t="str">
        <f>_xlfn.XLOOKUP(C147,[1]Sheet1!$C:$C,[1]Sheet1!$A:$A)</f>
        <v>5344-G1592-26-991</v>
      </c>
      <c r="B147" t="str">
        <f>_xlfn.XLOOKUP(C147,[1]Sheet1!$C:$C,[1]Sheet1!$B:$B)</f>
        <v>SZ58</v>
      </c>
      <c r="C147" t="s">
        <v>428</v>
      </c>
      <c r="D147" t="s">
        <v>5</v>
      </c>
      <c r="E147" t="str">
        <f>_xlfn.XLOOKUP(C147,[1]Sheet1!$C:$C,[1]Sheet1!$E:$E)</f>
        <v>(IDMOQ3PCS) #SZ58, DIA26cm CLEAR ARCH BOWL, SERVE (LSA) 1PC/CTN</v>
      </c>
      <c r="I147" t="s">
        <v>300</v>
      </c>
    </row>
    <row r="148" spans="1:9">
      <c r="A148" t="str">
        <f>_xlfn.XLOOKUP(C148,[1]Sheet1!$C:$C,[1]Sheet1!$A:$A)</f>
        <v>5344-G1592-30-991</v>
      </c>
      <c r="B148" t="str">
        <f>_xlfn.XLOOKUP(C148,[1]Sheet1!$C:$C,[1]Sheet1!$B:$B)</f>
        <v>SZ59</v>
      </c>
      <c r="C148" t="s">
        <v>430</v>
      </c>
      <c r="D148" t="s">
        <v>5</v>
      </c>
      <c r="E148" t="str">
        <f>_xlfn.XLOOKUP(C148,[1]Sheet1!$C:$C,[1]Sheet1!$E:$E)</f>
        <v>(IDMOQ3PCS) #SZ59, DIA30cm CLEAR ARCH BOWL, SERVE (LSA) 1PC/CTN</v>
      </c>
      <c r="I148" t="s">
        <v>300</v>
      </c>
    </row>
    <row r="149" spans="1:9">
      <c r="A149" t="str">
        <f>_xlfn.XLOOKUP(C149,[1]Sheet1!$C:$C,[1]Sheet1!$A:$A)</f>
        <v>5344-G1618-16-301</v>
      </c>
      <c r="B149" t="str">
        <f>_xlfn.XLOOKUP(C149,[1]Sheet1!$C:$C,[1]Sheet1!$B:$B)</f>
        <v>G1618-16-301</v>
      </c>
      <c r="C149" t="s">
        <v>432</v>
      </c>
      <c r="D149" t="s">
        <v>5</v>
      </c>
      <c r="E149" t="str">
        <f>_xlfn.XLOOKUP(C149,[1]Sheet1!$C:$C,[1]Sheet1!$E:$E)</f>
        <v>(IDMOQ24PCS) #BG06, 440ml PILSNER GLASS, CLEAR, BOROUGH (LSA) 4PCS/SET</v>
      </c>
      <c r="I149" t="s">
        <v>300</v>
      </c>
    </row>
    <row r="150" spans="1:9">
      <c r="A150" t="str">
        <f>_xlfn.XLOOKUP(C150,[1]Sheet1!$C:$C,[1]Sheet1!$A:$A)</f>
        <v>5344-G1633-25-301</v>
      </c>
      <c r="B150" t="str">
        <f>_xlfn.XLOOKUP(C150,[1]Sheet1!$C:$C,[1]Sheet1!$B:$B)</f>
        <v>G1633-25-301</v>
      </c>
      <c r="C150" t="s">
        <v>434</v>
      </c>
      <c r="D150" t="s">
        <v>5</v>
      </c>
      <c r="E150" t="str">
        <f>_xlfn.XLOOKUP(C150,[1]Sheet1!$C:$C,[1]Sheet1!$E:$E)</f>
        <v>LSA G1633-25-301 #LW30 LOTTA PEDESTRAL BOWL CLEAR &amp; ASH BASE DIAØ25cm, 2'S/CTN (IDPOA)</v>
      </c>
      <c r="I150" t="s">
        <v>300</v>
      </c>
    </row>
    <row r="151" spans="1:9">
      <c r="A151" t="str">
        <f>_xlfn.XLOOKUP(C151,[1]Sheet1!$C:$C,[1]Sheet1!$A:$A)</f>
        <v>5344-G1635-02-301</v>
      </c>
      <c r="B151" t="str">
        <f>_xlfn.XLOOKUP(C151,[1]Sheet1!$C:$C,[1]Sheet1!$B:$B)</f>
        <v>VD01</v>
      </c>
      <c r="C151" t="s">
        <v>436</v>
      </c>
      <c r="D151" t="s">
        <v>5</v>
      </c>
      <c r="E151" t="str">
        <f>_xlfn.XLOOKUP(C151,[1]Sheet1!$C:$C,[1]Sheet1!$E:$E)</f>
        <v>(IDMOQ6SETS) #VD01, 4.5xH12cm, SET OF 2PCS, 50ml SHOT GLASS, CLEAR, VODKA (LSA) 1SET/CTN</v>
      </c>
      <c r="I151" t="s">
        <v>300</v>
      </c>
    </row>
    <row r="152" spans="1:9">
      <c r="A152" t="str">
        <f>_xlfn.XLOOKUP(C152,[1]Sheet1!$C:$C,[1]Sheet1!$A:$A)</f>
        <v>5344-G1655-20-610</v>
      </c>
      <c r="B152" t="str">
        <f>_xlfn.XLOOKUP(C152,[1]Sheet1!$C:$C,[1]Sheet1!$B:$B)</f>
        <v>G1655-20-610</v>
      </c>
      <c r="C152" t="s">
        <v>438</v>
      </c>
      <c r="D152" t="s">
        <v>5</v>
      </c>
      <c r="E152" t="str">
        <f>_xlfn.XLOOKUP(C152,[1]Sheet1!$C:$C,[1]Sheet1!$E:$E)</f>
        <v>LSA #RT09 ROTUNDA VASE H20CM SAPPHIRE (3PCS/CTN)</v>
      </c>
      <c r="I152" t="s">
        <v>300</v>
      </c>
    </row>
    <row r="153" spans="1:9">
      <c r="A153" t="str">
        <f>_xlfn.XLOOKUP(C153,[1]Sheet1!$C:$C,[1]Sheet1!$A:$A)</f>
        <v>5344-G1655-26-610</v>
      </c>
      <c r="B153" t="str">
        <f>_xlfn.XLOOKUP(C153,[1]Sheet1!$C:$C,[1]Sheet1!$B:$B)</f>
        <v>G1655-26-610</v>
      </c>
      <c r="C153" t="s">
        <v>440</v>
      </c>
      <c r="D153" t="s">
        <v>5</v>
      </c>
      <c r="E153" t="str">
        <f>_xlfn.XLOOKUP(C153,[1]Sheet1!$C:$C,[1]Sheet1!$E:$E)</f>
        <v>LSA #RT11 ROTUNDA LANTERN VASE H26CM SAPPHIRE (3PCS/CTN)</v>
      </c>
      <c r="I153" t="s">
        <v>300</v>
      </c>
    </row>
    <row r="154" spans="1:9">
      <c r="A154" t="str">
        <f>_xlfn.XLOOKUP(C154,[1]Sheet1!$C:$C,[1]Sheet1!$A:$A)</f>
        <v>5344-G1655-37-610</v>
      </c>
      <c r="B154" t="str">
        <f>_xlfn.XLOOKUP(C154,[1]Sheet1!$C:$C,[1]Sheet1!$B:$B)</f>
        <v>G1655-37-610</v>
      </c>
      <c r="C154" t="s">
        <v>442</v>
      </c>
      <c r="D154" t="s">
        <v>5</v>
      </c>
      <c r="E154" t="str">
        <f>_xlfn.XLOOKUP(C154,[1]Sheet1!$C:$C,[1]Sheet1!$E:$E)</f>
        <v>(ID) LSA #RT12, ROTUNDA VASE H37CM SAPPHIRE (2PCS/CTN)</v>
      </c>
      <c r="I154" t="s">
        <v>300</v>
      </c>
    </row>
    <row r="155" spans="1:9">
      <c r="A155" t="str">
        <f>_xlfn.XLOOKUP(C155,[1]Sheet1!$C:$C,[1]Sheet1!$A:$A)</f>
        <v>5344-G1662-08-140</v>
      </c>
      <c r="B155" t="str">
        <f>_xlfn.XLOOKUP(C155,[1]Sheet1!$C:$C,[1]Sheet1!$B:$B)</f>
        <v>G1662-08-140</v>
      </c>
      <c r="C155" t="s">
        <v>445</v>
      </c>
      <c r="D155" t="s">
        <v>5</v>
      </c>
      <c r="E155" t="str">
        <f>_xlfn.XLOOKUP(C155,[1]Sheet1!$C:$C,[1]Sheet1!$E:$E)</f>
        <v>LSA, G1662-08-140, EPOQUE TEALIGHT HOLDER H8.5CM SAPPHIRE/LUSTRE (ID)</v>
      </c>
      <c r="I155" t="s">
        <v>300</v>
      </c>
    </row>
    <row r="156" spans="1:9">
      <c r="A156" t="str">
        <f>_xlfn.XLOOKUP(C156,[1]Sheet1!$C:$C,[1]Sheet1!$A:$A)</f>
        <v>5344-G1662-08-142</v>
      </c>
      <c r="B156" t="str">
        <f>_xlfn.XLOOKUP(C156,[1]Sheet1!$C:$C,[1]Sheet1!$B:$B)</f>
        <v>G1662-08-142</v>
      </c>
      <c r="C156" t="s">
        <v>446</v>
      </c>
      <c r="D156" t="s">
        <v>5</v>
      </c>
      <c r="E156" t="str">
        <f>_xlfn.XLOOKUP(C156,[1]Sheet1!$C:$C,[1]Sheet1!$E:$E)</f>
        <v>LSA, G1662-08-142, EPOQUE TEALIGHT HOLDER H8.5CM PEACOCK/LUSTRE (ID)</v>
      </c>
      <c r="I156" t="s">
        <v>300</v>
      </c>
    </row>
    <row r="157" spans="1:9">
      <c r="A157" t="str">
        <f>_xlfn.XLOOKUP(C157,[1]Sheet1!$C:$C,[1]Sheet1!$A:$A)</f>
        <v>5344-G1663-13-141</v>
      </c>
      <c r="B157" t="str">
        <f>_xlfn.XLOOKUP(C157,[1]Sheet1!$C:$C,[1]Sheet1!$B:$B)</f>
        <v>G1663-13-141</v>
      </c>
      <c r="C157" t="s">
        <v>448</v>
      </c>
      <c r="D157" t="s">
        <v>5</v>
      </c>
      <c r="E157" t="str">
        <f>_xlfn.XLOOKUP(C157,[1]Sheet1!$C:$C,[1]Sheet1!$E:$E)</f>
        <v>(DC25) LSA #EQ12, EPOQUE VASE H13.5CM AMBER/LUSTRE 3PCS/CTN</v>
      </c>
      <c r="I157" t="s">
        <v>300</v>
      </c>
    </row>
    <row r="158" spans="1:9">
      <c r="A158" t="str">
        <f>_xlfn.XLOOKUP(C158,[1]Sheet1!$C:$C,[1]Sheet1!$A:$A)</f>
        <v>5344-G1663-18-141</v>
      </c>
      <c r="B158" t="str">
        <f>_xlfn.XLOOKUP(C158,[1]Sheet1!$C:$C,[1]Sheet1!$B:$B)</f>
        <v>G1663-18-141</v>
      </c>
      <c r="C158" t="s">
        <v>451</v>
      </c>
      <c r="D158" t="s">
        <v>5</v>
      </c>
      <c r="E158" t="str">
        <f>_xlfn.XLOOKUP(C158,[1]Sheet1!$C:$C,[1]Sheet1!$E:$E)</f>
        <v>LSA #EQ14, H18cm VASE, AMBER/LUSTRE, EPOQUE 1PC/CTN</v>
      </c>
      <c r="I158" t="s">
        <v>300</v>
      </c>
    </row>
    <row r="159" spans="1:9">
      <c r="A159" t="str">
        <f>_xlfn.XLOOKUP(C159,[1]Sheet1!$C:$C,[1]Sheet1!$A:$A)</f>
        <v>5344- G1663-18-142</v>
      </c>
      <c r="B159" t="str">
        <f>_xlfn.XLOOKUP(C159,[1]Sheet1!$C:$C,[1]Sheet1!$B:$B)</f>
        <v>G1663-18-142</v>
      </c>
      <c r="C159" t="s">
        <v>281</v>
      </c>
      <c r="D159" t="s">
        <v>5</v>
      </c>
      <c r="E159" t="str">
        <f>_xlfn.XLOOKUP(C159,[1]Sheet1!$C:$C,[1]Sheet1!$E:$E)</f>
        <v>LSA, G1663-18-142, EPOQUE VASE H18CM PEACOCK/LUSTRE (ID)</v>
      </c>
      <c r="I159" t="s">
        <v>300</v>
      </c>
    </row>
    <row r="160" spans="1:9">
      <c r="A160" t="str">
        <f>_xlfn.XLOOKUP(C160,[1]Sheet1!$C:$C,[1]Sheet1!$A:$A)</f>
        <v>5344-G1664-30-140</v>
      </c>
      <c r="B160" t="str">
        <f>_xlfn.XLOOKUP(C160,[1]Sheet1!$C:$C,[1]Sheet1!$B:$B)</f>
        <v>G1664-30-140</v>
      </c>
      <c r="C160" t="s">
        <v>453</v>
      </c>
      <c r="D160" t="s">
        <v>5</v>
      </c>
      <c r="E160" t="str">
        <f>_xlfn.XLOOKUP(C160,[1]Sheet1!$C:$C,[1]Sheet1!$E:$E)</f>
        <v>LSA, G1664-30-140, EPOQUE VASE H30CM SAPPHIRE/LUSTRE (ID)</v>
      </c>
      <c r="I160" t="s">
        <v>300</v>
      </c>
    </row>
    <row r="161" spans="1:9">
      <c r="A161" t="str">
        <f>_xlfn.XLOOKUP(C161,[1]Sheet1!$C:$C,[1]Sheet1!$A:$A)</f>
        <v>5344-G1664-48-142</v>
      </c>
      <c r="B161" t="str">
        <f>_xlfn.XLOOKUP(C161,[1]Sheet1!$C:$C,[1]Sheet1!$B:$B)</f>
        <v>G1664-48-142</v>
      </c>
      <c r="C161" t="s">
        <v>455</v>
      </c>
      <c r="D161" t="s">
        <v>5</v>
      </c>
      <c r="E161" t="str">
        <f>_xlfn.XLOOKUP(C161,[1]Sheet1!$C:$C,[1]Sheet1!$E:$E)</f>
        <v>LSA, G1664-48-142, EPOQUE VASE H48CM PEACOCK/LUSTRE (ID)</v>
      </c>
      <c r="I161" t="s">
        <v>300</v>
      </c>
    </row>
    <row r="162" spans="1:9">
      <c r="A162" t="str">
        <f>_xlfn.XLOOKUP(C162,[1]Sheet1!$C:$C,[1]Sheet1!$A:$A)</f>
        <v>5344-G1677-00-301</v>
      </c>
      <c r="B162" t="str">
        <f>_xlfn.XLOOKUP(C162,[1]Sheet1!$C:$C,[1]Sheet1!$B:$B)</f>
        <v>PU03</v>
      </c>
      <c r="C162" t="s">
        <v>457</v>
      </c>
      <c r="D162" t="s">
        <v>5</v>
      </c>
      <c r="E162" t="str">
        <f>_xlfn.XLOOKUP(C162,[1]Sheet1!$C:$C,[1]Sheet1!$E:$E)</f>
        <v>(IDMOQ2SETS) #PU03, L37.5cm PLATEAU DUO SET, CLEAR/ASH/CORK (LSA) 1SET/CTN</v>
      </c>
      <c r="I162" t="s">
        <v>300</v>
      </c>
    </row>
    <row r="163" spans="1:9">
      <c r="A163" t="str">
        <f>_xlfn.XLOOKUP(C163,[1]Sheet1!$C:$C,[1]Sheet1!$A:$A)</f>
        <v>5344-G171-39-992</v>
      </c>
      <c r="B163" t="str">
        <f>_xlfn.XLOOKUP(C163,[1]Sheet1!$C:$C,[1]Sheet1!$B:$B)</f>
        <v>QU03</v>
      </c>
      <c r="C163" t="s">
        <v>459</v>
      </c>
      <c r="D163" t="s">
        <v>5</v>
      </c>
      <c r="E163" t="str">
        <f>_xlfn.XLOOKUP(C163,[1]Sheet1!$C:$C,[1]Sheet1!$E:$E)</f>
        <v>#QU03 1.1ltr GLASS DECANTER, CLEAR/QUAD (LSA)</v>
      </c>
      <c r="I163" t="s">
        <v>300</v>
      </c>
    </row>
    <row r="164" spans="1:9">
      <c r="A164" t="str">
        <f>_xlfn.XLOOKUP(C164,[1]Sheet1!$C:$C,[1]Sheet1!$A:$A)</f>
        <v>5344-G1711-29-148</v>
      </c>
      <c r="B164" t="str">
        <f>_xlfn.XLOOKUP(C164,[1]Sheet1!$C:$C,[1]Sheet1!$B:$B)</f>
        <v>G1711-29-148</v>
      </c>
      <c r="C164" t="s">
        <v>461</v>
      </c>
      <c r="D164" t="s">
        <v>5</v>
      </c>
      <c r="E164" t="str">
        <f>_xlfn.XLOOKUP(C164,[1]Sheet1!$C:$C,[1]Sheet1!$E:$E)</f>
        <v>LSA #WR19 WICKER Ø29cm/H24.5cm DOME &amp; ASH BASE CLEAR (2PCS/CTN)</v>
      </c>
      <c r="I164" t="s">
        <v>300</v>
      </c>
    </row>
    <row r="165" spans="1:9">
      <c r="A165" t="str">
        <f>_xlfn.XLOOKUP(C165,[1]Sheet1!$C:$C,[1]Sheet1!$A:$A)</f>
        <v>5344-G1737-25-301</v>
      </c>
      <c r="B165" t="str">
        <f>_xlfn.XLOOKUP(C165,[1]Sheet1!$C:$C,[1]Sheet1!$B:$B)</f>
        <v>G1737-25-301</v>
      </c>
      <c r="C165" t="s">
        <v>463</v>
      </c>
      <c r="D165" t="s">
        <v>5</v>
      </c>
      <c r="E165" t="str">
        <f>_xlfn.XLOOKUP(C165,[1]Sheet1!$C:$C,[1]Sheet1!$E:$E)</f>
        <v>LSA #LH01 SIGNATURE Ø19.5cm/H25.5cm CLOCHE DOME &amp; OAK BASE CAKE STAND</v>
      </c>
      <c r="I165" t="s">
        <v>300</v>
      </c>
    </row>
    <row r="166" spans="1:9">
      <c r="A166" t="str">
        <f>_xlfn.XLOOKUP(C166,[1]Sheet1!$C:$C,[1]Sheet1!$A:$A)</f>
        <v>5344-G1738-30-301</v>
      </c>
      <c r="B166" t="str">
        <f>_xlfn.XLOOKUP(C166,[1]Sheet1!$C:$C,[1]Sheet1!$B:$B)</f>
        <v>G1738-30-301</v>
      </c>
      <c r="C166" t="s">
        <v>465</v>
      </c>
      <c r="D166" t="s">
        <v>5</v>
      </c>
      <c r="E166" t="str">
        <f>_xlfn.XLOOKUP(C166,[1]Sheet1!$C:$C,[1]Sheet1!$E:$E)</f>
        <v>LSA #LH02 SIGNATURE Ø26cm/H30.5cm CLOCHE DOME &amp; OAK BASE CAKE STAND</v>
      </c>
      <c r="I166" t="s">
        <v>300</v>
      </c>
    </row>
    <row r="167" spans="1:9">
      <c r="A167" t="str">
        <f>_xlfn.XLOOKUP(C167,[1]Sheet1!$C:$C,[1]Sheet1!$A:$A)</f>
        <v>5344-G1739-35-301</v>
      </c>
      <c r="B167" t="str">
        <f>_xlfn.XLOOKUP(C167,[1]Sheet1!$C:$C,[1]Sheet1!$B:$B)</f>
        <v>G1739-35-301</v>
      </c>
      <c r="C167" t="s">
        <v>466</v>
      </c>
      <c r="D167" t="s">
        <v>5</v>
      </c>
      <c r="E167" t="str">
        <f>_xlfn.XLOOKUP(C167,[1]Sheet1!$C:$C,[1]Sheet1!$E:$E)</f>
        <v>LSA #LH03 SIGNATURE Ø21cm/H35.5cm CLOCHE PYRAMID DOME &amp; OAK BASE CAKE STAND</v>
      </c>
      <c r="I167" t="s">
        <v>300</v>
      </c>
    </row>
    <row r="168" spans="1:9">
      <c r="A168" t="str">
        <f>_xlfn.XLOOKUP(C168,[1]Sheet1!$C:$C,[1]Sheet1!$A:$A)</f>
        <v>5344-G174-00-301</v>
      </c>
      <c r="B168">
        <f>_xlfn.XLOOKUP(C168,[1]Sheet1!$C:$C,[1]Sheet1!$B:$B)</f>
        <v>0</v>
      </c>
      <c r="C168" t="s">
        <v>467</v>
      </c>
      <c r="D168" t="s">
        <v>5</v>
      </c>
      <c r="E168" t="str">
        <f>_xlfn.XLOOKUP(C168,[1]Sheet1!$C:$C,[1]Sheet1!$E:$E)</f>
        <v>(DCWSL19) #HZ01 0.95ltr GLASS DECANTER, CLEAR/HECTOR (LSA)</v>
      </c>
      <c r="I168" t="s">
        <v>300</v>
      </c>
    </row>
    <row r="169" spans="1:9">
      <c r="A169" t="str">
        <f>_xlfn.XLOOKUP(C169,[1]Sheet1!$C:$C,[1]Sheet1!$A:$A)</f>
        <v>5344-G1745-12-301</v>
      </c>
      <c r="B169" t="str">
        <f>_xlfn.XLOOKUP(C169,[1]Sheet1!$C:$C,[1]Sheet1!$B:$B)</f>
        <v>G1745-12-301</v>
      </c>
      <c r="C169" t="s">
        <v>470</v>
      </c>
      <c r="D169" t="s">
        <v>5</v>
      </c>
      <c r="E169" t="str">
        <f>_xlfn.XLOOKUP(C169,[1]Sheet1!$C:$C,[1]Sheet1!$E:$E)</f>
        <v>LSA #DI67 DINE CHEESE DOME &amp; OAK WDN BOARD L36.5xW16xH18cm</v>
      </c>
      <c r="I169" t="s">
        <v>300</v>
      </c>
    </row>
    <row r="170" spans="1:9">
      <c r="A170" t="str">
        <f>_xlfn.XLOOKUP(C170,[1]Sheet1!$C:$C,[1]Sheet1!$A:$A)</f>
        <v>5344-G1747-09-301</v>
      </c>
      <c r="B170" t="str">
        <f>_xlfn.XLOOKUP(C170,[1]Sheet1!$C:$C,[1]Sheet1!$B:$B)</f>
        <v>G1747-09-301</v>
      </c>
      <c r="C170" t="s">
        <v>471</v>
      </c>
      <c r="D170" t="s">
        <v>5</v>
      </c>
      <c r="E170" t="str">
        <f>_xlfn.XLOOKUP(C170,[1]Sheet1!$C:$C,[1]Sheet1!$E:$E)</f>
        <v>LSA #G1747-09-301 #AC01 ARC CLEAR 260ml TUMBLER (4PCS/CTN) (SELL BY CTN)</v>
      </c>
      <c r="I170" t="s">
        <v>300</v>
      </c>
    </row>
    <row r="171" spans="1:9">
      <c r="A171" t="str">
        <f>_xlfn.XLOOKUP(C171,[1]Sheet1!$C:$C,[1]Sheet1!$A:$A)</f>
        <v>5344-G1747-14-126</v>
      </c>
      <c r="B171" t="str">
        <f>_xlfn.XLOOKUP(C171,[1]Sheet1!$C:$C,[1]Sheet1!$B:$B)</f>
        <v>G1747-14-126</v>
      </c>
      <c r="C171" t="s">
        <v>473</v>
      </c>
      <c r="D171" t="s">
        <v>5</v>
      </c>
      <c r="E171" t="str">
        <f>_xlfn.XLOOKUP(C171,[1]Sheet1!$C:$C,[1]Sheet1!$E:$E)</f>
        <v>380ml ARC CONTRAST TUMBLER OCEAN (SET/2) (SELL BY SET)</v>
      </c>
      <c r="I171" t="s">
        <v>300</v>
      </c>
    </row>
    <row r="172" spans="1:9">
      <c r="A172" t="str">
        <f>_xlfn.XLOOKUP(C172,[1]Sheet1!$C:$C,[1]Sheet1!$A:$A)</f>
        <v>5344-G1747-14-128</v>
      </c>
      <c r="B172" t="str">
        <f>_xlfn.XLOOKUP(C172,[1]Sheet1!$C:$C,[1]Sheet1!$B:$B)</f>
        <v>G1747-14-128</v>
      </c>
      <c r="C172" t="s">
        <v>474</v>
      </c>
      <c r="D172" t="s">
        <v>5</v>
      </c>
      <c r="E172" t="str">
        <f>_xlfn.XLOOKUP(C172,[1]Sheet1!$C:$C,[1]Sheet1!$E:$E)</f>
        <v>380ml ARC CONTRAST TUMBLER MIST (SET/2) (SELL BY SET)</v>
      </c>
      <c r="I172" t="s">
        <v>300</v>
      </c>
    </row>
    <row r="173" spans="1:9">
      <c r="A173" t="str">
        <f>_xlfn.XLOOKUP(C173,[1]Sheet1!$C:$C,[1]Sheet1!$A:$A)</f>
        <v>5344-G1747-14-129</v>
      </c>
      <c r="B173" t="str">
        <f>_xlfn.XLOOKUP(C173,[1]Sheet1!$C:$C,[1]Sheet1!$B:$B)</f>
        <v>G1747-14-129</v>
      </c>
      <c r="C173" t="s">
        <v>475</v>
      </c>
      <c r="D173" t="s">
        <v>5</v>
      </c>
      <c r="E173" t="str">
        <f>_xlfn.XLOOKUP(C173,[1]Sheet1!$C:$C,[1]Sheet1!$E:$E)</f>
        <v>380ml ARC CONTRAST TUMBLER EARTH (SET/2) (SELL BY SET)</v>
      </c>
      <c r="I173" t="s">
        <v>300</v>
      </c>
    </row>
    <row r="174" spans="1:9">
      <c r="A174" t="str">
        <f>_xlfn.XLOOKUP(C174,[1]Sheet1!$C:$C,[1]Sheet1!$A:$A)</f>
        <v>5344-G1747-14-301</v>
      </c>
      <c r="B174" t="str">
        <f>_xlfn.XLOOKUP(C174,[1]Sheet1!$C:$C,[1]Sheet1!$B:$B)</f>
        <v>G1747-14-301</v>
      </c>
      <c r="C174" t="s">
        <v>480</v>
      </c>
      <c r="D174" t="s">
        <v>5</v>
      </c>
      <c r="E174" t="str">
        <f>_xlfn.XLOOKUP(C174,[1]Sheet1!$C:$C,[1]Sheet1!$E:$E)</f>
        <v>LSA #G1747-14-301 #AC02 ARC CLEAR 380ml TUMBLER (4PCS/CTN) (SELL BY CTN)</v>
      </c>
      <c r="I174" t="s">
        <v>300</v>
      </c>
    </row>
    <row r="175" spans="1:9">
      <c r="A175" t="str">
        <f>_xlfn.XLOOKUP(C175,[1]Sheet1!$C:$C,[1]Sheet1!$A:$A)</f>
        <v>5344-G1748-12-301</v>
      </c>
      <c r="B175" t="str">
        <f>_xlfn.XLOOKUP(C175,[1]Sheet1!$C:$C,[1]Sheet1!$B:$B)</f>
        <v>G1748-12-301</v>
      </c>
      <c r="C175" t="s">
        <v>481</v>
      </c>
      <c r="D175" t="s">
        <v>5</v>
      </c>
      <c r="E175" t="str">
        <f>_xlfn.XLOOKUP(C175,[1]Sheet1!$C:$C,[1]Sheet1!$E:$E)</f>
        <v>LSA #G1748-12-301 ARC CLEAR 340ml WINE GLASS (4PCS/CTN) (SELL BY CTN)</v>
      </c>
      <c r="I175" t="s">
        <v>300</v>
      </c>
    </row>
    <row r="176" spans="1:9">
      <c r="A176" t="str">
        <f>_xlfn.XLOOKUP(C176,[1]Sheet1!$C:$C,[1]Sheet1!$A:$A)</f>
        <v>5344-G175-28-992</v>
      </c>
      <c r="B176">
        <f>_xlfn.XLOOKUP(C176,[1]Sheet1!$C:$C,[1]Sheet1!$B:$B)</f>
        <v>0</v>
      </c>
      <c r="C176" t="s">
        <v>483</v>
      </c>
      <c r="D176" t="s">
        <v>5</v>
      </c>
      <c r="E176" t="str">
        <f>_xlfn.XLOOKUP(C176,[1]Sheet1!$C:$C,[1]Sheet1!$E:$E)</f>
        <v>(DCWSL19) #LS02 0.8ltr DECANTER, CLEAR/LISBON (LSA)</v>
      </c>
      <c r="I176" t="s">
        <v>300</v>
      </c>
    </row>
    <row r="177" spans="1:9">
      <c r="A177" t="str">
        <f>_xlfn.XLOOKUP(C177,[1]Sheet1!$C:$C,[1]Sheet1!$A:$A)</f>
        <v>5344-G1753-07-165</v>
      </c>
      <c r="B177" t="str">
        <f>_xlfn.XLOOKUP(C177,[1]Sheet1!$C:$C,[1]Sheet1!$B:$B)</f>
        <v>G1753-07-165</v>
      </c>
      <c r="C177" t="s">
        <v>485</v>
      </c>
      <c r="D177" t="s">
        <v>5</v>
      </c>
      <c r="E177" t="str">
        <f>_xlfn.XLOOKUP(C177,[1]Sheet1!$C:$C,[1]Sheet1!$E:$E)</f>
        <v>(ID) LSA #DP17, DAPPLE TEALIGHT HOLDER/VASE H7CM WATER BLUE (2PCS/CTN)</v>
      </c>
      <c r="I177" t="s">
        <v>300</v>
      </c>
    </row>
    <row r="178" spans="1:9">
      <c r="A178" t="str">
        <f>_xlfn.XLOOKUP(C178,[1]Sheet1!$C:$C,[1]Sheet1!$A:$A)</f>
        <v>5344-G197-29-992</v>
      </c>
      <c r="B178" t="str">
        <f>_xlfn.XLOOKUP(C178,[1]Sheet1!$C:$C,[1]Sheet1!$B:$B)</f>
        <v>G197-29-992</v>
      </c>
      <c r="C178" t="s">
        <v>487</v>
      </c>
      <c r="D178" t="s">
        <v>5</v>
      </c>
      <c r="E178" t="str">
        <f>_xlfn.XLOOKUP(C178,[1]Sheet1!$C:$C,[1]Sheet1!$E:$E)</f>
        <v>(WSL19) #BI09 / #B109, BORIS WATER JUG (LSA)</v>
      </c>
      <c r="I178" t="s">
        <v>300</v>
      </c>
    </row>
    <row r="179" spans="1:9">
      <c r="A179" t="str">
        <f>_xlfn.XLOOKUP(C179,[1]Sheet1!$C:$C,[1]Sheet1!$A:$A)</f>
        <v>5344-G201-60-301</v>
      </c>
      <c r="B179">
        <f>_xlfn.XLOOKUP(C179,[1]Sheet1!$C:$C,[1]Sheet1!$B:$B)</f>
        <v>0</v>
      </c>
      <c r="C179" t="s">
        <v>489</v>
      </c>
      <c r="D179" t="s">
        <v>5</v>
      </c>
      <c r="E179" t="str">
        <f>_xlfn.XLOOKUP(C179,[1]Sheet1!$C:$C,[1]Sheet1!$E:$E)</f>
        <v>(DCWSL19)(*New Code:G201-60-991) #BR46 1.7ltr GLASS WATER JUG, CLEAR/TAPERED (LSA)</v>
      </c>
      <c r="I179" t="s">
        <v>300</v>
      </c>
    </row>
    <row r="180" spans="1:9">
      <c r="A180" t="str">
        <f>_xlfn.XLOOKUP(C180,[1]Sheet1!$C:$C,[1]Sheet1!$A:$A)</f>
        <v>5344-G211-36-992</v>
      </c>
      <c r="B180" t="str">
        <f>_xlfn.XLOOKUP(C180,[1]Sheet1!$C:$C,[1]Sheet1!$B:$B)</f>
        <v>BS02</v>
      </c>
      <c r="C180" t="s">
        <v>491</v>
      </c>
      <c r="D180" t="s">
        <v>5</v>
      </c>
      <c r="E180" t="str">
        <f>_xlfn.XLOOKUP(C180,[1]Sheet1!$C:$C,[1]Sheet1!$E:$E)</f>
        <v>(IDMOQ6) #BS02, W16xH16cm, 1.0ltr  JUG, BASIS (LSA) 1PC/CTN</v>
      </c>
      <c r="I180" t="s">
        <v>300</v>
      </c>
    </row>
    <row r="181" spans="1:9">
      <c r="A181" t="str">
        <f>_xlfn.XLOOKUP(C181,[1]Sheet1!$C:$C,[1]Sheet1!$A:$A)</f>
        <v>5344-G211-54-371</v>
      </c>
      <c r="B181">
        <f>_xlfn.XLOOKUP(C181,[1]Sheet1!$C:$C,[1]Sheet1!$B:$B)</f>
        <v>0</v>
      </c>
      <c r="C181" t="s">
        <v>493</v>
      </c>
      <c r="D181" t="s">
        <v>5</v>
      </c>
      <c r="E181" t="str">
        <f>_xlfn.XLOOKUP(C181,[1]Sheet1!$C:$C,[1]Sheet1!$E:$E)</f>
        <v>(DCWSL19) #BS07 1.5ltr GLASS JUG, TURQUOISE COLOR/BASIS (LSA)</v>
      </c>
      <c r="I181" t="s">
        <v>300</v>
      </c>
    </row>
    <row r="182" spans="1:9">
      <c r="A182" t="str">
        <f>_xlfn.XLOOKUP(C182,[1]Sheet1!$C:$C,[1]Sheet1!$A:$A)</f>
        <v>5344-G211-54-372</v>
      </c>
      <c r="B182" t="str">
        <f>_xlfn.XLOOKUP(C182,[1]Sheet1!$C:$C,[1]Sheet1!$B:$B)</f>
        <v>BS09</v>
      </c>
      <c r="C182" t="s">
        <v>495</v>
      </c>
      <c r="D182" t="s">
        <v>5</v>
      </c>
      <c r="E182" t="str">
        <f>_xlfn.XLOOKUP(C182,[1]Sheet1!$C:$C,[1]Sheet1!$E:$E)</f>
        <v>(DCWSL19) #BS09 1.5ltr GLASS JUG, VIOLET COLOR/BASIS (LSA)</v>
      </c>
      <c r="I182" t="s">
        <v>300</v>
      </c>
    </row>
    <row r="183" spans="1:9">
      <c r="A183" t="str">
        <f>_xlfn.XLOOKUP(C183,[1]Sheet1!$C:$C,[1]Sheet1!$A:$A)</f>
        <v>5344-G211-54-389</v>
      </c>
      <c r="B183" t="str">
        <f>_xlfn.XLOOKUP(C183,[1]Sheet1!$C:$C,[1]Sheet1!$B:$B)</f>
        <v>BS05</v>
      </c>
      <c r="C183" t="s">
        <v>496</v>
      </c>
      <c r="D183" t="s">
        <v>5</v>
      </c>
      <c r="E183" t="str">
        <f>_xlfn.XLOOKUP(C183,[1]Sheet1!$C:$C,[1]Sheet1!$E:$E)</f>
        <v>(DCWSL19) #BS05 1.5ltr GLASS JUG, LIME COLOR/BASIS (LSA)</v>
      </c>
      <c r="I183" t="s">
        <v>300</v>
      </c>
    </row>
    <row r="184" spans="1:9">
      <c r="A184" t="str">
        <f>_xlfn.XLOOKUP(C184,[1]Sheet1!$C:$C,[1]Sheet1!$A:$A)</f>
        <v>5344-G211-54-391</v>
      </c>
      <c r="B184" t="str">
        <f>_xlfn.XLOOKUP(C184,[1]Sheet1!$C:$C,[1]Sheet1!$B:$B)</f>
        <v>BS08</v>
      </c>
      <c r="C184" t="s">
        <v>499</v>
      </c>
      <c r="D184" t="s">
        <v>5</v>
      </c>
      <c r="E184" t="str">
        <f>_xlfn.XLOOKUP(C184,[1]Sheet1!$C:$C,[1]Sheet1!$E:$E)</f>
        <v>(WSL19) #BS08 1.5ltr GLASS JUG, WHITE COLOR/BASIS (LSA)</v>
      </c>
      <c r="I184" t="s">
        <v>300</v>
      </c>
    </row>
    <row r="185" spans="1:9">
      <c r="A185" t="str">
        <f>_xlfn.XLOOKUP(C185,[1]Sheet1!$C:$C,[1]Sheet1!$A:$A)</f>
        <v>5344-G211-54-804</v>
      </c>
      <c r="B185">
        <f>_xlfn.XLOOKUP(C185,[1]Sheet1!$C:$C,[1]Sheet1!$B:$B)</f>
        <v>0</v>
      </c>
      <c r="C185" t="s">
        <v>501</v>
      </c>
      <c r="D185" t="s">
        <v>5</v>
      </c>
      <c r="E185" t="str">
        <f>_xlfn.XLOOKUP(C185,[1]Sheet1!$C:$C,[1]Sheet1!$E:$E)</f>
        <v>(DCWSL19) #BS06 1.5ltr GLASS JUG, RED COLOR/BASIS (LSA)</v>
      </c>
      <c r="I185" t="s">
        <v>300</v>
      </c>
    </row>
    <row r="186" spans="1:9">
      <c r="A186" t="str">
        <f>_xlfn.XLOOKUP(C186,[1]Sheet1!$C:$C,[1]Sheet1!$A:$A)</f>
        <v>5344-G211-54-909</v>
      </c>
      <c r="B186">
        <f>_xlfn.XLOOKUP(C186,[1]Sheet1!$C:$C,[1]Sheet1!$B:$B)</f>
        <v>0</v>
      </c>
      <c r="C186" t="s">
        <v>503</v>
      </c>
      <c r="D186" t="s">
        <v>5</v>
      </c>
      <c r="E186" t="str">
        <f>_xlfn.XLOOKUP(C186,[1]Sheet1!$C:$C,[1]Sheet1!$E:$E)</f>
        <v>(DCWSL19) #BS04 1.5ltr GLASS JUG, BLACK COLOR/BASIS (LSA)</v>
      </c>
      <c r="I186" t="s">
        <v>300</v>
      </c>
    </row>
    <row r="187" spans="1:9">
      <c r="A187" t="str">
        <f>_xlfn.XLOOKUP(C187,[1]Sheet1!$C:$C,[1]Sheet1!$A:$A)</f>
        <v>5344-G211-54-992</v>
      </c>
      <c r="B187" t="str">
        <f>_xlfn.XLOOKUP(C187,[1]Sheet1!$C:$C,[1]Sheet1!$B:$B)</f>
        <v>G211-54-992</v>
      </c>
      <c r="C187" t="s">
        <v>504</v>
      </c>
      <c r="D187" t="s">
        <v>5</v>
      </c>
      <c r="E187" t="str">
        <f>_xlfn.XLOOKUP(C187,[1]Sheet1!$C:$C,[1]Sheet1!$E:$E)</f>
        <v>(ID) LSA #BS03 BASIS 1.5ltr JUG CLEAR (6PCS/CTN)</v>
      </c>
      <c r="I187" t="s">
        <v>300</v>
      </c>
    </row>
    <row r="188" spans="1:9">
      <c r="A188" t="str">
        <f>_xlfn.XLOOKUP(C188,[1]Sheet1!$C:$C,[1]Sheet1!$A:$A)</f>
        <v>5344-G216-14-301</v>
      </c>
      <c r="B188" t="str">
        <f>_xlfn.XLOOKUP(C188,[1]Sheet1!$C:$C,[1]Sheet1!$B:$B)</f>
        <v>OO10</v>
      </c>
      <c r="C188" t="s">
        <v>505</v>
      </c>
      <c r="D188" t="s">
        <v>5</v>
      </c>
      <c r="E188" t="str">
        <f>_xlfn.XLOOKUP(C188,[1]Sheet1!$C:$C,[1]Sheet1!$E:$E)</f>
        <v>(DCWSL21) # OO10 0.4ltr JUG, CLEAR/ONO (LSA)</v>
      </c>
      <c r="I188" t="s">
        <v>300</v>
      </c>
    </row>
    <row r="189" spans="1:9">
      <c r="A189" t="str">
        <f>_xlfn.XLOOKUP(C189,[1]Sheet1!$C:$C,[1]Sheet1!$A:$A)</f>
        <v>5344-G217-31-296</v>
      </c>
      <c r="B189">
        <f>_xlfn.XLOOKUP(C189,[1]Sheet1!$C:$C,[1]Sheet1!$B:$B)</f>
        <v>0</v>
      </c>
      <c r="C189" t="s">
        <v>508</v>
      </c>
      <c r="D189" t="s">
        <v>5</v>
      </c>
      <c r="E189" t="str">
        <f>_xlfn.XLOOKUP(C189,[1]Sheet1!$C:$C,[1]Sheet1!$E:$E)</f>
        <v>(DCWSL19) #CX09 0.87ltr CARAFE, LIME/CENTRO (LSA)</v>
      </c>
      <c r="I189" t="s">
        <v>300</v>
      </c>
    </row>
    <row r="190" spans="1:9">
      <c r="A190" t="str">
        <f>_xlfn.XLOOKUP(C190,[1]Sheet1!$C:$C,[1]Sheet1!$A:$A)</f>
        <v>5344-G225-27-985</v>
      </c>
      <c r="B190" t="str">
        <f>_xlfn.XLOOKUP(C190,[1]Sheet1!$C:$C,[1]Sheet1!$B:$B)</f>
        <v>MV20</v>
      </c>
      <c r="C190" t="s">
        <v>340</v>
      </c>
      <c r="D190" t="s">
        <v>5</v>
      </c>
      <c r="E190" t="str">
        <f>_xlfn.XLOOKUP(C190,[1]Sheet1!$C:$C,[1]Sheet1!$E:$E)</f>
        <v>(DCWSL19) #MV20 0.75ltr JUG, CLEAR/MOYA (LSA)</v>
      </c>
      <c r="I190" t="s">
        <v>300</v>
      </c>
    </row>
    <row r="191" spans="1:9">
      <c r="A191" t="str">
        <f>_xlfn.XLOOKUP(C191,[1]Sheet1!$C:$C,[1]Sheet1!$A:$A)</f>
        <v>5344-G231-13-301</v>
      </c>
      <c r="B191">
        <f>_xlfn.XLOOKUP(C191,[1]Sheet1!$C:$C,[1]Sheet1!$B:$B)</f>
        <v>0</v>
      </c>
      <c r="C191" t="s">
        <v>510</v>
      </c>
      <c r="D191" t="s">
        <v>5</v>
      </c>
      <c r="E191" t="str">
        <f>_xlfn.XLOOKUP(C191,[1]Sheet1!$C:$C,[1]Sheet1!$E:$E)</f>
        <v>(DCWSL20) #SZ01 350ml GLASS SAUCEBOAT &amp; SCOPE, CLEAR/SERVE COLL (LSA)</v>
      </c>
      <c r="I191" t="s">
        <v>300</v>
      </c>
    </row>
    <row r="192" spans="1:9">
      <c r="A192" t="str">
        <f>_xlfn.XLOOKUP(C192,[1]Sheet1!$C:$C,[1]Sheet1!$A:$A)</f>
        <v>5344-G245-09-381</v>
      </c>
      <c r="B192" t="str">
        <f>_xlfn.XLOOKUP(C192,[1]Sheet1!$C:$C,[1]Sheet1!$B:$B)</f>
        <v>SA13</v>
      </c>
      <c r="C192" t="s">
        <v>512</v>
      </c>
      <c r="D192" t="s">
        <v>5</v>
      </c>
      <c r="E192" t="str">
        <f>_xlfn.XLOOKUP(C192,[1]Sheet1!$C:$C,[1]Sheet1!$E:$E)</f>
        <v>(DCWSL19)(*PX/PC,SELL BY SET) 250ml CHAMPAGNE SAUCER, PLATINUM/SAVOY (LSA) (2/SET)</v>
      </c>
      <c r="I192" t="s">
        <v>300</v>
      </c>
    </row>
    <row r="193" spans="1:9">
      <c r="A193" t="str">
        <f>_xlfn.XLOOKUP(C193,[1]Sheet1!$C:$C,[1]Sheet1!$A:$A)</f>
        <v>5344-G259-19-991</v>
      </c>
      <c r="B193" t="str">
        <f>_xlfn.XLOOKUP(C193,[1]Sheet1!$C:$C,[1]Sheet1!$B:$B)</f>
        <v>BR18</v>
      </c>
      <c r="C193" t="s">
        <v>514</v>
      </c>
      <c r="D193" t="s">
        <v>5</v>
      </c>
      <c r="E193" t="str">
        <f>_xlfn.XLOOKUP(C193,[1]Sheet1!$C:$C,[1]Sheet1!$E:$E)</f>
        <v>(DCWSL19) #7142017 / #BR18 DIA17xH19cm GLASS ICE/CHAMPAGNE BUCKET, CLEAR/BAR (LSA)</v>
      </c>
      <c r="I193" t="s">
        <v>300</v>
      </c>
    </row>
    <row r="194" spans="1:9">
      <c r="A194" t="str">
        <f>_xlfn.XLOOKUP(C194,[1]Sheet1!$C:$C,[1]Sheet1!$A:$A)</f>
        <v>5344-G294-14-301</v>
      </c>
      <c r="B194" t="str">
        <f>_xlfn.XLOOKUP(C194,[1]Sheet1!$C:$C,[1]Sheet1!$B:$B)</f>
        <v>G294-14-301</v>
      </c>
      <c r="C194" t="s">
        <v>516</v>
      </c>
      <c r="D194" t="s">
        <v>5</v>
      </c>
      <c r="E194" t="str">
        <f>_xlfn.XLOOKUP(C194,[1]Sheet1!$C:$C,[1]Sheet1!$E:$E)</f>
        <v>LSA, G294-14-301, UM01, HT:14cm UMBERTO GLASS VASE, CLEAR, 4PCS/CTN</v>
      </c>
      <c r="I194" t="s">
        <v>300</v>
      </c>
    </row>
    <row r="195" spans="1:9">
      <c r="A195" t="str">
        <f>_xlfn.XLOOKUP(C195,[1]Sheet1!$C:$C,[1]Sheet1!$A:$A)</f>
        <v>5344-G294-15-301</v>
      </c>
      <c r="B195" t="str">
        <f>_xlfn.XLOOKUP(C195,[1]Sheet1!$C:$C,[1]Sheet1!$B:$B)</f>
        <v>G294-15-301</v>
      </c>
      <c r="C195" t="s">
        <v>519</v>
      </c>
      <c r="D195" t="s">
        <v>5</v>
      </c>
      <c r="E195" t="str">
        <f>_xlfn.XLOOKUP(C195,[1]Sheet1!$C:$C,[1]Sheet1!$E:$E)</f>
        <v>LSA, G294-15-301, UM02, HT:15cm UMBERTO GLASS VASE, CLEAR, 2PCS/CTN</v>
      </c>
      <c r="I195" t="s">
        <v>300</v>
      </c>
    </row>
    <row r="196" spans="1:9">
      <c r="A196" t="str">
        <f>_xlfn.XLOOKUP(C196,[1]Sheet1!$C:$C,[1]Sheet1!$A:$A)</f>
        <v>5344-G297-24-301</v>
      </c>
      <c r="B196" t="str">
        <f>_xlfn.XLOOKUP(C196,[1]Sheet1!$C:$C,[1]Sheet1!$B:$B)</f>
        <v>G297-24-301</v>
      </c>
      <c r="C196" t="s">
        <v>520</v>
      </c>
      <c r="D196" t="s">
        <v>5</v>
      </c>
      <c r="E196" t="str">
        <f>_xlfn.XLOOKUP(C196,[1]Sheet1!$C:$C,[1]Sheet1!$E:$E)</f>
        <v>(IDMOQ:2) LSA, G297-24-301, UM03, HT:24cm UMBERTO GLASS VASE, CLEAR, 2PC/CTN</v>
      </c>
      <c r="I196" t="s">
        <v>300</v>
      </c>
    </row>
    <row r="197" spans="1:9">
      <c r="A197" t="str">
        <f>_xlfn.XLOOKUP(C197,[1]Sheet1!$C:$C,[1]Sheet1!$A:$A)</f>
        <v>5344-G297-40-301</v>
      </c>
      <c r="B197" t="str">
        <f>_xlfn.XLOOKUP(C197,[1]Sheet1!$C:$C,[1]Sheet1!$B:$B)</f>
        <v>G297-40-301</v>
      </c>
      <c r="C197" t="s">
        <v>522</v>
      </c>
      <c r="D197" t="s">
        <v>5</v>
      </c>
      <c r="E197" t="str">
        <f>_xlfn.XLOOKUP(C197,[1]Sheet1!$C:$C,[1]Sheet1!$E:$E)</f>
        <v>(IDMOQ:2) LSA #G297-40-301, UM06, HT:40cm UMBERTO GLASS VASE, CLEAR, 2PC/CTN</v>
      </c>
      <c r="I197" t="s">
        <v>300</v>
      </c>
    </row>
    <row r="198" spans="1:9">
      <c r="A198" t="str">
        <f>_xlfn.XLOOKUP(C198,[1]Sheet1!$C:$C,[1]Sheet1!$A:$A)</f>
        <v>5344-G302-06-987</v>
      </c>
      <c r="B198" t="str">
        <f>_xlfn.XLOOKUP(C198,[1]Sheet1!$C:$C,[1]Sheet1!$B:$B)</f>
        <v>JA27</v>
      </c>
      <c r="C198" t="s">
        <v>523</v>
      </c>
      <c r="D198" t="s">
        <v>5</v>
      </c>
      <c r="E198" t="str">
        <f>_xlfn.XLOOKUP(C198,[1]Sheet1!$C:$C,[1]Sheet1!$E:$E)</f>
        <v>(DCWSL19)(*PX/PC,SELL BY SET OF 4) JAZZ CHAMP FLUTE ASST BLACK DECORS (LSA) 4PCS/SET (SELL BY SET)</v>
      </c>
      <c r="I198" t="s">
        <v>300</v>
      </c>
    </row>
    <row r="199" spans="1:9">
      <c r="A199" t="str">
        <f>_xlfn.XLOOKUP(C199,[1]Sheet1!$C:$C,[1]Sheet1!$A:$A)</f>
        <v>5344-G302-07-991</v>
      </c>
      <c r="B199" t="str">
        <f>_xlfn.XLOOKUP(C199,[1]Sheet1!$C:$C,[1]Sheet1!$B:$B)</f>
        <v>G302-07-991</v>
      </c>
      <c r="C199" t="s">
        <v>525</v>
      </c>
      <c r="D199" t="s">
        <v>5</v>
      </c>
      <c r="E199" t="str">
        <f>_xlfn.XLOOKUP(C199,[1]Sheet1!$C:$C,[1]Sheet1!$E:$E)</f>
        <v>(*PRICE/PC,SELL BY SET)  #BR21 200ml BAR HOLLOW STEM FLUTE, CLEAR X 2 (LSA) (SELL BY SET)</v>
      </c>
      <c r="I199" t="s">
        <v>300</v>
      </c>
    </row>
    <row r="200" spans="1:9">
      <c r="A200" t="str">
        <f>_xlfn.XLOOKUP(C200,[1]Sheet1!$C:$C,[1]Sheet1!$A:$A)</f>
        <v>5344-G315-39-301</v>
      </c>
      <c r="B200">
        <f>_xlfn.XLOOKUP(C200,[1]Sheet1!$C:$C,[1]Sheet1!$B:$B)</f>
        <v>0</v>
      </c>
      <c r="C200" t="s">
        <v>526</v>
      </c>
      <c r="D200" t="s">
        <v>5</v>
      </c>
      <c r="E200" t="str">
        <f>_xlfn.XLOOKUP(C200,[1]Sheet1!$C:$C,[1]Sheet1!$E:$E)</f>
        <v>(DCWSL19) #MQ03 39ml WINE GLASS, CLEAR/MIDI (LSA)</v>
      </c>
      <c r="I200" t="s">
        <v>300</v>
      </c>
    </row>
    <row r="201" spans="1:9">
      <c r="A201" t="str">
        <f>_xlfn.XLOOKUP(C201,[1]Sheet1!$C:$C,[1]Sheet1!$A:$A)</f>
        <v>5344-G330-12-301</v>
      </c>
      <c r="B201">
        <f>_xlfn.XLOOKUP(C201,[1]Sheet1!$C:$C,[1]Sheet1!$B:$B)</f>
        <v>0</v>
      </c>
      <c r="C201" t="s">
        <v>530</v>
      </c>
      <c r="D201" t="s">
        <v>5</v>
      </c>
      <c r="E201" t="str">
        <f>_xlfn.XLOOKUP(C201,[1]Sheet1!$C:$C,[1]Sheet1!$E:$E)</f>
        <v>(DCWSL19) H12cm DIA12cm VASE/CANDLEHOLDER, CLEAR/COLUMN (LSA)</v>
      </c>
      <c r="I201" t="s">
        <v>300</v>
      </c>
    </row>
    <row r="202" spans="1:9">
      <c r="A202" t="str">
        <f>_xlfn.XLOOKUP(C202,[1]Sheet1!$C:$C,[1]Sheet1!$A:$A)</f>
        <v>5344-G330-36-301</v>
      </c>
      <c r="B202">
        <f>_xlfn.XLOOKUP(C202,[1]Sheet1!$C:$C,[1]Sheet1!$B:$B)</f>
        <v>0</v>
      </c>
      <c r="C202" t="s">
        <v>532</v>
      </c>
      <c r="D202" t="s">
        <v>5</v>
      </c>
      <c r="E202" t="str">
        <f>_xlfn.XLOOKUP(C202,[1]Sheet1!$C:$C,[1]Sheet1!$E:$E)</f>
        <v>(DCWSL19) H36cm DIA17cm VASE/CANDLEHOLDER, CLEAR/COLUMN (LSA)</v>
      </c>
      <c r="I202" t="s">
        <v>300</v>
      </c>
    </row>
    <row r="203" spans="1:9">
      <c r="A203" t="str">
        <f>_xlfn.XLOOKUP(C203,[1]Sheet1!$C:$C,[1]Sheet1!$A:$A)</f>
        <v>5344-G331-13-301</v>
      </c>
      <c r="B203" t="str">
        <f>_xlfn.XLOOKUP(C203,[1]Sheet1!$C:$C,[1]Sheet1!$B:$B)</f>
        <v>G331-13-301</v>
      </c>
      <c r="C203" t="s">
        <v>533</v>
      </c>
      <c r="D203" t="s">
        <v>5</v>
      </c>
      <c r="E203" t="str">
        <f>_xlfn.XLOOKUP(C203,[1]Sheet1!$C:$C,[1]Sheet1!$E:$E)</f>
        <v>#MI01 13cm GLASS CONTAINER WITH LID,  CLEAR/MAXI (LSA) 3PCS/CTN</v>
      </c>
      <c r="I203" t="s">
        <v>300</v>
      </c>
    </row>
    <row r="204" spans="1:9">
      <c r="A204" t="str">
        <f>_xlfn.XLOOKUP(C204,[1]Sheet1!$C:$C,[1]Sheet1!$A:$A)</f>
        <v>5344-G331-18-301</v>
      </c>
      <c r="B204" t="str">
        <f>_xlfn.XLOOKUP(C204,[1]Sheet1!$C:$C,[1]Sheet1!$B:$B)</f>
        <v>G331-18-301</v>
      </c>
      <c r="C204" t="s">
        <v>535</v>
      </c>
      <c r="D204" t="s">
        <v>5</v>
      </c>
      <c r="E204" t="str">
        <f>_xlfn.XLOOKUP(C204,[1]Sheet1!$C:$C,[1]Sheet1!$E:$E)</f>
        <v>#MI02 18cm GLASS CONTAINER WITH LID, CLEAR/MAXI (LSA)</v>
      </c>
      <c r="I204" t="s">
        <v>300</v>
      </c>
    </row>
    <row r="205" spans="1:9">
      <c r="A205" t="str">
        <f>_xlfn.XLOOKUP(C205,[1]Sheet1!$C:$C,[1]Sheet1!$A:$A)</f>
        <v>5344-G342-30-834</v>
      </c>
      <c r="B205">
        <f>_xlfn.XLOOKUP(C205,[1]Sheet1!$C:$C,[1]Sheet1!$B:$B)</f>
        <v>0</v>
      </c>
      <c r="C205" t="s">
        <v>536</v>
      </c>
      <c r="D205" t="s">
        <v>5</v>
      </c>
      <c r="E205" t="str">
        <f>_xlfn.XLOOKUP(C205,[1]Sheet1!$C:$C,[1]Sheet1!$E:$E)</f>
        <v>(DCWSL19) H30cm CHAMPAGNE SAUCER, LIME/MIDI (LSA)</v>
      </c>
      <c r="I205" t="s">
        <v>300</v>
      </c>
    </row>
    <row r="206" spans="1:9">
      <c r="A206" t="str">
        <f>_xlfn.XLOOKUP(C206,[1]Sheet1!$C:$C,[1]Sheet1!$A:$A)</f>
        <v>5344-G350-11-301</v>
      </c>
      <c r="B206" t="str">
        <f>_xlfn.XLOOKUP(C206,[1]Sheet1!$C:$C,[1]Sheet1!$B:$B)</f>
        <v>G350-11-301</v>
      </c>
      <c r="C206" t="s">
        <v>538</v>
      </c>
      <c r="D206" t="s">
        <v>5</v>
      </c>
      <c r="E206" t="str">
        <f>_xlfn.XLOOKUP(C206,[1]Sheet1!$C:$C,[1]Sheet1!$E:$E)</f>
        <v>LSA #FW01 11cm GLASS CLEAR SPRIG FLOWER VASE 4PCS/CTN</v>
      </c>
      <c r="I206" t="s">
        <v>300</v>
      </c>
    </row>
    <row r="207" spans="1:9">
      <c r="A207" t="str">
        <f>_xlfn.XLOOKUP(C207,[1]Sheet1!$C:$C,[1]Sheet1!$A:$A)</f>
        <v>5344-G357-34-301</v>
      </c>
      <c r="B207">
        <f>_xlfn.XLOOKUP(C207,[1]Sheet1!$C:$C,[1]Sheet1!$B:$B)</f>
        <v>0</v>
      </c>
      <c r="C207" t="s">
        <v>540</v>
      </c>
      <c r="D207" t="s">
        <v>5</v>
      </c>
      <c r="E207" t="str">
        <f>_xlfn.XLOOKUP(C207,[1]Sheet1!$C:$C,[1]Sheet1!$E:$E)</f>
        <v>(DCWSL19)  #MQ02 H34cm COCKTAIL/MARTINI GLASS, MIDI (LSA)</v>
      </c>
      <c r="I207" t="s">
        <v>300</v>
      </c>
    </row>
    <row r="208" spans="1:9">
      <c r="A208" t="str">
        <f>_xlfn.XLOOKUP(C208,[1]Sheet1!$C:$C,[1]Sheet1!$A:$A)</f>
        <v>5344-G368-08-835</v>
      </c>
      <c r="B208" t="str">
        <f>_xlfn.XLOOKUP(C208,[1]Sheet1!$C:$C,[1]Sheet1!$B:$B)</f>
        <v>LI19</v>
      </c>
      <c r="C208" t="s">
        <v>542</v>
      </c>
      <c r="D208" t="s">
        <v>5</v>
      </c>
      <c r="E208" t="str">
        <f>_xlfn.XLOOKUP(C208,[1]Sheet1!$C:$C,[1]Sheet1!$E:$E)</f>
        <v>(WSL19) H8.5cm TEALIGHT HOLDER, AMBER LIGHT(LSA)</v>
      </c>
      <c r="I208" t="s">
        <v>318</v>
      </c>
    </row>
    <row r="209" spans="1:9">
      <c r="A209" t="str">
        <f>_xlfn.XLOOKUP(C209,[1]Sheet1!$C:$C,[1]Sheet1!$A:$A)</f>
        <v>5344-G426-34-301</v>
      </c>
      <c r="B209">
        <f>_xlfn.XLOOKUP(C209,[1]Sheet1!$C:$C,[1]Sheet1!$B:$B)</f>
        <v>0</v>
      </c>
      <c r="C209" t="s">
        <v>544</v>
      </c>
      <c r="D209" t="s">
        <v>5</v>
      </c>
      <c r="E209" t="str">
        <f>_xlfn.XLOOKUP(C209,[1]Sheet1!$C:$C,[1]Sheet1!$E:$E)</f>
        <v>(DCWSL19) #TO20 34cm, BOWL, CLEAR/TONDO (LSA)</v>
      </c>
      <c r="I209" t="s">
        <v>545</v>
      </c>
    </row>
    <row r="210" spans="1:9">
      <c r="A210" t="str">
        <f>_xlfn.XLOOKUP(C210,[1]Sheet1!$C:$C,[1]Sheet1!$A:$A)</f>
        <v>5344-G443-25-301</v>
      </c>
      <c r="B210" t="str">
        <f>_xlfn.XLOOKUP(C210,[1]Sheet1!$C:$C,[1]Sheet1!$B:$B)</f>
        <v>G443-25-301</v>
      </c>
      <c r="C210" t="s">
        <v>547</v>
      </c>
      <c r="D210" t="s">
        <v>5</v>
      </c>
      <c r="E210" t="str">
        <f>_xlfn.XLOOKUP(C210,[1]Sheet1!$C:$C,[1]Sheet1!$E:$E)</f>
        <v>(ID) #FW14 H25cm GRAND BOUQUET VASE, CLEAR/FLOWER (LSA)</v>
      </c>
      <c r="I210" t="s">
        <v>300</v>
      </c>
    </row>
    <row r="211" spans="1:9">
      <c r="A211" t="str">
        <f>_xlfn.XLOOKUP(C211,[1]Sheet1!$C:$C,[1]Sheet1!$A:$A)</f>
        <v>5344-G459-00-381</v>
      </c>
      <c r="B211" t="str">
        <f>_xlfn.XLOOKUP(C211,[1]Sheet1!$C:$C,[1]Sheet1!$B:$B)</f>
        <v>G459-00-381</v>
      </c>
      <c r="C211" t="s">
        <v>549</v>
      </c>
      <c r="D211" t="s">
        <v>5</v>
      </c>
      <c r="E211" t="str">
        <f>_xlfn.XLOOKUP(C211,[1]Sheet1!$C:$C,[1]Sheet1!$E:$E)</f>
        <v>#FL02 0.81ltr FLASK DECANTER, CLEAR/PLAT NECK (LSA)</v>
      </c>
      <c r="I211" t="s">
        <v>300</v>
      </c>
    </row>
    <row r="212" spans="1:9">
      <c r="A212" t="str">
        <f>_xlfn.XLOOKUP(C212,[1]Sheet1!$C:$C,[1]Sheet1!$A:$A)</f>
        <v>5344-G464-23-301</v>
      </c>
      <c r="B212">
        <f>_xlfn.XLOOKUP(C212,[1]Sheet1!$C:$C,[1]Sheet1!$B:$B)</f>
        <v>0</v>
      </c>
      <c r="C212" t="s">
        <v>551</v>
      </c>
      <c r="D212" t="s">
        <v>5</v>
      </c>
      <c r="E212" t="str">
        <f>_xlfn.XLOOKUP(C212,[1]Sheet1!$C:$C,[1]Sheet1!$E:$E)</f>
        <v>(DCWSL19) H23.5cm VASE, CLEAR/VERONA (LSA)</v>
      </c>
      <c r="I212" t="s">
        <v>300</v>
      </c>
    </row>
    <row r="213" spans="1:9">
      <c r="A213" t="str">
        <f>_xlfn.XLOOKUP(C213,[1]Sheet1!$C:$C,[1]Sheet1!$A:$A)</f>
        <v>5344-G474-01-985</v>
      </c>
      <c r="B213" t="str">
        <f>_xlfn.XLOOKUP(C213,[1]Sheet1!$C:$C,[1]Sheet1!$B:$B)</f>
        <v>G474-01-985</v>
      </c>
      <c r="C213" t="s">
        <v>553</v>
      </c>
      <c r="D213" t="s">
        <v>5</v>
      </c>
      <c r="E213" t="str">
        <f>_xlfn.XLOOKUP(C213,[1]Sheet1!$C:$C,[1]Sheet1!$E:$E)</f>
        <v>#MV19 50ml LIQUER GLASS, CLEAR/MOYA (LSA) 2PCS/SET (SELL BY SET)</v>
      </c>
      <c r="I213" t="s">
        <v>300</v>
      </c>
    </row>
    <row r="214" spans="1:9">
      <c r="A214" t="str">
        <f>_xlfn.XLOOKUP(C214,[1]Sheet1!$C:$C,[1]Sheet1!$A:$A)</f>
        <v>5344-G495-22-301</v>
      </c>
      <c r="B214" t="str">
        <f>_xlfn.XLOOKUP(C214,[1]Sheet1!$C:$C,[1]Sheet1!$B:$B)</f>
        <v>G495-22-301</v>
      </c>
      <c r="C214" t="s">
        <v>555</v>
      </c>
      <c r="D214" t="s">
        <v>5</v>
      </c>
      <c r="E214" t="str">
        <f>_xlfn.XLOOKUP(C214,[1]Sheet1!$C:$C,[1]Sheet1!$E:$E)</f>
        <v>#SZ08 DIA22cm SERVE TALL COMPORT, CLEAR (LSA)</v>
      </c>
      <c r="I214" t="s">
        <v>300</v>
      </c>
    </row>
    <row r="215" spans="1:9">
      <c r="A215" t="str">
        <f>_xlfn.XLOOKUP(C215,[1]Sheet1!$C:$C,[1]Sheet1!$A:$A)</f>
        <v>5344-G507-36-301</v>
      </c>
      <c r="B215">
        <f>_xlfn.XLOOKUP(C215,[1]Sheet1!$C:$C,[1]Sheet1!$B:$B)</f>
        <v>0</v>
      </c>
      <c r="C215" t="s">
        <v>557</v>
      </c>
      <c r="D215" t="s">
        <v>5</v>
      </c>
      <c r="E215" t="str">
        <f>_xlfn.XLOOKUP(C215,[1]Sheet1!$C:$C,[1]Sheet1!$E:$E)</f>
        <v>(DCWSL19) #SZ14 36cm GLASS CAKESTAND &amp; DOME, CLEAR/SERVE (LSA)</v>
      </c>
      <c r="I215" t="s">
        <v>300</v>
      </c>
    </row>
    <row r="216" spans="1:9">
      <c r="A216" t="str">
        <f>_xlfn.XLOOKUP(C216,[1]Sheet1!$C:$C,[1]Sheet1!$A:$A)</f>
        <v>5344-G570-06-268</v>
      </c>
      <c r="B216">
        <f>_xlfn.XLOOKUP(C216,[1]Sheet1!$C:$C,[1]Sheet1!$B:$B)</f>
        <v>0</v>
      </c>
      <c r="C216" t="s">
        <v>559</v>
      </c>
      <c r="D216" t="s">
        <v>5</v>
      </c>
      <c r="E216" t="str">
        <f>_xlfn.XLOOKUP(C216,[1]Sheet1!$C:$C,[1]Sheet1!$E:$E)</f>
        <v>(DCWSL19)(*SELL BY PC) H6.5cm TEALIGHT HOLDER, CRANBERRY/HAZE (LSA)</v>
      </c>
      <c r="I216" t="s">
        <v>561</v>
      </c>
    </row>
    <row r="217" spans="1:9">
      <c r="A217" t="str">
        <f>_xlfn.XLOOKUP(C217,[1]Sheet1!$C:$C,[1]Sheet1!$A:$A)</f>
        <v>5344-G570-06-590</v>
      </c>
      <c r="B217" t="str">
        <f>_xlfn.XLOOKUP(C217,[1]Sheet1!$C:$C,[1]Sheet1!$B:$B)</f>
        <v>CZ06</v>
      </c>
      <c r="C217" t="s">
        <v>562</v>
      </c>
      <c r="D217" t="s">
        <v>5</v>
      </c>
      <c r="E217" t="str">
        <f>_xlfn.XLOOKUP(C217,[1]Sheet1!$C:$C,[1]Sheet1!$E:$E)</f>
        <v>(WSL19)(SELL BY PC) #CZ06 6.5cm COLORED GLASS TEALIGHT HOLDER, BERRY/CORO (LSA) 4PCS/SET (SELL BY SET)</v>
      </c>
      <c r="I217" t="s">
        <v>563</v>
      </c>
    </row>
    <row r="218" spans="1:9">
      <c r="A218" t="str">
        <f>_xlfn.XLOOKUP(C218,[1]Sheet1!$C:$C,[1]Sheet1!$A:$A)</f>
        <v>5344-G573-00-348</v>
      </c>
      <c r="B218">
        <f>_xlfn.XLOOKUP(C218,[1]Sheet1!$C:$C,[1]Sheet1!$B:$B)</f>
        <v>0</v>
      </c>
      <c r="C218" t="s">
        <v>564</v>
      </c>
      <c r="D218" t="s">
        <v>5</v>
      </c>
      <c r="E218" t="str">
        <f>_xlfn.XLOOKUP(C218,[1]Sheet1!$C:$C,[1]Sheet1!$E:$E)</f>
        <v>(DCWSL19) 37cm GLASS FLOWER, RASPBERRY PINK/GERBERA (LSA)</v>
      </c>
      <c r="I218" t="s">
        <v>566</v>
      </c>
    </row>
    <row r="219" spans="1:9">
      <c r="A219" t="str">
        <f>_xlfn.XLOOKUP(C219,[1]Sheet1!$C:$C,[1]Sheet1!$A:$A)</f>
        <v>5344-G573-00-351</v>
      </c>
      <c r="B219">
        <f>_xlfn.XLOOKUP(C219,[1]Sheet1!$C:$C,[1]Sheet1!$B:$B)</f>
        <v>0</v>
      </c>
      <c r="C219" t="s">
        <v>567</v>
      </c>
      <c r="D219" t="s">
        <v>5</v>
      </c>
      <c r="E219" t="str">
        <f>_xlfn.XLOOKUP(C219,[1]Sheet1!$C:$C,[1]Sheet1!$E:$E)</f>
        <v>(DCWSL19) 37cm GLASS FLOWER, SKY BLUE/GERBERA (LSA)</v>
      </c>
      <c r="I219" t="s">
        <v>569</v>
      </c>
    </row>
    <row r="220" spans="1:9">
      <c r="A220" t="str">
        <f>_xlfn.XLOOKUP(C220,[1]Sheet1!$C:$C,[1]Sheet1!$A:$A)</f>
        <v>5344-G573-00-358</v>
      </c>
      <c r="B220">
        <f>_xlfn.XLOOKUP(C220,[1]Sheet1!$C:$C,[1]Sheet1!$B:$B)</f>
        <v>0</v>
      </c>
      <c r="C220" t="s">
        <v>570</v>
      </c>
      <c r="D220" t="s">
        <v>5</v>
      </c>
      <c r="E220" t="str">
        <f>_xlfn.XLOOKUP(C220,[1]Sheet1!$C:$C,[1]Sheet1!$E:$E)</f>
        <v>(DCWSL19) 37cm GLASS FLOWER, GOLD/GERBERA (LSA)</v>
      </c>
      <c r="I220" t="s">
        <v>56</v>
      </c>
    </row>
    <row r="221" spans="1:9">
      <c r="A221" t="str">
        <f>_xlfn.XLOOKUP(C221,[1]Sheet1!$C:$C,[1]Sheet1!$A:$A)</f>
        <v>5344-G573-00-359</v>
      </c>
      <c r="B221">
        <f>_xlfn.XLOOKUP(C221,[1]Sheet1!$C:$C,[1]Sheet1!$B:$B)</f>
        <v>0</v>
      </c>
      <c r="C221" t="s">
        <v>572</v>
      </c>
      <c r="D221" t="s">
        <v>5</v>
      </c>
      <c r="E221" t="str">
        <f>_xlfn.XLOOKUP(C221,[1]Sheet1!$C:$C,[1]Sheet1!$E:$E)</f>
        <v>(DCWSL19) 37cm GLASS FLOWER, PLATINUM/GERBERA (LSA)</v>
      </c>
      <c r="I221" t="s">
        <v>574</v>
      </c>
    </row>
    <row r="222" spans="1:9">
      <c r="A222" t="str">
        <f>_xlfn.XLOOKUP(C222,[1]Sheet1!$C:$C,[1]Sheet1!$A:$A)</f>
        <v>5344-G602-13-301</v>
      </c>
      <c r="B222" t="str">
        <f>_xlfn.XLOOKUP(C222,[1]Sheet1!$C:$C,[1]Sheet1!$B:$B)</f>
        <v>G602-13-301</v>
      </c>
      <c r="C222" t="s">
        <v>575</v>
      </c>
      <c r="D222" t="s">
        <v>5</v>
      </c>
      <c r="E222" t="str">
        <f>_xlfn.XLOOKUP(C222,[1]Sheet1!$C:$C,[1]Sheet1!$E:$E)</f>
        <v>LSA, G602-13-301, FLOWER GARDEN POSY VASE H13CM CLEAR (ID)</v>
      </c>
      <c r="I222" t="s">
        <v>300</v>
      </c>
    </row>
    <row r="223" spans="1:9">
      <c r="A223" t="str">
        <f>_xlfn.XLOOKUP(C223,[1]Sheet1!$C:$C,[1]Sheet1!$A:$A)</f>
        <v>5344-G617-25-301</v>
      </c>
      <c r="B223" t="str">
        <f>_xlfn.XLOOKUP(C223,[1]Sheet1!$C:$C,[1]Sheet1!$B:$B)</f>
        <v>G617-25-301</v>
      </c>
      <c r="C223" t="s">
        <v>577</v>
      </c>
      <c r="D223" t="s">
        <v>5</v>
      </c>
      <c r="E223" t="str">
        <f>_xlfn.XLOOKUP(C223,[1]Sheet1!$C:$C,[1]Sheet1!$E:$E)</f>
        <v>#VI02 DIA25xH17.5cm GLASS PLATE DIA25cm &amp; DOME DIA22.5cm, CLEAR/VIENNA (LSA)</v>
      </c>
      <c r="I223" t="s">
        <v>300</v>
      </c>
    </row>
    <row r="224" spans="1:9">
      <c r="A224" t="str">
        <f>_xlfn.XLOOKUP(C224,[1]Sheet1!$C:$C,[1]Sheet1!$A:$A)</f>
        <v>5344-G666-05-991</v>
      </c>
      <c r="B224">
        <f>_xlfn.XLOOKUP(C224,[1]Sheet1!$C:$C,[1]Sheet1!$B:$B)</f>
        <v>0</v>
      </c>
      <c r="C224" t="s">
        <v>579</v>
      </c>
      <c r="D224" t="s">
        <v>5</v>
      </c>
      <c r="E224" t="str">
        <f>_xlfn.XLOOKUP(C224,[1]Sheet1!$C:$C,[1]Sheet1!$E:$E)</f>
        <v>(DCWSL19)(*SELL BY PC) 150ml GLASS CHAMPAGNE APERITIF, CLEAR/BAR (LSA) 4PCS/SET</v>
      </c>
      <c r="I224" t="s">
        <v>300</v>
      </c>
    </row>
    <row r="225" spans="1:9">
      <c r="A225" t="str">
        <f>_xlfn.XLOOKUP(C225,[1]Sheet1!$C:$C,[1]Sheet1!$A:$A)</f>
        <v>5344-G668-35-301</v>
      </c>
      <c r="B225" t="str">
        <f>_xlfn.XLOOKUP(C225,[1]Sheet1!$C:$C,[1]Sheet1!$B:$B)</f>
        <v>G668-35-301</v>
      </c>
      <c r="C225" t="s">
        <v>581</v>
      </c>
      <c r="D225" t="s">
        <v>5</v>
      </c>
      <c r="E225" t="str">
        <f>_xlfn.XLOOKUP(C225,[1]Sheet1!$C:$C,[1]Sheet1!$E:$E)</f>
        <v>#FW09 H35cm GRAND BOUQUET VASE, CLEAR/FLOWER (LSA) 3PCS/CTN</v>
      </c>
      <c r="I225" t="s">
        <v>300</v>
      </c>
    </row>
    <row r="226" spans="1:9">
      <c r="A226" t="str">
        <f>_xlfn.XLOOKUP(C226,[1]Sheet1!$C:$C,[1]Sheet1!$A:$A)</f>
        <v>5344-G687-30-301</v>
      </c>
      <c r="B226" t="str">
        <f>_xlfn.XLOOKUP(C226,[1]Sheet1!$C:$C,[1]Sheet1!$B:$B)</f>
        <v>G687-30-301</v>
      </c>
      <c r="C226" t="s">
        <v>583</v>
      </c>
      <c r="D226" t="s">
        <v>5</v>
      </c>
      <c r="E226" t="str">
        <f>_xlfn.XLOOKUP(C226,[1]Sheet1!$C:$C,[1]Sheet1!$E:$E)</f>
        <v>(WSL19) #SZ04 30cm GLASS TRIO DISH, CLEAR/SERVE (LSA)</v>
      </c>
      <c r="I226" t="s">
        <v>300</v>
      </c>
    </row>
    <row r="227" spans="1:9">
      <c r="A227" t="str">
        <f>_xlfn.XLOOKUP(C227,[1]Sheet1!$C:$C,[1]Sheet1!$A:$A)</f>
        <v>5344-G705-16-335</v>
      </c>
      <c r="B227">
        <f>_xlfn.XLOOKUP(C227,[1]Sheet1!$C:$C,[1]Sheet1!$B:$B)</f>
        <v>0</v>
      </c>
      <c r="C227" t="s">
        <v>585</v>
      </c>
      <c r="D227" t="s">
        <v>5</v>
      </c>
      <c r="E227" t="str">
        <f>_xlfn.XLOOKUP(C227,[1]Sheet1!$C:$C,[1]Sheet1!$E:$E)</f>
        <v>(DCWSL19)(*SELL BY PC) MALIKA HIGHBALL , THK CLR SPIRAL  (LSA) 4PCS/SET</v>
      </c>
      <c r="I227" t="s">
        <v>300</v>
      </c>
    </row>
    <row r="228" spans="1:9">
      <c r="A228" t="str">
        <f>_xlfn.XLOOKUP(C228,[1]Sheet1!$C:$C,[1]Sheet1!$A:$A)</f>
        <v>5344-G730-11-991</v>
      </c>
      <c r="B228" t="str">
        <f>_xlfn.XLOOKUP(C228,[1]Sheet1!$C:$C,[1]Sheet1!$B:$B)</f>
        <v>WI08</v>
      </c>
      <c r="C228" t="s">
        <v>586</v>
      </c>
      <c r="D228" t="s">
        <v>5</v>
      </c>
      <c r="E228" t="str">
        <f>_xlfn.XLOOKUP(C228,[1]Sheet1!$C:$C,[1]Sheet1!$E:$E)</f>
        <v>(*PRICE/PC,SELL BY SET OF 4) #WI08 300ml 'WINE' CLEAR GLASS CHAMPAGNE SAUCER (LSA) 4PCS/SET</v>
      </c>
      <c r="I228" t="s">
        <v>300</v>
      </c>
    </row>
    <row r="229" spans="1:9">
      <c r="A229" t="str">
        <f>_xlfn.XLOOKUP(C229,[1]Sheet1!$C:$C,[1]Sheet1!$A:$A)</f>
        <v>5344-G740-40-301</v>
      </c>
      <c r="B229" t="str">
        <f>_xlfn.XLOOKUP(C229,[1]Sheet1!$C:$C,[1]Sheet1!$B:$B)</f>
        <v>G740-40-301</v>
      </c>
      <c r="C229" t="s">
        <v>588</v>
      </c>
      <c r="D229" t="s">
        <v>5</v>
      </c>
      <c r="E229" t="str">
        <f>_xlfn.XLOOKUP(C229,[1]Sheet1!$C:$C,[1]Sheet1!$E:$E)</f>
        <v>#KN01 40cm GLASS CAKESTAND, CLEAR/KONSTANTIN (LSA)</v>
      </c>
      <c r="I229" t="s">
        <v>300</v>
      </c>
    </row>
    <row r="230" spans="1:9">
      <c r="A230" t="str">
        <f>_xlfn.XLOOKUP(C230,[1]Sheet1!$C:$C,[1]Sheet1!$A:$A)</f>
        <v>5344-G753-35-301</v>
      </c>
      <c r="B230" t="str">
        <f>_xlfn.XLOOKUP(C230,[1]Sheet1!$C:$C,[1]Sheet1!$B:$B)</f>
        <v>LI10</v>
      </c>
      <c r="C230" t="s">
        <v>590</v>
      </c>
      <c r="D230" t="s">
        <v>5</v>
      </c>
      <c r="E230" t="str">
        <f>_xlfn.XLOOKUP(C230,[1]Sheet1!$C:$C,[1]Sheet1!$E:$E)</f>
        <v>(WSL19) 35cm GLASS STORM LANTERN, CLEAR/LIGHT (LSA)</v>
      </c>
      <c r="I230" t="s">
        <v>300</v>
      </c>
    </row>
    <row r="231" spans="1:9">
      <c r="A231" t="str">
        <f>_xlfn.XLOOKUP(C231,[1]Sheet1!$C:$C,[1]Sheet1!$A:$A)</f>
        <v>5344-G778-29-301</v>
      </c>
      <c r="B231">
        <f>_xlfn.XLOOKUP(C231,[1]Sheet1!$C:$C,[1]Sheet1!$B:$B)</f>
        <v>0</v>
      </c>
      <c r="C231" t="s">
        <v>592</v>
      </c>
      <c r="D231" t="s">
        <v>5</v>
      </c>
      <c r="E231" t="str">
        <f>_xlfn.XLOOKUP(C231,[1]Sheet1!$C:$C,[1]Sheet1!$E:$E)</f>
        <v>(DCWSL19) 29cm GLASS CANDLE STEM, CLEAR/LIGHT (LSA)</v>
      </c>
      <c r="I231" t="s">
        <v>300</v>
      </c>
    </row>
    <row r="232" spans="1:9">
      <c r="A232" t="str">
        <f>_xlfn.XLOOKUP(C232,[1]Sheet1!$C:$C,[1]Sheet1!$A:$A)</f>
        <v>5344-G780-23-301</v>
      </c>
      <c r="B232">
        <f>_xlfn.XLOOKUP(C232,[1]Sheet1!$C:$C,[1]Sheet1!$B:$B)</f>
        <v>0</v>
      </c>
      <c r="C232" t="s">
        <v>593</v>
      </c>
      <c r="D232" t="s">
        <v>5</v>
      </c>
      <c r="E232" t="str">
        <f>_xlfn.XLOOKUP(C232,[1]Sheet1!$C:$C,[1]Sheet1!$E:$E)</f>
        <v>(DCWSL19) 24cm GLASS CANDLESTICK HOLDER, CLEAR/LIGHT (LSA)</v>
      </c>
      <c r="I232" t="s">
        <v>300</v>
      </c>
    </row>
    <row r="233" spans="1:9">
      <c r="A233" t="str">
        <f>_xlfn.XLOOKUP(C233,[1]Sheet1!$C:$C,[1]Sheet1!$A:$A)</f>
        <v>5344-G783-54-301</v>
      </c>
      <c r="B233">
        <f>_xlfn.XLOOKUP(C233,[1]Sheet1!$C:$C,[1]Sheet1!$B:$B)</f>
        <v>0</v>
      </c>
      <c r="C233" t="s">
        <v>594</v>
      </c>
      <c r="D233" t="s">
        <v>5</v>
      </c>
      <c r="E233" t="str">
        <f>_xlfn.XLOOKUP(C233,[1]Sheet1!$C:$C,[1]Sheet1!$E:$E)</f>
        <v>(DCWSL19) #MX04 54cm GLASS CHAMPAGNE SAUCER, CLEAR/MAX (LSA)</v>
      </c>
      <c r="I233" t="s">
        <v>300</v>
      </c>
    </row>
    <row r="234" spans="1:9">
      <c r="A234" t="str">
        <f>_xlfn.XLOOKUP(C234,[1]Sheet1!$C:$C,[1]Sheet1!$A:$A)</f>
        <v>5344-G803-24-802</v>
      </c>
      <c r="B234">
        <f>_xlfn.XLOOKUP(C234,[1]Sheet1!$C:$C,[1]Sheet1!$B:$B)</f>
        <v>0</v>
      </c>
      <c r="C234" t="s">
        <v>596</v>
      </c>
      <c r="D234" t="s">
        <v>5</v>
      </c>
      <c r="E234" t="str">
        <f>_xlfn.XLOOKUP(C234,[1]Sheet1!$C:$C,[1]Sheet1!$E:$E)</f>
        <v>(DCWSL19) #IZ27 H24cm VASE/LANTERN, MINERAL/INZA (LSA)</v>
      </c>
      <c r="I234" t="s">
        <v>300</v>
      </c>
    </row>
    <row r="235" spans="1:9">
      <c r="A235" t="str">
        <f>_xlfn.XLOOKUP(C235,[1]Sheet1!$C:$C,[1]Sheet1!$A:$A)</f>
        <v>5344-G817-26-981</v>
      </c>
      <c r="B235">
        <f>_xlfn.XLOOKUP(C235,[1]Sheet1!$C:$C,[1]Sheet1!$B:$B)</f>
        <v>0</v>
      </c>
      <c r="C235" t="s">
        <v>599</v>
      </c>
      <c r="D235" t="s">
        <v>5</v>
      </c>
      <c r="E235" t="str">
        <f>_xlfn.XLOOKUP(C235,[1]Sheet1!$C:$C,[1]Sheet1!$E:$E)</f>
        <v>(DCWSL19)(ID) #FZ10 / #G817-26-981 26cm SALAD BOWL &amp; SERVERS, CLEAR/FIRO (LSA)</v>
      </c>
      <c r="I235" t="s">
        <v>300</v>
      </c>
    </row>
    <row r="236" spans="1:9">
      <c r="A236" t="str">
        <f>_xlfn.XLOOKUP(C236,[1]Sheet1!$C:$C,[1]Sheet1!$A:$A)</f>
        <v>5344-G837-10-985</v>
      </c>
      <c r="B236" t="str">
        <f>_xlfn.XLOOKUP(C236,[1]Sheet1!$C:$C,[1]Sheet1!$B:$B)</f>
        <v>G837-10-985</v>
      </c>
      <c r="C236" t="s">
        <v>600</v>
      </c>
      <c r="D236" t="s">
        <v>5</v>
      </c>
      <c r="E236" t="str">
        <f>_xlfn.XLOOKUP(C236,[1]Sheet1!$C:$C,[1]Sheet1!$E:$E)</f>
        <v>#MV13 290ml TUMBLER, CLEAR/MOYA (LSA) 2PCS/SET (SELL BY SET)</v>
      </c>
      <c r="I236" t="s">
        <v>300</v>
      </c>
    </row>
    <row r="237" spans="1:9">
      <c r="A237" t="str">
        <f>_xlfn.XLOOKUP(C237,[1]Sheet1!$C:$C,[1]Sheet1!$A:$A)</f>
        <v>5344-G841-17-301</v>
      </c>
      <c r="B237">
        <f>_xlfn.XLOOKUP(C237,[1]Sheet1!$C:$C,[1]Sheet1!$B:$B)</f>
        <v>0</v>
      </c>
      <c r="C237" t="s">
        <v>602</v>
      </c>
      <c r="D237" t="s">
        <v>5</v>
      </c>
      <c r="E237" t="str">
        <f>_xlfn.XLOOKUP(C237,[1]Sheet1!$C:$C,[1]Sheet1!$E:$E)</f>
        <v>(DCWSL19) H17xDIA17cm VASE/CANDLEHOLDER, CLEAR/COLUMN (LSA)</v>
      </c>
      <c r="I237" t="s">
        <v>300</v>
      </c>
    </row>
    <row r="238" spans="1:9">
      <c r="A238" t="str">
        <f>_xlfn.XLOOKUP(C238,[1]Sheet1!$C:$C,[1]Sheet1!$A:$A)</f>
        <v>5344-G847-28-985</v>
      </c>
      <c r="B238" t="str">
        <f>_xlfn.XLOOKUP(C238,[1]Sheet1!$C:$C,[1]Sheet1!$B:$B)</f>
        <v>MV21</v>
      </c>
      <c r="C238" t="s">
        <v>604</v>
      </c>
      <c r="D238" t="s">
        <v>5</v>
      </c>
      <c r="E238" t="str">
        <f>_xlfn.XLOOKUP(C238,[1]Sheet1!$C:$C,[1]Sheet1!$E:$E)</f>
        <v>(DCWSL21)  #MV21 DIA28cm GLASS MOYA COMPORT, CLEAR (LSA)</v>
      </c>
      <c r="I238" t="s">
        <v>300</v>
      </c>
    </row>
    <row r="239" spans="1:9">
      <c r="A239" t="str">
        <f>_xlfn.XLOOKUP(C239,[1]Sheet1!$C:$C,[1]Sheet1!$A:$A)</f>
        <v>5344-G850-25-651</v>
      </c>
      <c r="B239">
        <f>_xlfn.XLOOKUP(C239,[1]Sheet1!$C:$C,[1]Sheet1!$B:$B)</f>
        <v>0</v>
      </c>
      <c r="C239" t="s">
        <v>606</v>
      </c>
      <c r="D239" t="s">
        <v>5</v>
      </c>
      <c r="E239" t="str">
        <f>_xlfn.XLOOKUP(C239,[1]Sheet1!$C:$C,[1]Sheet1!$E:$E)</f>
        <v>(DCWSL19) #OO06 H25.5cm VASE, MOCHA/ONO (LSA)</v>
      </c>
      <c r="I239" t="s">
        <v>608</v>
      </c>
    </row>
    <row r="240" spans="1:9">
      <c r="A240" t="str">
        <f>_xlfn.XLOOKUP(C240,[1]Sheet1!$C:$C,[1]Sheet1!$A:$A)</f>
        <v>5344-G875-25-301</v>
      </c>
      <c r="B240" t="str">
        <f>_xlfn.XLOOKUP(C240,[1]Sheet1!$C:$C,[1]Sheet1!$B:$B)</f>
        <v>G875-25-301</v>
      </c>
      <c r="C240" t="s">
        <v>610</v>
      </c>
      <c r="D240" t="s">
        <v>5</v>
      </c>
      <c r="E240" t="str">
        <f>_xlfn.XLOOKUP(C240,[1]Sheet1!$C:$C,[1]Sheet1!$E:$E)</f>
        <v>#SZ23 DIA26.5xH25cm CAKESTAND &amp; DOME, CLEAR/SERVE (LSA)</v>
      </c>
      <c r="I240" t="s">
        <v>300</v>
      </c>
    </row>
    <row r="241" spans="1:9">
      <c r="A241" t="str">
        <f>_xlfn.XLOOKUP(C241,[1]Sheet1!$C:$C,[1]Sheet1!$A:$A)</f>
        <v>5344-G875-31-301</v>
      </c>
      <c r="B241" t="str">
        <f>_xlfn.XLOOKUP(C241,[1]Sheet1!$C:$C,[1]Sheet1!$B:$B)</f>
        <v>G875-31-301</v>
      </c>
      <c r="C241" t="s">
        <v>611</v>
      </c>
      <c r="D241" t="s">
        <v>5</v>
      </c>
      <c r="E241" t="str">
        <f>_xlfn.XLOOKUP(C241,[1]Sheet1!$C:$C,[1]Sheet1!$E:$E)</f>
        <v>LSA #SZ24 Ø34.5/Ø32cm SERVE CAKE STAND &amp; DOME, CLEAR (2PCS/CTN)</v>
      </c>
      <c r="I241" t="s">
        <v>300</v>
      </c>
    </row>
    <row r="242" spans="1:9">
      <c r="A242" t="str">
        <f>_xlfn.XLOOKUP(C242,[1]Sheet1!$C:$C,[1]Sheet1!$A:$A)</f>
        <v>5344-G878-28-301</v>
      </c>
      <c r="B242" t="str">
        <f>_xlfn.XLOOKUP(C242,[1]Sheet1!$C:$C,[1]Sheet1!$B:$B)</f>
        <v>G878-28-301</v>
      </c>
      <c r="C242" t="s">
        <v>613</v>
      </c>
      <c r="D242" t="s">
        <v>5</v>
      </c>
      <c r="E242" t="str">
        <f>_xlfn.XLOOKUP(C242,[1]Sheet1!$C:$C,[1]Sheet1!$E:$E)</f>
        <v>#SZ25 DIA15/DIA14cm GLASS STAND &amp; DOME, CLEAR/SERVE (LSA) 3PCS/CTN</v>
      </c>
      <c r="I242" t="s">
        <v>300</v>
      </c>
    </row>
    <row r="243" spans="1:9">
      <c r="A243" t="str">
        <f>_xlfn.XLOOKUP(C243,[1]Sheet1!$C:$C,[1]Sheet1!$A:$A)</f>
        <v>5344-G879-11-301</v>
      </c>
      <c r="B243" t="str">
        <f>_xlfn.XLOOKUP(C243,[1]Sheet1!$C:$C,[1]Sheet1!$B:$B)</f>
        <v>G879-11-301</v>
      </c>
      <c r="C243" t="s">
        <v>615</v>
      </c>
      <c r="D243" t="s">
        <v>5</v>
      </c>
      <c r="E243" t="str">
        <f>_xlfn.XLOOKUP(C243,[1]Sheet1!$C:$C,[1]Sheet1!$E:$E)</f>
        <v>(DC25) #SZ21 11.5/10.5cm GLASS BUTTER DISH &amp; LID, CLEAR/SERVE (LSA) 4PCS/CTN</v>
      </c>
      <c r="I243" t="s">
        <v>300</v>
      </c>
    </row>
    <row r="244" spans="1:9">
      <c r="A244" t="str">
        <f>_xlfn.XLOOKUP(C244,[1]Sheet1!$C:$C,[1]Sheet1!$A:$A)</f>
        <v>5344-G887-13-991</v>
      </c>
      <c r="B244" t="str">
        <f>_xlfn.XLOOKUP(C244,[1]Sheet1!$C:$C,[1]Sheet1!$B:$B)</f>
        <v>WI01</v>
      </c>
      <c r="C244" t="s">
        <v>617</v>
      </c>
      <c r="D244" t="s">
        <v>5</v>
      </c>
      <c r="E244" t="str">
        <f>_xlfn.XLOOKUP(C244,[1]Sheet1!$C:$C,[1]Sheet1!$E:$E)</f>
        <v>(*PRICE/PC,SELL BY SET OF 4) #WI01 370ml WINE STEMLESS WHITE WINE, CLEAR (LSA) 4PCS/SET (SELL BY SET)</v>
      </c>
      <c r="I244" t="s">
        <v>300</v>
      </c>
    </row>
    <row r="245" spans="1:9">
      <c r="A245" t="str">
        <f>_xlfn.XLOOKUP(C245,[1]Sheet1!$C:$C,[1]Sheet1!$A:$A)</f>
        <v>5344-G887-19-991</v>
      </c>
      <c r="B245" t="str">
        <f>_xlfn.XLOOKUP(C245,[1]Sheet1!$C:$C,[1]Sheet1!$B:$B)</f>
        <v>WI02</v>
      </c>
      <c r="C245" t="s">
        <v>619</v>
      </c>
      <c r="D245" t="s">
        <v>5</v>
      </c>
      <c r="E245" t="str">
        <f>_xlfn.XLOOKUP(C245,[1]Sheet1!$C:$C,[1]Sheet1!$E:$E)</f>
        <v>(*PRICE/PC,SELL BY SET OF 4) #WI02 530ml WINE STEMLESS RED WINE, CLEAR (LSA) 4PCS/SET (SELL BY SET)</v>
      </c>
      <c r="I245" t="s">
        <v>300</v>
      </c>
    </row>
    <row r="246" spans="1:9">
      <c r="A246" t="str">
        <f>_xlfn.XLOOKUP(C246,[1]Sheet1!$C:$C,[1]Sheet1!$A:$A)</f>
        <v>5344-G888-17-301</v>
      </c>
      <c r="B246">
        <f>_xlfn.XLOOKUP(C246,[1]Sheet1!$C:$C,[1]Sheet1!$B:$B)</f>
        <v>0</v>
      </c>
      <c r="C246" t="s">
        <v>621</v>
      </c>
      <c r="D246" t="s">
        <v>5</v>
      </c>
      <c r="E246" t="str">
        <f>_xlfn.XLOOKUP(C246,[1]Sheet1!$C:$C,[1]Sheet1!$E:$E)</f>
        <v>(DCWSL19)(*SELL BY PC) #SZ06 17cm GLASS CONDIMENT DISHES, CLEAR/SERVE (LSA)</v>
      </c>
      <c r="I246" t="s">
        <v>300</v>
      </c>
    </row>
    <row r="247" spans="1:9">
      <c r="A247" t="str">
        <f>_xlfn.XLOOKUP(C247,[1]Sheet1!$C:$C,[1]Sheet1!$A:$A)</f>
        <v>5344-G888-32-301</v>
      </c>
      <c r="B247" t="str">
        <f>_xlfn.XLOOKUP(C247,[1]Sheet1!$C:$C,[1]Sheet1!$B:$B)</f>
        <v>SZ07</v>
      </c>
      <c r="C247" t="s">
        <v>623</v>
      </c>
      <c r="D247" t="s">
        <v>5</v>
      </c>
      <c r="E247" t="str">
        <f>_xlfn.XLOOKUP(C247,[1]Sheet1!$C:$C,[1]Sheet1!$E:$E)</f>
        <v>(DCWSL21)  #SZ07 32cm GLASS LOW COMPORT DISH, CLEAR/SERVE (LSA) 4PCS/CTN</v>
      </c>
      <c r="I247" t="s">
        <v>300</v>
      </c>
    </row>
    <row r="248" spans="1:9">
      <c r="A248" t="str">
        <f>_xlfn.XLOOKUP(C248,[1]Sheet1!$C:$C,[1]Sheet1!$A:$A)</f>
        <v>5344-G893-00-301</v>
      </c>
      <c r="B248">
        <f>_xlfn.XLOOKUP(C248,[1]Sheet1!$C:$C,[1]Sheet1!$B:$B)</f>
        <v>0</v>
      </c>
      <c r="C248" t="s">
        <v>624</v>
      </c>
      <c r="D248" t="s">
        <v>5</v>
      </c>
      <c r="E248" t="str">
        <f>_xlfn.XLOOKUP(C248,[1]Sheet1!$C:$C,[1]Sheet1!$E:$E)</f>
        <v>(DCWSL19) #MX02 65cm COCKTAIL GLASS, CLEAR/MAXA (LSA)</v>
      </c>
      <c r="I248" t="s">
        <v>300</v>
      </c>
    </row>
    <row r="249" spans="1:9">
      <c r="A249" t="str">
        <f>_xlfn.XLOOKUP(C249,[1]Sheet1!$C:$C,[1]Sheet1!$A:$A)</f>
        <v>5344-G894-11-301</v>
      </c>
      <c r="B249" t="str">
        <f>_xlfn.XLOOKUP(C249,[1]Sheet1!$C:$C,[1]Sheet1!$B:$B)</f>
        <v>SZ22</v>
      </c>
      <c r="C249" t="s">
        <v>626</v>
      </c>
      <c r="D249" t="s">
        <v>5</v>
      </c>
      <c r="E249" t="str">
        <f>_xlfn.XLOOKUP(C249,[1]Sheet1!$C:$C,[1]Sheet1!$E:$E)</f>
        <v>(WSL19)(PRICE/PC,SELL BY SET OF 4) #SZ22 DIA11.5cm GLASS TALL DISH, CLEAR/SERVE (LSA) 4PCS/SET</v>
      </c>
      <c r="I249" t="s">
        <v>300</v>
      </c>
    </row>
    <row r="250" spans="1:9">
      <c r="A250" t="str">
        <f>_xlfn.XLOOKUP(C250,[1]Sheet1!$C:$C,[1]Sheet1!$A:$A)</f>
        <v>5344-G900-00-301</v>
      </c>
      <c r="B250">
        <f>_xlfn.XLOOKUP(C250,[1]Sheet1!$C:$C,[1]Sheet1!$B:$B)</f>
        <v>0</v>
      </c>
      <c r="C250" t="s">
        <v>628</v>
      </c>
      <c r="D250" t="s">
        <v>5</v>
      </c>
      <c r="E250" t="str">
        <f>_xlfn.XLOOKUP(C250,[1]Sheet1!$C:$C,[1]Sheet1!$E:$E)</f>
        <v>(DCWSL19) #MX01 75cm GIANT WINE GLASS, CLEAR/MAXA (LSA)</v>
      </c>
      <c r="I250" t="s">
        <v>300</v>
      </c>
    </row>
    <row r="251" spans="1:9">
      <c r="A251" t="str">
        <f>_xlfn.XLOOKUP(C251,[1]Sheet1!$C:$C,[1]Sheet1!$A:$A)</f>
        <v>5344-G906-20-301</v>
      </c>
      <c r="B251">
        <f>_xlfn.XLOOKUP(C251,[1]Sheet1!$C:$C,[1]Sheet1!$B:$B)</f>
        <v>0</v>
      </c>
      <c r="C251" t="s">
        <v>630</v>
      </c>
      <c r="D251" t="s">
        <v>5</v>
      </c>
      <c r="E251" t="str">
        <f>_xlfn.XLOOKUP(C251,[1]Sheet1!$C:$C,[1]Sheet1!$E:$E)</f>
        <v>(DCWSL19) ICE BUCKET, LEON (LSA)</v>
      </c>
      <c r="I251" t="s">
        <v>300</v>
      </c>
    </row>
    <row r="252" spans="1:9">
      <c r="A252" t="str">
        <f>_xlfn.XLOOKUP(C252,[1]Sheet1!$C:$C,[1]Sheet1!$A:$A)</f>
        <v>5344-G911-12-301</v>
      </c>
      <c r="B252" t="str">
        <f>_xlfn.XLOOKUP(C252,[1]Sheet1!$C:$C,[1]Sheet1!$B:$B)</f>
        <v>G911-12-301</v>
      </c>
      <c r="C252" t="s">
        <v>633</v>
      </c>
      <c r="D252" t="s">
        <v>5</v>
      </c>
      <c r="E252" t="str">
        <f>_xlfn.XLOOKUP(C252,[1]Sheet1!$C:$C,[1]Sheet1!$E:$E)</f>
        <v>(ID) #SZ18 / #G911-12-301 120mm CAVIAR SET, CLEAR/SERVE (LSA)</v>
      </c>
      <c r="I252" t="s">
        <v>300</v>
      </c>
    </row>
    <row r="253" spans="1:9">
      <c r="A253" t="str">
        <f>_xlfn.XLOOKUP(C253,[1]Sheet1!$C:$C,[1]Sheet1!$A:$A)</f>
        <v>5344-G912-26-301</v>
      </c>
      <c r="B253" t="str">
        <f>_xlfn.XLOOKUP(C253,[1]Sheet1!$C:$C,[1]Sheet1!$B:$B)</f>
        <v>G912-26-301</v>
      </c>
      <c r="C253" t="s">
        <v>634</v>
      </c>
      <c r="D253" t="s">
        <v>5</v>
      </c>
      <c r="E253" t="str">
        <f>_xlfn.XLOOKUP(C253,[1]Sheet1!$C:$C,[1]Sheet1!$E:$E)</f>
        <v>#SZ11 H25cm GLASS BONBON JAR, CLEAR/SERVE (LSA) 3PCS/CTN</v>
      </c>
      <c r="I253" t="s">
        <v>300</v>
      </c>
    </row>
    <row r="254" spans="1:9">
      <c r="A254" t="str">
        <f>_xlfn.XLOOKUP(C254,[1]Sheet1!$C:$C,[1]Sheet1!$A:$A)</f>
        <v>5344-G912-38-301</v>
      </c>
      <c r="B254" t="str">
        <f>_xlfn.XLOOKUP(C254,[1]Sheet1!$C:$C,[1]Sheet1!$B:$B)</f>
        <v>G912-38-301</v>
      </c>
      <c r="C254" t="s">
        <v>636</v>
      </c>
      <c r="D254" t="s">
        <v>5</v>
      </c>
      <c r="E254" t="str">
        <f>_xlfn.XLOOKUP(C254,[1]Sheet1!$C:$C,[1]Sheet1!$E:$E)</f>
        <v>#SZ33 H38cm TALL GLASS BONBON JAR, CLEAR/SERVE (LSA) 2PCS/CTN</v>
      </c>
      <c r="I254" t="s">
        <v>300</v>
      </c>
    </row>
    <row r="255" spans="1:9">
      <c r="A255" t="str">
        <f>_xlfn.XLOOKUP(C255,[1]Sheet1!$C:$C,[1]Sheet1!$A:$A)</f>
        <v>5344-G914-33-301</v>
      </c>
      <c r="B255" t="str">
        <f>_xlfn.XLOOKUP(C255,[1]Sheet1!$C:$C,[1]Sheet1!$B:$B)</f>
        <v>G914-33-301</v>
      </c>
      <c r="C255" t="s">
        <v>638</v>
      </c>
      <c r="D255" t="s">
        <v>5</v>
      </c>
      <c r="E255" t="str">
        <f>_xlfn.XLOOKUP(C255,[1]Sheet1!$C:$C,[1]Sheet1!$E:$E)</f>
        <v>#KL03 33/30cm GLASS CAKESTAND AND LID, CLEAR/KLARA (LSA)</v>
      </c>
      <c r="I255" t="s">
        <v>300</v>
      </c>
    </row>
    <row r="256" spans="1:9">
      <c r="A256" t="str">
        <f>_xlfn.XLOOKUP(C256,[1]Sheet1!$C:$C,[1]Sheet1!$A:$A)</f>
        <v>5344-G915-20-301</v>
      </c>
      <c r="B256" t="str">
        <f>_xlfn.XLOOKUP(C256,[1]Sheet1!$C:$C,[1]Sheet1!$B:$B)</f>
        <v>VI04</v>
      </c>
      <c r="C256" t="s">
        <v>640</v>
      </c>
      <c r="D256" t="s">
        <v>5</v>
      </c>
      <c r="E256" t="str">
        <f>_xlfn.XLOOKUP(C256,[1]Sheet1!$C:$C,[1]Sheet1!$E:$E)</f>
        <v>(DCWSL22) #VI04 20/15cm GLASS CAKESTAND &amp; DOME , CLEAR/VIENNA (3/CTN)(LSA)</v>
      </c>
      <c r="I256" t="s">
        <v>300</v>
      </c>
    </row>
    <row r="257" spans="1:9">
      <c r="A257" t="str">
        <f>_xlfn.XLOOKUP(C257,[1]Sheet1!$C:$C,[1]Sheet1!$A:$A)</f>
        <v>5344-G915-32-301</v>
      </c>
      <c r="B257" t="str">
        <f>_xlfn.XLOOKUP(C257,[1]Sheet1!$C:$C,[1]Sheet1!$B:$B)</f>
        <v>G915-32-301</v>
      </c>
      <c r="C257" t="s">
        <v>642</v>
      </c>
      <c r="D257" t="s">
        <v>5</v>
      </c>
      <c r="E257" t="str">
        <f>_xlfn.XLOOKUP(C257,[1]Sheet1!$C:$C,[1]Sheet1!$E:$E)</f>
        <v>#VI05 23/20.5cm GLASS TALL CAKESTAND &amp; LID (*Inner Ht:12cm), CLEAR/VIENNA (4PCS/CTN)(LSA)</v>
      </c>
      <c r="I257" t="s">
        <v>300</v>
      </c>
    </row>
    <row r="258" spans="1:9">
      <c r="A258" t="str">
        <f>_xlfn.XLOOKUP(C258,[1]Sheet1!$C:$C,[1]Sheet1!$A:$A)</f>
        <v>5344-G915-33-301</v>
      </c>
      <c r="B258">
        <f>_xlfn.XLOOKUP(C258,[1]Sheet1!$C:$C,[1]Sheet1!$B:$B)</f>
        <v>0</v>
      </c>
      <c r="C258" t="s">
        <v>643</v>
      </c>
      <c r="D258" t="s">
        <v>5</v>
      </c>
      <c r="E258" t="str">
        <f>_xlfn.XLOOKUP(C258,[1]Sheet1!$C:$C,[1]Sheet1!$E:$E)</f>
        <v>(DCWSL19) #VI06 DIA15xH:32cm GLASS CAKESTAND &amp; LID, CLEAR/VIENNA (LSA)</v>
      </c>
      <c r="I258" t="s">
        <v>300</v>
      </c>
    </row>
    <row r="259" spans="1:9">
      <c r="A259" t="str">
        <f>_xlfn.XLOOKUP(C259,[1]Sheet1!$C:$C,[1]Sheet1!$A:$A)</f>
        <v>5344-G919-08-301</v>
      </c>
      <c r="B259">
        <f>_xlfn.XLOOKUP(C259,[1]Sheet1!$C:$C,[1]Sheet1!$B:$B)</f>
        <v>0</v>
      </c>
      <c r="C259" t="s">
        <v>644</v>
      </c>
      <c r="D259" t="s">
        <v>5</v>
      </c>
      <c r="E259" t="str">
        <f>_xlfn.XLOOKUP(C259,[1]Sheet1!$C:$C,[1]Sheet1!$E:$E)</f>
        <v>(DCWSL19)(*PRICE/PC,SELL BY SET) SERVE CONDIMENT POTS &amp; SCOOPS CL (LSA) 2PCS/SET (SELL BY SET)</v>
      </c>
      <c r="I259" t="s">
        <v>300</v>
      </c>
    </row>
    <row r="260" spans="1:9">
      <c r="A260" t="str">
        <f>_xlfn.XLOOKUP(C260,[1]Sheet1!$C:$C,[1]Sheet1!$A:$A)</f>
        <v>5344-G932-14-268</v>
      </c>
      <c r="B260">
        <f>_xlfn.XLOOKUP(C260,[1]Sheet1!$C:$C,[1]Sheet1!$B:$B)</f>
        <v>0</v>
      </c>
      <c r="C260" t="s">
        <v>646</v>
      </c>
      <c r="D260" t="s">
        <v>5</v>
      </c>
      <c r="E260" t="str">
        <f>_xlfn.XLOOKUP(C260,[1]Sheet1!$C:$C,[1]Sheet1!$E:$E)</f>
        <v>(DCWSL19)(*SELL BY PC) 400ml WINE GLASS, CRANBERRY/HAZE (LSA)</v>
      </c>
      <c r="I260" t="s">
        <v>561</v>
      </c>
    </row>
    <row r="261" spans="1:9">
      <c r="A261" t="str">
        <f>_xlfn.XLOOKUP(C261,[1]Sheet1!$C:$C,[1]Sheet1!$A:$A)</f>
        <v>5344-G932-14-968</v>
      </c>
      <c r="B261">
        <f>_xlfn.XLOOKUP(C261,[1]Sheet1!$C:$C,[1]Sheet1!$B:$B)</f>
        <v>0</v>
      </c>
      <c r="C261" t="s">
        <v>648</v>
      </c>
      <c r="D261" t="s">
        <v>5</v>
      </c>
      <c r="E261" t="str">
        <f>_xlfn.XLOOKUP(C261,[1]Sheet1!$C:$C,[1]Sheet1!$E:$E)</f>
        <v>(DCWSL19)(*SELL BY PC) 400ml WINE GLASS, APPLE/HAZE (LSA)</v>
      </c>
      <c r="I261" t="s">
        <v>650</v>
      </c>
    </row>
    <row r="262" spans="1:9">
      <c r="A262" t="str">
        <f>_xlfn.XLOOKUP(C262,[1]Sheet1!$C:$C,[1]Sheet1!$A:$A)</f>
        <v>5344-G932-14-969</v>
      </c>
      <c r="B262">
        <f>_xlfn.XLOOKUP(C262,[1]Sheet1!$C:$C,[1]Sheet1!$B:$B)</f>
        <v>0</v>
      </c>
      <c r="C262" t="s">
        <v>651</v>
      </c>
      <c r="D262" t="s">
        <v>5</v>
      </c>
      <c r="E262" t="str">
        <f>_xlfn.XLOOKUP(C262,[1]Sheet1!$C:$C,[1]Sheet1!$E:$E)</f>
        <v>(DCWSL19)(*SELL BY PC) 400ml WINEGLASS, SKY/HAZE (LSA)</v>
      </c>
      <c r="I262" t="s">
        <v>569</v>
      </c>
    </row>
    <row r="263" spans="1:9">
      <c r="A263" t="str">
        <f>_xlfn.XLOOKUP(C263,[1]Sheet1!$C:$C,[1]Sheet1!$A:$A)</f>
        <v>5344-G940-23-982</v>
      </c>
      <c r="B263">
        <f>_xlfn.XLOOKUP(C263,[1]Sheet1!$C:$C,[1]Sheet1!$B:$B)</f>
        <v>0</v>
      </c>
      <c r="C263" t="s">
        <v>653</v>
      </c>
      <c r="D263" t="s">
        <v>5</v>
      </c>
      <c r="E263" t="str">
        <f>_xlfn.XLOOKUP(C263,[1]Sheet1!$C:$C,[1]Sheet1!$E:$E)</f>
        <v>(DCWSL19) #EL30 DIA23cm COMPORT, CLEAR/ELINA (LSA)</v>
      </c>
      <c r="I263" t="s">
        <v>300</v>
      </c>
    </row>
    <row r="264" spans="1:9">
      <c r="A264" t="str">
        <f>_xlfn.XLOOKUP(C264,[1]Sheet1!$C:$C,[1]Sheet1!$A:$A)</f>
        <v>5344-G940-32-982</v>
      </c>
      <c r="B264" t="str">
        <f>_xlfn.XLOOKUP(C264,[1]Sheet1!$C:$C,[1]Sheet1!$B:$B)</f>
        <v>EL26</v>
      </c>
      <c r="C264" t="s">
        <v>655</v>
      </c>
      <c r="D264" t="s">
        <v>5</v>
      </c>
      <c r="E264" t="str">
        <f>_xlfn.XLOOKUP(C264,[1]Sheet1!$C:$C,[1]Sheet1!$E:$E)</f>
        <v>(DCWSL21)  #EL26 32cm COMPORT, CLEAR/ELINA (LSA) 2PCS/CTN</v>
      </c>
      <c r="I264" t="s">
        <v>300</v>
      </c>
    </row>
    <row r="265" spans="1:9">
      <c r="A265" t="str">
        <f>_xlfn.XLOOKUP(C265,[1]Sheet1!$C:$C,[1]Sheet1!$A:$A)</f>
        <v>5344-G951-08-987</v>
      </c>
      <c r="B265" t="str">
        <f>_xlfn.XLOOKUP(C265,[1]Sheet1!$C:$C,[1]Sheet1!$B:$B)</f>
        <v>JA28</v>
      </c>
      <c r="C265" t="s">
        <v>656</v>
      </c>
      <c r="D265" t="s">
        <v>5</v>
      </c>
      <c r="E265" t="str">
        <f>_xlfn.XLOOKUP(C265,[1]Sheet1!$C:$C,[1]Sheet1!$E:$E)</f>
        <v>(DCWSL21)  (*PX/PC, SELL BY SET OF 4) #JA28 JAZZ COCKTAIL GL ASST BLACK DECORS (LSA) 4PCS/SET</v>
      </c>
      <c r="I265" t="s">
        <v>658</v>
      </c>
    </row>
    <row r="266" spans="1:9">
      <c r="A266" t="str">
        <f>_xlfn.XLOOKUP(C266,[1]Sheet1!$C:$C,[1]Sheet1!$A:$A)</f>
        <v>5344-G972-14-301</v>
      </c>
      <c r="B266" t="str">
        <f>_xlfn.XLOOKUP(C266,[1]Sheet1!$C:$C,[1]Sheet1!$B:$B)</f>
        <v>SZ27</v>
      </c>
      <c r="C266" t="s">
        <v>659</v>
      </c>
      <c r="D266" t="s">
        <v>5</v>
      </c>
      <c r="E266" t="str">
        <f>_xlfn.XLOOKUP(C266,[1]Sheet1!$C:$C,[1]Sheet1!$E:$E)</f>
        <v>(DCWSL19) #SZ27 DIA14cm GLASS CIRCLE DISH, CLEAR/SERVE  (LSA)</v>
      </c>
      <c r="I266" t="s">
        <v>300</v>
      </c>
    </row>
    <row r="267" spans="1:9">
      <c r="A267" t="str">
        <f>_xlfn.XLOOKUP(C267,[1]Sheet1!$C:$C,[1]Sheet1!$A:$A)</f>
        <v>5344-G973-35-301</v>
      </c>
      <c r="B267" t="str">
        <f>_xlfn.XLOOKUP(C267,[1]Sheet1!$C:$C,[1]Sheet1!$B:$B)</f>
        <v>SZ28</v>
      </c>
      <c r="C267" t="s">
        <v>661</v>
      </c>
      <c r="D267" t="s">
        <v>5</v>
      </c>
      <c r="E267" t="str">
        <f>_xlfn.XLOOKUP(C267,[1]Sheet1!$C:$C,[1]Sheet1!$E:$E)</f>
        <v>(DCWSL21)  #SZ28 DIA35cm GLASS CIRCLE PLATTER, CLEAR/SERVE (LSA)</v>
      </c>
      <c r="I267" t="s">
        <v>300</v>
      </c>
    </row>
    <row r="268" spans="1:9">
      <c r="A268" t="str">
        <f>_xlfn.XLOOKUP(C268,[1]Sheet1!$C:$C,[1]Sheet1!$A:$A)</f>
        <v>5344-G974-40-301</v>
      </c>
      <c r="B268">
        <f>_xlfn.XLOOKUP(C268,[1]Sheet1!$C:$C,[1]Sheet1!$B:$B)</f>
        <v>0</v>
      </c>
      <c r="C268" t="s">
        <v>663</v>
      </c>
      <c r="D268" t="s">
        <v>5</v>
      </c>
      <c r="E268" t="str">
        <f>_xlfn.XLOOKUP(C268,[1]Sheet1!$C:$C,[1]Sheet1!$E:$E)</f>
        <v>(DCWSL19) #SZ29  L40xW12cm GLASS LONG DISH PLATTER, CLEAR/SERVE (LSA)</v>
      </c>
      <c r="I268" t="s">
        <v>300</v>
      </c>
    </row>
    <row r="269" spans="1:9">
      <c r="A269" t="str">
        <f>_xlfn.XLOOKUP(C269,[1]Sheet1!$C:$C,[1]Sheet1!$A:$A)</f>
        <v>5344-G976-14-301</v>
      </c>
      <c r="B269">
        <f>_xlfn.XLOOKUP(C269,[1]Sheet1!$C:$C,[1]Sheet1!$B:$B)</f>
        <v>0</v>
      </c>
      <c r="C269" t="s">
        <v>665</v>
      </c>
      <c r="D269" t="s">
        <v>5</v>
      </c>
      <c r="E269" t="str">
        <f>_xlfn.XLOOKUP(C269,[1]Sheet1!$C:$C,[1]Sheet1!$E:$E)</f>
        <v>(DCWSL19)(*PRICE/PC,SELL BY SET) #SA18# 380ml SAVOY WINE GLASS, CLEAR (LSA) 2PCS/SET (SELL BY SET)</v>
      </c>
      <c r="I269" t="s">
        <v>300</v>
      </c>
    </row>
    <row r="270" spans="1:9">
      <c r="A270" t="str">
        <f>_xlfn.XLOOKUP(C270,[1]Sheet1!$C:$C,[1]Sheet1!$A:$A)</f>
        <v>5344-G976-14-381</v>
      </c>
      <c r="B270">
        <f>_xlfn.XLOOKUP(C270,[1]Sheet1!$C:$C,[1]Sheet1!$B:$B)</f>
        <v>0</v>
      </c>
      <c r="C270" t="s">
        <v>667</v>
      </c>
      <c r="D270" t="s">
        <v>5</v>
      </c>
      <c r="E270" t="str">
        <f>_xlfn.XLOOKUP(C270,[1]Sheet1!$C:$C,[1]Sheet1!$E:$E)</f>
        <v>(DCWSL19)(*PRICE/PC,SELL BY SET) 380ml SAVOY WINE GLASS, PLATINUM (LSA) 2PCS/SET (SELL BY SET)</v>
      </c>
      <c r="I270" t="s">
        <v>300</v>
      </c>
    </row>
    <row r="271" spans="1:9">
      <c r="A271" t="str">
        <f>_xlfn.XLOOKUP(C271,[1]Sheet1!$C:$C,[1]Sheet1!$A:$A)</f>
        <v>5344-G976-16-301</v>
      </c>
      <c r="B271">
        <f>_xlfn.XLOOKUP(C271,[1]Sheet1!$C:$C,[1]Sheet1!$B:$B)</f>
        <v>0</v>
      </c>
      <c r="C271" t="s">
        <v>668</v>
      </c>
      <c r="D271" t="s">
        <v>5</v>
      </c>
      <c r="E271" t="str">
        <f>_xlfn.XLOOKUP(C271,[1]Sheet1!$C:$C,[1]Sheet1!$E:$E)</f>
        <v>(DCWSL19)(*PRICE/PC,SELL BY SET) #SA19 450ml SAVOY WINE GLASS, CLEAR (LSA) 2PCS/SET</v>
      </c>
      <c r="I271" t="s">
        <v>300</v>
      </c>
    </row>
    <row r="272" spans="1:9">
      <c r="A272" t="str">
        <f>_xlfn.XLOOKUP(C272,[1]Sheet1!$C:$C,[1]Sheet1!$A:$A)</f>
        <v>5344-G976-16-381</v>
      </c>
      <c r="B272">
        <f>_xlfn.XLOOKUP(C272,[1]Sheet1!$C:$C,[1]Sheet1!$B:$B)</f>
        <v>0</v>
      </c>
      <c r="C272" t="s">
        <v>669</v>
      </c>
      <c r="D272" t="s">
        <v>5</v>
      </c>
      <c r="E272" t="str">
        <f>_xlfn.XLOOKUP(C272,[1]Sheet1!$C:$C,[1]Sheet1!$E:$E)</f>
        <v>(DCWSL19)(*PRICE/PC,SELL BY SET) 450ml SAVOY WINE GLASS, PLATINUM (LSA) 2PCS/SET</v>
      </c>
      <c r="I272" t="s">
        <v>300</v>
      </c>
    </row>
    <row r="273" spans="1:9">
      <c r="A273" t="str">
        <f>_xlfn.XLOOKUP(C273,[1]Sheet1!$C:$C,[1]Sheet1!$A:$A)</f>
        <v>5344-G990-01-301</v>
      </c>
      <c r="B273">
        <f>_xlfn.XLOOKUP(C273,[1]Sheet1!$C:$C,[1]Sheet1!$B:$B)</f>
        <v>0</v>
      </c>
      <c r="C273" t="s">
        <v>670</v>
      </c>
      <c r="D273" t="s">
        <v>5</v>
      </c>
      <c r="E273" t="str">
        <f>_xlfn.XLOOKUP(C273,[1]Sheet1!$C:$C,[1]Sheet1!$E:$E)</f>
        <v>(DCWSL19) #LW09 DIA:22cm BOWL &amp; ASH BASE, LOTTA (LSA)</v>
      </c>
      <c r="I273" t="s">
        <v>300</v>
      </c>
    </row>
    <row r="274" spans="1:9">
      <c r="A274" t="str">
        <f>_xlfn.XLOOKUP(C274,[1]Sheet1!$C:$C,[1]Sheet1!$A:$A)</f>
        <v>5344-G991-13-301</v>
      </c>
      <c r="B274" t="str">
        <f>_xlfn.XLOOKUP(C274,[1]Sheet1!$C:$C,[1]Sheet1!$B:$B)</f>
        <v>G991-13-301</v>
      </c>
      <c r="C274" t="s">
        <v>672</v>
      </c>
      <c r="D274" t="s">
        <v>5</v>
      </c>
      <c r="E274" t="str">
        <f>_xlfn.XLOOKUP(C274,[1]Sheet1!$C:$C,[1]Sheet1!$E:$E)</f>
        <v>#LW23 H13cm LANTERN &amp; ASH BASE, LOTTA (LSA)</v>
      </c>
      <c r="I274" t="s">
        <v>300</v>
      </c>
    </row>
    <row r="275" spans="1:9">
      <c r="A275" t="str">
        <f>_xlfn.XLOOKUP(C275,[1]Sheet1!$C:$C,[1]Sheet1!$A:$A)</f>
        <v>5344-G993-14-301</v>
      </c>
      <c r="B275" t="str">
        <f>_xlfn.XLOOKUP(C275,[1]Sheet1!$C:$C,[1]Sheet1!$B:$B)</f>
        <v>G993-14-301</v>
      </c>
      <c r="C275" t="s">
        <v>674</v>
      </c>
      <c r="D275" t="s">
        <v>5</v>
      </c>
      <c r="E275" t="str">
        <f>_xlfn.XLOOKUP(C275,[1]Sheet1!$C:$C,[1]Sheet1!$E:$E)</f>
        <v>LSA G993-14-301 #LW18 CONTAINER &amp; ASH LID LOTTA H14cm 4PCS/CTN</v>
      </c>
      <c r="I275" t="s">
        <v>300</v>
      </c>
    </row>
    <row r="276" spans="1:9">
      <c r="A276" t="str">
        <f>_xlfn.XLOOKUP(C276,[1]Sheet1!$C:$C,[1]Sheet1!$A:$A)</f>
        <v>5344-G993-19-301</v>
      </c>
      <c r="B276" t="str">
        <f>_xlfn.XLOOKUP(C276,[1]Sheet1!$C:$C,[1]Sheet1!$B:$B)</f>
        <v>G993-19-301</v>
      </c>
      <c r="C276" t="s">
        <v>676</v>
      </c>
      <c r="D276" t="s">
        <v>5</v>
      </c>
      <c r="E276" t="str">
        <f>_xlfn.XLOOKUP(C276,[1]Sheet1!$C:$C,[1]Sheet1!$E:$E)</f>
        <v>LSA G993-19-301 #LW19  CONTAINER &amp; ASH LID LOTTA H19cm (4PCS/CTN)</v>
      </c>
      <c r="I276" t="s">
        <v>300</v>
      </c>
    </row>
    <row r="277" spans="1:9">
      <c r="A277" t="str">
        <f>_xlfn.XLOOKUP(C277,[1]Sheet1!$C:$C,[1]Sheet1!$A:$A)</f>
        <v>5344-P057-46-678</v>
      </c>
      <c r="B277" t="str">
        <f>_xlfn.XLOOKUP(C277,[1]Sheet1!$C:$C,[1]Sheet1!$B:$B)</f>
        <v>PL27</v>
      </c>
      <c r="C277" t="s">
        <v>677</v>
      </c>
      <c r="D277" t="s">
        <v>5</v>
      </c>
      <c r="E277" t="str">
        <f>_xlfn.XLOOKUP(C277,[1]Sheet1!$C:$C,[1]Sheet1!$E:$E)</f>
        <v>(DCWSL19) #PL27#1.3L H:16.5xW:24cm POLKA TEAPOT PEARL (1/CTN)</v>
      </c>
      <c r="I277" t="s">
        <v>12</v>
      </c>
    </row>
    <row r="278" spans="1:9">
      <c r="A278" t="str">
        <f>_xlfn.XLOOKUP(C278,[1]Sheet1!$C:$C,[1]Sheet1!$A:$A)</f>
        <v>5344-P079-20-997</v>
      </c>
      <c r="B278" t="str">
        <f>_xlfn.XLOOKUP(C278,[1]Sheet1!$C:$C,[1]Sheet1!$B:$B)</f>
        <v>P079-20-997</v>
      </c>
      <c r="C278" t="s">
        <v>678</v>
      </c>
      <c r="D278" t="s">
        <v>5</v>
      </c>
      <c r="E278" t="str">
        <f>_xlfn.XLOOKUP(C278,[1]Sheet1!$C:$C,[1]Sheet1!$E:$E)</f>
        <v>(*SPO18) #DI22 20cm DINE STARTER/DESSERT COUPE PLATE (LSA) 4PCS/CTN</v>
      </c>
      <c r="I278" t="s">
        <v>12</v>
      </c>
    </row>
    <row r="279" spans="1:9">
      <c r="A279" t="str">
        <f>_xlfn.XLOOKUP(C279,[1]Sheet1!$C:$C,[1]Sheet1!$A:$A)</f>
        <v>5344-P097-34-997</v>
      </c>
      <c r="B279" t="str">
        <f>_xlfn.XLOOKUP(C279,[1]Sheet1!$C:$C,[1]Sheet1!$B:$B)</f>
        <v>P097-34-997</v>
      </c>
      <c r="C279" t="s">
        <v>679</v>
      </c>
      <c r="D279" t="s">
        <v>5</v>
      </c>
      <c r="E279" t="str">
        <f>_xlfn.XLOOKUP(C279,[1]Sheet1!$C:$C,[1]Sheet1!$E:$E)</f>
        <v>(ID-MOQ) LSA P097-34-997 #DI30 DINE FRUIT/SERVING BOWL COUPE DIAØ34cm, 2'S/CTN (IDPOA)</v>
      </c>
      <c r="I279" t="s">
        <v>12</v>
      </c>
    </row>
    <row r="280" spans="1:9">
      <c r="A280" t="str">
        <f>_xlfn.XLOOKUP(C280,[1]Sheet1!$C:$C,[1]Sheet1!$A:$A)</f>
        <v>5344-P188-14-361</v>
      </c>
      <c r="B280">
        <f>_xlfn.XLOOKUP(C280,[1]Sheet1!$C:$C,[1]Sheet1!$B:$B)</f>
        <v>0</v>
      </c>
      <c r="C280" t="s">
        <v>680</v>
      </c>
      <c r="D280" t="s">
        <v>5</v>
      </c>
      <c r="E280" t="str">
        <f>_xlfn.XLOOKUP(C280,[1]Sheet1!$C:$C,[1]Sheet1!$E:$E)</f>
        <v>(DCWSL19) 0.4ltr GRANDE MUG, CRANBERRY/HAZE (LSA)</v>
      </c>
      <c r="I280" t="s">
        <v>690</v>
      </c>
    </row>
    <row r="281" spans="1:9">
      <c r="A281" t="str">
        <f>_xlfn.XLOOKUP(C281,[1]Sheet1!$C:$C,[1]Sheet1!$A:$A)</f>
        <v>5344-P188-14-551</v>
      </c>
      <c r="B281">
        <f>_xlfn.XLOOKUP(C281,[1]Sheet1!$C:$C,[1]Sheet1!$B:$B)</f>
        <v>0</v>
      </c>
      <c r="C281" t="s">
        <v>681</v>
      </c>
      <c r="D281" t="s">
        <v>5</v>
      </c>
      <c r="E281" t="str">
        <f>_xlfn.XLOOKUP(C281,[1]Sheet1!$C:$C,[1]Sheet1!$E:$E)</f>
        <v>(DCWSL19) 0.4ltr GRANDE MUG, APPLE/HAZE (LSA)</v>
      </c>
      <c r="I281" t="s">
        <v>693</v>
      </c>
    </row>
    <row r="282" spans="1:9">
      <c r="A282" t="str">
        <f>_xlfn.XLOOKUP(C282,[1]Sheet1!$C:$C,[1]Sheet1!$A:$A)</f>
        <v>5344-P188-14-725</v>
      </c>
      <c r="B282">
        <f>_xlfn.XLOOKUP(C282,[1]Sheet1!$C:$C,[1]Sheet1!$B:$B)</f>
        <v>0</v>
      </c>
      <c r="C282" t="s">
        <v>682</v>
      </c>
      <c r="D282" t="s">
        <v>5</v>
      </c>
      <c r="E282" t="str">
        <f>_xlfn.XLOOKUP(C282,[1]Sheet1!$C:$C,[1]Sheet1!$E:$E)</f>
        <v>(DCWSL19) 0.4ltr GRANDE MUG, SKY/HAZE (LSA)</v>
      </c>
      <c r="I282" t="s">
        <v>695</v>
      </c>
    </row>
    <row r="283" spans="1:9">
      <c r="A283" t="str">
        <f>_xlfn.XLOOKUP(C283,[1]Sheet1!$C:$C,[1]Sheet1!$A:$A)</f>
        <v>5344-P203-03-517</v>
      </c>
      <c r="B283" t="str">
        <f>_xlfn.XLOOKUP(C283,[1]Sheet1!$C:$C,[1]Sheet1!$B:$B)</f>
        <v>LW13</v>
      </c>
      <c r="C283" t="s">
        <v>683</v>
      </c>
      <c r="D283" t="s">
        <v>5</v>
      </c>
      <c r="E283" t="str">
        <f>_xlfn.XLOOKUP(C283,[1]Sheet1!$C:$C,[1]Sheet1!$E:$E)</f>
        <v>(DCWSL19)(IDMOQ4) #LW13 DIA18cm SERVING PLATTER &amp; ASH BASE, LOTTA (LSA)</v>
      </c>
      <c r="I283" t="s">
        <v>697</v>
      </c>
    </row>
    <row r="284" spans="1:9">
      <c r="A284" t="str">
        <f>_xlfn.XLOOKUP(C284,[1]Sheet1!$C:$C,[1]Sheet1!$A:$A)</f>
        <v>5344-P249-16-517</v>
      </c>
      <c r="B284">
        <f>_xlfn.XLOOKUP(C284,[1]Sheet1!$C:$C,[1]Sheet1!$B:$B)</f>
        <v>0</v>
      </c>
      <c r="C284" t="s">
        <v>684</v>
      </c>
      <c r="D284" t="s">
        <v>5</v>
      </c>
      <c r="E284" t="str">
        <f>_xlfn.XLOOKUP(C284,[1]Sheet1!$C:$C,[1]Sheet1!$E:$E)</f>
        <v>(DCWSL19) #CU08 DIA16xH5.5cm BOWL W/ASH HDL, CIRCLE (LSA)</v>
      </c>
      <c r="I284" t="s">
        <v>12</v>
      </c>
    </row>
    <row r="285" spans="1:9">
      <c r="A285" t="str">
        <f>_xlfn.XLOOKUP(C285,[1]Sheet1!$C:$C,[1]Sheet1!$A:$A)</f>
        <v>5344-P249-22-517</v>
      </c>
      <c r="B285">
        <f>_xlfn.XLOOKUP(C285,[1]Sheet1!$C:$C,[1]Sheet1!$B:$B)</f>
        <v>0</v>
      </c>
      <c r="C285" t="s">
        <v>685</v>
      </c>
      <c r="D285" t="s">
        <v>5</v>
      </c>
      <c r="E285" t="str">
        <f>_xlfn.XLOOKUP(C285,[1]Sheet1!$C:$C,[1]Sheet1!$E:$E)</f>
        <v>(DCWSL19) #CU09 DIA22xH5.5cm BOWL W/ASH HDL, CIRCLE (LSA)</v>
      </c>
      <c r="I285" t="s">
        <v>12</v>
      </c>
    </row>
  </sheetData>
  <conditionalFormatting sqref="A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 URL</vt:lpstr>
      <vt:lpstr>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NotFound</cp:lastModifiedBy>
  <dcterms:created xsi:type="dcterms:W3CDTF">2026-03-23T10:21:09Z</dcterms:created>
  <dcterms:modified xsi:type="dcterms:W3CDTF">2026-03-26T09:31:48Z</dcterms:modified>
</cp:coreProperties>
</file>