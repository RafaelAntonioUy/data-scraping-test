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8_{0F115E45-9520-40A7-8EEA-ACDB4D544169}" xr6:coauthVersionLast="47" xr6:coauthVersionMax="47" xr10:uidLastSave="{00000000-0000-0000-0000-000000000000}"/>
  <bookViews>
    <workbookView xWindow="-120" yWindow="-120" windowWidth="24240" windowHeight="13140" xr2:uid="{00000000-000D-0000-FFFF-FFFF00000000}"/>
  </bookViews>
  <sheets>
    <sheet name="Image URL" sheetId="1" r:id="rId1"/>
    <sheet name="Overview" sheetId="2" r:id="rId2"/>
    <sheet name="Specifications" sheetId="3" r:id="rId3"/>
  </sheets>
  <externalReferences>
    <externalReference r:id="rId4"/>
  </externalReferences>
  <definedNames>
    <definedName name="_xlnm._FilterDatabase" localSheetId="0" hidden="1">'Image URL'!$A$1:$A$43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3" i="3" l="1"/>
  <c r="A43" i="3"/>
  <c r="D42" i="3"/>
  <c r="A42" i="3"/>
  <c r="D41" i="3"/>
  <c r="A41" i="3"/>
  <c r="D40" i="3"/>
  <c r="A40" i="3"/>
  <c r="D39" i="3"/>
  <c r="A39" i="3"/>
  <c r="D38" i="3"/>
  <c r="A38" i="3"/>
  <c r="D37" i="3"/>
  <c r="A37" i="3"/>
  <c r="D36" i="3"/>
  <c r="A36" i="3"/>
  <c r="D35" i="3"/>
  <c r="A35" i="3"/>
  <c r="D34" i="3"/>
  <c r="A34" i="3"/>
  <c r="D33" i="3"/>
  <c r="A33" i="3"/>
  <c r="D32" i="3"/>
  <c r="A32" i="3"/>
  <c r="D31" i="3"/>
  <c r="A31" i="3"/>
  <c r="D30" i="3"/>
  <c r="A30" i="3"/>
  <c r="D29" i="3"/>
  <c r="A29" i="3"/>
  <c r="D28" i="3"/>
  <c r="A28" i="3"/>
  <c r="D27" i="3"/>
  <c r="A27" i="3"/>
  <c r="D26" i="3"/>
  <c r="A26" i="3"/>
  <c r="D25" i="3"/>
  <c r="A25" i="3"/>
  <c r="D24" i="3"/>
  <c r="A24" i="3"/>
  <c r="D23" i="3"/>
  <c r="A23" i="3"/>
  <c r="D22" i="3"/>
  <c r="A22" i="3"/>
  <c r="D21" i="3"/>
  <c r="A21" i="3"/>
  <c r="D20" i="3"/>
  <c r="A20" i="3"/>
  <c r="D19" i="3"/>
  <c r="A19" i="3"/>
  <c r="D18" i="3"/>
  <c r="A18" i="3"/>
  <c r="D17" i="3"/>
  <c r="A17" i="3"/>
  <c r="D16" i="3"/>
  <c r="A16" i="3"/>
  <c r="D15" i="3"/>
  <c r="A15" i="3"/>
  <c r="D14" i="3"/>
  <c r="A14" i="3"/>
  <c r="D13" i="3"/>
  <c r="A13" i="3"/>
  <c r="D12" i="3"/>
  <c r="A12" i="3"/>
  <c r="D11" i="3"/>
  <c r="A11" i="3"/>
  <c r="D10" i="3"/>
  <c r="A10" i="3"/>
  <c r="D9" i="3"/>
  <c r="A9" i="3"/>
  <c r="D8" i="3"/>
  <c r="A8" i="3"/>
  <c r="D7" i="3"/>
  <c r="A7" i="3"/>
  <c r="D6" i="3"/>
  <c r="A6" i="3"/>
  <c r="D5" i="3"/>
  <c r="A5" i="3"/>
  <c r="D4" i="3"/>
  <c r="A4" i="3"/>
  <c r="D3" i="3"/>
  <c r="A3" i="3"/>
  <c r="D2" i="3"/>
  <c r="A2" i="3"/>
  <c r="D43" i="2"/>
  <c r="A43" i="2"/>
  <c r="D42" i="2"/>
  <c r="A42" i="2"/>
  <c r="D41" i="2"/>
  <c r="A41" i="2"/>
  <c r="D40" i="2"/>
  <c r="A40" i="2"/>
  <c r="D39" i="2"/>
  <c r="A39" i="2"/>
  <c r="D38" i="2"/>
  <c r="A38" i="2"/>
  <c r="D37" i="2"/>
  <c r="A37" i="2"/>
  <c r="D36" i="2"/>
  <c r="A36" i="2"/>
  <c r="D35" i="2"/>
  <c r="A35" i="2"/>
  <c r="D34" i="2"/>
  <c r="A34" i="2"/>
  <c r="D33" i="2"/>
  <c r="A33" i="2"/>
  <c r="D32" i="2"/>
  <c r="A32" i="2"/>
  <c r="D31" i="2"/>
  <c r="A31" i="2"/>
  <c r="D30" i="2"/>
  <c r="A30" i="2"/>
  <c r="D29" i="2"/>
  <c r="A29" i="2"/>
  <c r="D28" i="2"/>
  <c r="A28" i="2"/>
  <c r="D27" i="2"/>
  <c r="A27" i="2"/>
  <c r="D26" i="2"/>
  <c r="A26" i="2"/>
  <c r="D25" i="2"/>
  <c r="A25" i="2"/>
  <c r="D24" i="2"/>
  <c r="A24" i="2"/>
  <c r="D23" i="2"/>
  <c r="A23" i="2"/>
  <c r="D22" i="2"/>
  <c r="A22" i="2"/>
  <c r="D21" i="2"/>
  <c r="A21" i="2"/>
  <c r="D20" i="2"/>
  <c r="A20" i="2"/>
  <c r="D19" i="2"/>
  <c r="A19" i="2"/>
  <c r="D18" i="2"/>
  <c r="A18" i="2"/>
  <c r="D17" i="2"/>
  <c r="A17" i="2"/>
  <c r="D16" i="2"/>
  <c r="A16" i="2"/>
  <c r="D15" i="2"/>
  <c r="A15" i="2"/>
  <c r="D14" i="2"/>
  <c r="A14" i="2"/>
  <c r="D13" i="2"/>
  <c r="A13" i="2"/>
  <c r="D12" i="2"/>
  <c r="A12" i="2"/>
  <c r="D11" i="2"/>
  <c r="A11" i="2"/>
  <c r="D10" i="2"/>
  <c r="A10" i="2"/>
  <c r="D9" i="2"/>
  <c r="A9" i="2"/>
  <c r="D8" i="2"/>
  <c r="A8" i="2"/>
  <c r="D7" i="2"/>
  <c r="A7" i="2"/>
  <c r="D6" i="2"/>
  <c r="A6" i="2"/>
  <c r="D5" i="2"/>
  <c r="A5" i="2"/>
  <c r="D4" i="2"/>
  <c r="A4" i="2"/>
  <c r="D3" i="2"/>
  <c r="A3" i="2"/>
  <c r="D2" i="2"/>
  <c r="A2"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2" i="1"/>
  <c r="A36" i="1"/>
  <c r="A37" i="1"/>
  <c r="A38" i="1"/>
  <c r="A39" i="1"/>
  <c r="A40" i="1"/>
  <c r="A41" i="1"/>
  <c r="A42" i="1"/>
  <c r="A43" i="1"/>
  <c r="A28" i="1"/>
  <c r="A29" i="1"/>
  <c r="A30" i="1"/>
  <c r="A31" i="1"/>
  <c r="A32" i="1"/>
  <c r="A33" i="1"/>
  <c r="A34" i="1"/>
  <c r="A35" i="1"/>
  <c r="A18" i="1"/>
  <c r="A19" i="1"/>
  <c r="A20" i="1"/>
  <c r="A21" i="1"/>
  <c r="A22" i="1"/>
  <c r="A23" i="1"/>
  <c r="A24" i="1"/>
  <c r="A25" i="1"/>
  <c r="A26" i="1"/>
  <c r="A27" i="1"/>
  <c r="A17" i="1"/>
  <c r="A16" i="1"/>
  <c r="A2" i="1"/>
  <c r="A3" i="1"/>
  <c r="A4" i="1"/>
  <c r="A5" i="1"/>
  <c r="A6" i="1"/>
  <c r="A7" i="1"/>
  <c r="A8" i="1"/>
  <c r="A9" i="1"/>
  <c r="A10" i="1"/>
  <c r="A11" i="1"/>
  <c r="A12" i="1"/>
  <c r="A13" i="1"/>
  <c r="A14" i="1"/>
  <c r="A15" i="1"/>
</calcChain>
</file>

<file path=xl/sharedStrings.xml><?xml version="1.0" encoding="utf-8"?>
<sst xmlns="http://schemas.openxmlformats.org/spreadsheetml/2006/main" count="603" uniqueCount="129">
  <si>
    <t>Item No.</t>
  </si>
  <si>
    <t>Mfr Catalog No.</t>
  </si>
  <si>
    <t>Group Name</t>
  </si>
  <si>
    <t>Item Description</t>
  </si>
  <si>
    <t>Image URL</t>
  </si>
  <si>
    <t>Overview</t>
  </si>
  <si>
    <t>Reference</t>
  </si>
  <si>
    <t>Country</t>
  </si>
  <si>
    <t>Steel</t>
  </si>
  <si>
    <t>Handle</t>
  </si>
  <si>
    <t>Blade Length, mm</t>
  </si>
  <si>
    <t>Lock</t>
  </si>
  <si>
    <t>Total length, mm</t>
  </si>
  <si>
    <t>Collection</t>
  </si>
  <si>
    <t>France</t>
  </si>
  <si>
    <t>Stainless</t>
  </si>
  <si>
    <t>Ebony wood</t>
  </si>
  <si>
    <t>Framelock</t>
  </si>
  <si>
    <t>Olive</t>
  </si>
  <si>
    <t>Tattoo</t>
  </si>
  <si>
    <t>Coralwood</t>
  </si>
  <si>
    <t>Juniper</t>
  </si>
  <si>
    <t>1CB000021</t>
  </si>
  <si>
    <t>https://mygoodknife.com/10532-medium_default/folding-knife-deejo-latino-skull-1cb000021-95cm.jpg</t>
  </si>
  <si>
    <t>The Deejo Latino Skull, a 37g folding knife, combines practicality and aesthetics. Its high-quality Z40C13 titanium-coated blade features a striking laser-engraved skull, inspired by Latin culture. Its lightweight (37g) and ergonomic natural wood handle make it incredibly comfortable for everyday use. A reliable frame-lock and a convenient pocket clip ensure safety. The Deejo Latino Skull is an excellent choice for those seeking an EDC knife that combines aesthetics and functionality.</t>
  </si>
  <si>
    <t>1CB000032</t>
  </si>
  <si>
    <t>https://mygoodknife.com/35733-medium_default/folding-knife-deejo-bicycle-1cb000032-95cm.jpg</t>
  </si>
  <si>
    <t>The Deejo Bicycle knife will be a perfect companion for cycling enthusiasts, not only thanks to its themed laser engraving but also its ultra-lightweight of just 37g. The blade features a titanium protective coating and is crafted from stainless steel. The handle is finished with ebony. A clip makes it easy to carry. Its incredibly light weight means you'll barely notice it in your pocket.</t>
  </si>
  <si>
    <t>Wood</t>
  </si>
  <si>
    <t>1GB000149</t>
  </si>
  <si>
    <t>https://mygoodknife.com/35785-medium_default/folding-knife-deejo-black-yin-yang-1gb000149-95cm.jpg</t>
  </si>
  <si>
    <t>The stylish and lightweight Deejo Yin and Yang pocket knife. The engraving on the blade gives this EDC knife a distinct personality and highlights the owner's character. The blade and frame are crafted from high-quality stainless steel with a black titanium coating. Weighing only 37 grams, this light weight means you barely notice the knife in your pocket or bag. The knife is equipped with a pocket clip. The handle is made of natural olive wood. The Deejo Yin and Yang knife comes in a branded box. Made in France.</t>
  </si>
  <si>
    <t>1GB000172</t>
  </si>
  <si>
    <t>https://mygoodknife.com/35768-medium_default/folding-knife-deejo-black-vinyl-1gb000172-95cm.jpg</t>
  </si>
  <si>
    <t>A stylish black Deejo pocket knife with a vinyl record engraving. This EDC knife makes a great gift for music lovers. The entire structure, including the blade, is crafted from stainless steel with a black titanium coating. The handle is finished in ebony. Weighing just 37g, the knife is ultra-lightweight and easy to carry for everyday tasks. It features a pocket clip and comes in a lightweight branded box.</t>
  </si>
  <si>
    <t>Biker</t>
  </si>
  <si>
    <t>1CB000014</t>
  </si>
  <si>
    <t>https://mygoodknife.com/35734-medium_default/folding-knife-deejo-art-nouveau-1cb000014-95cm.jpg</t>
  </si>
  <si>
    <t>The Deejo Art Nouveau knife weighs only 37g and features a natural juniper handle with a subtle woody aroma. Laser engraving on the blade transforms this practical pocket knife into a stylish accessory. The Z40C13 steel blade with a titanium coating is scratch-resistant and holds an edge well. A reliable locking system makes it safe to use. This knife is perfect for both EDC and gifting.</t>
  </si>
  <si>
    <t>1CB000022</t>
  </si>
  <si>
    <t>https://mygoodknife.com/10508-medium_default/folding-knife-deejo-tree-1cb000022-95cm.jpg</t>
  </si>
  <si>
    <t>The Deejo Tree 37g is the epitome of elegance and minimalism in a folding knife. Weighing just 37 grams, it's virtually weightless, and its nature-inspired design will appeal to those who appreciate aesthetics. The durable Z40C13 stainless steel blade with a matte titanium coating is adorned with a delicate tree engraving, symbolizing vitality. The natural wood handle ensures comfortable use and a pleasant tactile feel. With a secure frame lock and convenient clip, this knife will become your indispensable companion for everyday life, hiking, and travel. The Deejo Tree is the perfect choice for those who love nature, outdoor activities, and stylish, functional accessories.</t>
  </si>
  <si>
    <t>1CB000054</t>
  </si>
  <si>
    <t>https://mygoodknife.com/35726-medium_default/folding-knife-deejo-terra-incognita-1cb000054-95cm.jpg</t>
  </si>
  <si>
    <t>For those who spend a lot of time traveling or only dream of it, the Deejo Terra Incognita knife will be a wonderful assistant and companion. Weighing just 37 grams and featuring a sturdy clip, it's comfortable and easy to carry in a pocket, backpack, or belt. Laser engraving on the blade adds a personal touch and adds a personal touch. The blade is crafted from stainless steel. The handle features an olive wood scale.</t>
  </si>
  <si>
    <t>1CB000080</t>
  </si>
  <si>
    <t>https://mygoodknife.com/35736-medium_default/folding-knife-deejo-mountain-1cb000080-95cm.jpg</t>
  </si>
  <si>
    <t>The Deejo Mountain 37g knife strikes the perfect balance between sophisticated design and impeccable functionality. Its Z40C13 stainless steel blade with a wear-resistant titanium coating ensures rust resistance and practicality for everyday use. The 9.5cm blade is adorned with a subtle laser engraving dedicated to the mountains, making it a perfect gift for any mountain and nature lover. The natural coral wood (Padauk) handle adds a warm touch and highlights the knife's uniqueness. With a minimal weight of 37g and a comfortable clip, this knife will become your indispensable EDC assistant, whether in the mountains or in the city.</t>
  </si>
  <si>
    <t>1CB000053</t>
  </si>
  <si>
    <t>https://mygoodknife.com/35731-medium_default/folding-knife-deejo-cafe-racer-1cb000053-95cm.jpg</t>
  </si>
  <si>
    <t>A café racer is a type of motorcycle designed for short, high-speed trips, literally from café to café—hence the name. The Deejo pocket knife features an engraving dedicated to this legendary motorcycle and makes a great gift for any motorcycle enthusiast. The 95 mm blade is crafted from stainless steel. The handle features an ebony scale. The knife is equipped with a frame lock and a pocket clip. Weighing only 37 g, it's a perfect gift for anyone who loves motorcycles.</t>
  </si>
  <si>
    <t>1CB000020</t>
  </si>
  <si>
    <t>https://mygoodknife.com/35753-medium_default/folding-knife-deejo-tribal-1cb000020-95cm.jpg</t>
  </si>
  <si>
    <t>The Deejo Tribal knife is an ultra-lightweight folding knife weighing just 37g, ideal for everyday use. It's crafted from Z40C13 stainless steel with a thin titanium coating and features an artistic laser-engraved Tribal motif, adding a touch of individuality and style. The ergonomic handle, crafted from aromatic juniper wood, offers a pleasant tactile feel, and the pocket clip allows for convenient carrying. This model combines functionality, aesthetic appeal, and lightweight design.</t>
  </si>
  <si>
    <t>1GB000163</t>
  </si>
  <si>
    <t>https://mygoodknife.com/35772-medium_default/folding-knife-deejo-black-viking-1gb000163-95cm.jpg</t>
  </si>
  <si>
    <t>An elegant and lightweight Deejo pocket knife in black. The blade features an engraving dedicated to Norse mythology. The handle is crafted from natural olive wood. This ultra-light EDC knife weighs only 37g. The 95mm blade is crafted from stainless steel. The entire structure is coated in black titanium. The knife is equipped with a pocket clip for easy carry. It comes in a branded box.</t>
  </si>
  <si>
    <t>1GB000139</t>
  </si>
  <si>
    <t>https://www.3claveles.com/2897-medium_default/deejo-tattoo-37g-polynesian.jpg</t>
  </si>
  <si>
    <t>1CB000062</t>
  </si>
  <si>
    <t>https://www.3claveles.com/2877-medium_default/deejo-tattoo-37-g-racing-car.jpg</t>
  </si>
  <si>
    <t>1GB000105</t>
  </si>
  <si>
    <t>https://www.3claveles.com/2887-medium_default/deejo-tattoo-37g-art-deco.jpg</t>
  </si>
  <si>
    <t>SFB000004</t>
  </si>
  <si>
    <t>Well-known for the quality and elegance of our knives – whether for the pocket, table or kitchen – Deejo once more proclaims its love of beautiful objects with a waiter’s corkscrew that is as refined as it is effective (notably thanks to its double hinged arm), offering an essential tool that’s sure to delight even the most demanding of wine lovers. Stainless steel waiter's knife with anthracite grey titanium finish. Double articulated lever and quick bottle opener. 5 spiral corkscrew with non-stick coating. Micro-serrated blade. Ebony handle.</t>
  </si>
  <si>
    <t>https://d2j6dbq0eux0bg.cloudfront.net/images/122366027/5121103940.jpg</t>
  </si>
  <si>
    <t>1CB000015</t>
  </si>
  <si>
    <t>https://www.cretanknives.gr/wp-content/uploads/2018/10/1cb015_0_1.jpg</t>
  </si>
  <si>
    <t>A beautiful and lightweight knife from Deejo® France, weighing 37 grams and with a 9.5 cm thin blade. It has an Art Deco pattern engraved on its blade. Its handle is made of juniper wood, which gives it exceptional durability. The blade is made of stainless steel with a locking system. It has a clip to hang on your belt or backpack.</t>
  </si>
  <si>
    <t>1CB000056</t>
  </si>
  <si>
    <t>https://www.coriolis-pro.com/medias/produits/2720362579/21303_500x500-deejo-37g-coral-wood-lion.jpg</t>
  </si>
  <si>
    <t>https://www.coriolis-pro.com/medias/produits/349332037/23125_500x500-deejo-37g-juniper-wood-grand-cru.jpg</t>
  </si>
  <si>
    <t>1CB000089</t>
  </si>
  <si>
    <t>https://www.coriolis-pro.com/medias/produits/4262400774/23181_500x500-deejo-37g-olive-wood-pacific.jpg</t>
  </si>
  <si>
    <t>1GB000141</t>
  </si>
  <si>
    <t>https://www.coriolis-pro.com/medias/produits/4058144903/24947_500x500-deejo-37g-carbon-fiber-young-timer.jpg</t>
  </si>
  <si>
    <t>1GC000108</t>
  </si>
  <si>
    <t>https://www.coriolis-pro.com/medias/produits/1457881455/24917_500x500-deejo-37g-light-grey-aluminum-quadratic.jpg</t>
  </si>
  <si>
    <t>1GM000032</t>
  </si>
  <si>
    <t>1GM000033</t>
  </si>
  <si>
    <t>https://www.coriolis-pro.com/medias/produits/3213239386/24922_500x500-deejo-37g-dark-grey-aluminum-illusions.jpg</t>
  </si>
  <si>
    <t>https://www.coriolis-pro.com/medias/produits/3363902668/24927_500x500-deejo-37g-red-aluminum-frieze.jpg</t>
  </si>
  <si>
    <t>1GM000034</t>
  </si>
  <si>
    <t>1GM000036</t>
  </si>
  <si>
    <t>1GM000035</t>
  </si>
  <si>
    <t>1GM000037</t>
  </si>
  <si>
    <t>https://www.coriolis-pro.com/medias/produits/646936032/24932_500x500-deejo-37g-green-khaki-aluminum-perspective.jpg</t>
  </si>
  <si>
    <t>https://www.coriolis-pro.com/medias/produits/3241629927/24942_500x500-deejo-37g-blue-aluminum-clouds.jpg</t>
  </si>
  <si>
    <t>https://www.coriolis-pro.com/medias/produits/1367885174/24937_500x500-deejo-37g-orange-aluminum-parallel.jpg</t>
  </si>
  <si>
    <t>3GB000054</t>
  </si>
  <si>
    <t>https://www.coriolis-pro.com/medias/produits/2469536260/22056_500x500-deejo-390g-olive-wood-terra-incognita.jpg</t>
  </si>
  <si>
    <t>6AB000005</t>
  </si>
  <si>
    <t>https://www.coriolis-pro.com/medias/produits/174006139/22485_500x500-6-deejo-steak-knives-prestige-coral-wood.jpg</t>
  </si>
  <si>
    <t>6AB000103</t>
  </si>
  <si>
    <t>https://www.coriolis-pro.com/medias/produits/1961780166/22495_500x500-6-deejo-steak-knives-prestige-olive-wood-toile-de-jouy.jpg</t>
  </si>
  <si>
    <t>6FB000101</t>
  </si>
  <si>
    <t>https://www.coriolis-pro.com/medias/produits/1844793991/22493_500x500-6-deejo-steak-knives-prestige-olive-wood-art-deco.jpg</t>
  </si>
  <si>
    <t>6FB000105</t>
  </si>
  <si>
    <t>https://www.coriolis-pro.com/medias/produits/1587854985/22479_500x500-6-deejo-steak-knives-prestige-ebony-wood-japan.jpg</t>
  </si>
  <si>
    <t>6FM000101</t>
  </si>
  <si>
    <t>https://www.coriolis-pro.com/medias/produits/976921119/24415_500x500-6-deejo-steak-knives-prestige-chrome-plated-art-deco.jpg</t>
  </si>
  <si>
    <t>SFB000001</t>
  </si>
  <si>
    <t>https://www.coriolis-pro.com/medias/produits/1075876419/24366_500x500-deejo-waiter-s-knife-olive-wood.jpg</t>
  </si>
  <si>
    <t>SFB000005</t>
  </si>
  <si>
    <t>https://www.coriolis-pro.com/medias/produits/925344469/24363_500x500-deejo-waiter-s-knife-coral-wood.jpg</t>
  </si>
  <si>
    <t>https://assets.katogroup.eu/i/katogroup/DJ1CB000076_01_deejo?%24product-image%24=&amp;fmt=auto&amp;h=434&amp;w=652</t>
  </si>
  <si>
    <t>1CB000076</t>
  </si>
  <si>
    <t>paduk</t>
  </si>
  <si>
    <t>https://www.klubbstore.fr/cdn/shop/files/COUTEAU-_COCORICO_-TITANE-_-BOIS-CORAIL-DEEJO-365582490.png?v=1741368786&amp;width=1946</t>
  </si>
  <si>
    <t>1CB000090</t>
  </si>
  <si>
    <t>Proudly display your attachment to France with the Deejo "Cocorico" knife, a refined tribute to the French spirit. Its Z40C13 stainless steel blade is finely laser-engraved with a majestic Gallic rooster, the nation's iconic symbol, surrounded by a delicate floral motif. This model perfectly embodies French elegance and craftsmanship.</t>
  </si>
  <si>
    <t>Coral wood</t>
  </si>
  <si>
    <t>https://assets.katogroup.eu/i/katogroup/DJ6AB000101_01_deejo?%24product-image%24=&amp;fmt=auto&amp;h=434&amp;w=652</t>
  </si>
  <si>
    <t>6AB000104</t>
  </si>
  <si>
    <t>6AC000108</t>
  </si>
  <si>
    <t>https://www.subtil-diamant.com/ar-6-couteaux-de-table-deejo-tortue-ambree-sauvage-60-gr-chantana-6ac000108-51555.webp</t>
  </si>
  <si>
    <t>6FB000102</t>
  </si>
  <si>
    <t>https://www.subtil-diamant.com/ar-couteaux-de-table-deejo-bois-corail-geometrie-60-gr-nolwenn-6fb000102-44251.webp</t>
  </si>
  <si>
    <t>https://cdn.myshoptet.com/usr/www.deejo.cz/user/shop/big/33383_deejo-dee057-2-1000px.jpg?60dc4bc4</t>
  </si>
  <si>
    <t>DEE000057</t>
  </si>
  <si>
    <t>https://cdn.myshoptet.com/usr/www.warp-sport.com/user/shop/big/1988_deejo-dee456.jpg?691464a2</t>
  </si>
  <si>
    <t>DEE000456</t>
  </si>
  <si>
    <t>DEE000885</t>
  </si>
  <si>
    <t>https://selectionrs.com/128657-large_default/couteau-24h-le-mans-100-ans-edition-nuit-tatouage-titane-ebene-deejo-dee000725.jpg</t>
  </si>
  <si>
    <t>24 Hours of Le Mans 100th Anniversary Night Edition Knife Inscription and tattoo of 24 Hours of Le Mans on the blade Ultra-light and modern thanks to its ebony handle Black titanium finish with laser engraving Blade with 'liner lock' type safety notch It unfolds thanks to its articulation screw.</t>
  </si>
  <si>
    <t>Black Titanium</t>
  </si>
  <si>
    <t>DEEJO FRANCE</t>
  </si>
  <si>
    <t>n/a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</si>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</sst>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Aptos narrow"/>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Fill="1"/>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DEEJO%20FR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Item No.</v>
          </cell>
          <cell r="B1" t="str">
            <v>Mfr Catalog No.</v>
          </cell>
          <cell r="D1" t="str">
            <v>Item Description</v>
          </cell>
        </row>
        <row r="2">
          <cell r="A2" t="str">
            <v>6833-1CB000014</v>
          </cell>
          <cell r="B2" t="str">
            <v>1CB000014</v>
          </cell>
          <cell r="D2" t="str">
            <v>DEEJO #1CB000014 37g JUNIPER WOOD ART NOUVEAU FOLDABLE POCKET KNIFE</v>
          </cell>
        </row>
        <row r="3">
          <cell r="A3" t="str">
            <v>6833-1CB000015</v>
          </cell>
          <cell r="B3" t="str">
            <v>1CB000015</v>
          </cell>
          <cell r="D3" t="str">
            <v>DEEJO #1CB000015 37g JUNIPER WOOD FISH FOLDABLE POCKET KNIFE</v>
          </cell>
        </row>
        <row r="4">
          <cell r="A4" t="str">
            <v>6833-1CB000020</v>
          </cell>
          <cell r="B4" t="str">
            <v>1CB000020</v>
          </cell>
          <cell r="D4" t="str">
            <v>DEEJO #1CB000020 37g JUNIPER WOOD TRIBAL FOLDABLE POCKET KNIFE</v>
          </cell>
        </row>
        <row r="5">
          <cell r="A5" t="str">
            <v>6833-1CB000021</v>
          </cell>
          <cell r="B5" t="str">
            <v>1CB000021</v>
          </cell>
          <cell r="D5" t="str">
            <v>DEEJO #1CB000021 37g EBONY WOOD LATINO SKULL FOLDABLE POCKET KNIFE</v>
          </cell>
        </row>
        <row r="6">
          <cell r="A6" t="str">
            <v>6833-1CB000022</v>
          </cell>
          <cell r="B6" t="str">
            <v>1CB000022</v>
          </cell>
          <cell r="D6" t="str">
            <v>DEEJO #1CB000022 37g CORAL WOOD TREE FOLDABLE POCKET KNIFE</v>
          </cell>
        </row>
        <row r="7">
          <cell r="A7" t="str">
            <v>6833-1CB000032</v>
          </cell>
          <cell r="B7" t="str">
            <v>1CB000032</v>
          </cell>
          <cell r="D7" t="str">
            <v>DEEJO #1CB000032 37g EBONY WOOD BICYCLE FOLDABLE POCKET KNIFE</v>
          </cell>
        </row>
        <row r="8">
          <cell r="A8" t="str">
            <v>6833-1CB000053</v>
          </cell>
          <cell r="B8" t="str">
            <v>1CB000053</v>
          </cell>
          <cell r="D8" t="str">
            <v>DEEJO #1CB000053 37g EBONY WOOD CAFE RACER FOLDABLE POCKET KNIFE</v>
          </cell>
        </row>
        <row r="9">
          <cell r="A9" t="str">
            <v>6833-1CB000054</v>
          </cell>
          <cell r="B9" t="str">
            <v>1CB000054</v>
          </cell>
          <cell r="D9" t="str">
            <v>DEEJO #1CB000054 37g OLIVE WOOD TERRA INCOGNITA FOLDABLE POCKET KNIFE</v>
          </cell>
        </row>
        <row r="10">
          <cell r="A10" t="str">
            <v>6833-1CB000056</v>
          </cell>
          <cell r="B10" t="str">
            <v>1CB000056</v>
          </cell>
          <cell r="D10" t="str">
            <v>DEEJO #1CB000056 37g CORAL WOOD LION FOLDABLE POCKET KNIFE</v>
          </cell>
        </row>
        <row r="11">
          <cell r="A11" t="str">
            <v>6833-1CB000062</v>
          </cell>
          <cell r="B11" t="str">
            <v>1CB000062</v>
          </cell>
          <cell r="D11" t="str">
            <v>DEEJO #1CB000062 37g CORAL WOOD RACING CAR FOLDABLE POCKET KNIFE</v>
          </cell>
        </row>
        <row r="12">
          <cell r="A12" t="str">
            <v>6833-1CB000076</v>
          </cell>
          <cell r="B12" t="str">
            <v>1CB000076</v>
          </cell>
          <cell r="D12" t="str">
            <v>DEEJO #1CB000076 37g CORAL WOOD CHINESE DRAGON FOLDABLE POCKET KNIFE</v>
          </cell>
        </row>
        <row r="13">
          <cell r="A13" t="str">
            <v>6833-1CB000080</v>
          </cell>
          <cell r="B13" t="str">
            <v>1CB000080</v>
          </cell>
          <cell r="D13" t="str">
            <v>DEEJO #1CB000080 37g CORAL WOOD MOUNTAIN FOLDABLE POCKET KNIFE</v>
          </cell>
        </row>
        <row r="14">
          <cell r="A14" t="str">
            <v>6833-1CB000089</v>
          </cell>
          <cell r="B14" t="str">
            <v>1CB000089</v>
          </cell>
          <cell r="D14" t="str">
            <v>DEEJO #1CB000089 37g JUNIPER WOOD GRAND CRU FOLDABLE POCKET KNIFE</v>
          </cell>
        </row>
        <row r="15">
          <cell r="A15" t="str">
            <v>6833-1CB000090</v>
          </cell>
          <cell r="B15" t="str">
            <v>1CB000090</v>
          </cell>
          <cell r="D15" t="str">
            <v>DEEJO #1CB000090 37g CORAL WOOD COCK-A-DOODLE-DOO FOLDABLE POCKET KNIFE</v>
          </cell>
        </row>
        <row r="16">
          <cell r="A16" t="str">
            <v>6833-1GB000105</v>
          </cell>
          <cell r="B16" t="str">
            <v>1GB000105</v>
          </cell>
          <cell r="D16" t="str">
            <v>DEEJO #1GB000105 37g OLIVE WOOD ART DECO FOLDABLE POCKET KNIFE</v>
          </cell>
        </row>
        <row r="17">
          <cell r="A17" t="str">
            <v>6833-1GB000139</v>
          </cell>
          <cell r="B17" t="str">
            <v>1GB000139</v>
          </cell>
          <cell r="D17" t="str">
            <v>DEEJO #1GB000139 37g CORAL WOOD POLYNESIAN FOLDABLE POCKET KNIFE</v>
          </cell>
        </row>
        <row r="18">
          <cell r="A18" t="str">
            <v>6833-1GB000141</v>
          </cell>
          <cell r="B18" t="str">
            <v>1GB000141</v>
          </cell>
          <cell r="D18" t="str">
            <v>DEEJO #1GB000141 37g OLIVE WOOD PACIFIC FOLDABLE POCKET KNIFE</v>
          </cell>
        </row>
        <row r="19">
          <cell r="A19" t="str">
            <v>6833-1GB000149</v>
          </cell>
          <cell r="B19" t="str">
            <v>1GB000149</v>
          </cell>
          <cell r="D19" t="str">
            <v>DEEJO #1GB000149 37g OLIVE WOOD YIN AND YANG FOLDABLE POCKET KNIFE</v>
          </cell>
        </row>
        <row r="20">
          <cell r="A20" t="str">
            <v>6833-1GB000163</v>
          </cell>
          <cell r="B20" t="str">
            <v>1GB000163</v>
          </cell>
          <cell r="D20" t="str">
            <v>DEEJO #1GB000163 37g OLIVE WOOD VIKING VEGVISER FOLDABLE POCKET KNIFE</v>
          </cell>
        </row>
        <row r="21">
          <cell r="A21" t="str">
            <v>6833-1GB000172</v>
          </cell>
          <cell r="B21" t="str">
            <v>1GB000172</v>
          </cell>
          <cell r="D21" t="str">
            <v>DEEJO #1GB000172 37g EBONY WOOD VINYL FOLDABLE POCKET KNIFE</v>
          </cell>
        </row>
        <row r="22">
          <cell r="A22" t="str">
            <v>6833-1GC000108</v>
          </cell>
          <cell r="B22" t="str">
            <v>1GC000108</v>
          </cell>
          <cell r="D22" t="str">
            <v>(*ID) DEEJO #1GC000108 37g CARBON FIBER YOUNG TIMER</v>
          </cell>
        </row>
        <row r="23">
          <cell r="A23" t="str">
            <v>6833-1GM000032</v>
          </cell>
          <cell r="B23" t="str">
            <v>1GM000032</v>
          </cell>
          <cell r="D23" t="str">
            <v>(DC25) DEEJO #1GM000032 37g ALUMINIUM LIGHT GREY QUADRATIC</v>
          </cell>
        </row>
        <row r="24">
          <cell r="A24" t="str">
            <v>6833-1GM000033</v>
          </cell>
          <cell r="B24" t="str">
            <v>1GM000033</v>
          </cell>
          <cell r="D24" t="str">
            <v>(*ID) DEEJO #1GM000033 37g ALUMINIUM DARK GREY ILLUSION</v>
          </cell>
        </row>
        <row r="25">
          <cell r="A25" t="str">
            <v>6833-1GM000034</v>
          </cell>
          <cell r="B25" t="str">
            <v>1GM000034</v>
          </cell>
          <cell r="D25" t="str">
            <v>(*ID) DEEJO #1GM000034 37g ALUMINIUM RED FRIEZE</v>
          </cell>
        </row>
        <row r="26">
          <cell r="A26" t="str">
            <v>6833-1GM000035</v>
          </cell>
          <cell r="B26" t="str">
            <v>1GM000035</v>
          </cell>
          <cell r="D26" t="str">
            <v>(*ID) DEEJO #1GM000035 37g ALUMINIUM KHAKI PERSPECTIVE</v>
          </cell>
        </row>
        <row r="27">
          <cell r="A27" t="str">
            <v>6833-1GM000036</v>
          </cell>
          <cell r="B27" t="str">
            <v>1GM000036</v>
          </cell>
          <cell r="D27" t="str">
            <v>(*ID) DEEJO #1GM000036 37g ALUMINIUM ORANGE PARALLEL</v>
          </cell>
        </row>
        <row r="28">
          <cell r="A28" t="str">
            <v>6833-1GM000037</v>
          </cell>
          <cell r="B28" t="str">
            <v>1GM000037</v>
          </cell>
          <cell r="D28" t="str">
            <v>(*ID) DEEJO #1GM000037 37g ALUMINIUM BLUE CLOUDS</v>
          </cell>
        </row>
        <row r="29">
          <cell r="A29" t="str">
            <v>6833-3GB000054</v>
          </cell>
          <cell r="B29" t="str">
            <v>3GB000054</v>
          </cell>
          <cell r="D29" t="str">
            <v>(*ID) DEEJO ##3GB000054 390g OLIVE WOOD TERRA INCOGNITA</v>
          </cell>
        </row>
        <row r="30">
          <cell r="A30" t="str">
            <v>6833-6AB000005</v>
          </cell>
          <cell r="B30" t="str">
            <v>6AB000005</v>
          </cell>
          <cell r="D30" t="str">
            <v>DEEJO #6AB000005 CORAL WOOD STEAK KNIVES MIRROR BLADE W/O TATTOO SET OF 6</v>
          </cell>
        </row>
        <row r="31">
          <cell r="A31" t="str">
            <v>6833-6AB000103</v>
          </cell>
          <cell r="B31" t="str">
            <v>6AB000103</v>
          </cell>
          <cell r="D31" t="str">
            <v>DEEJO #6AB000103 OLIVE WOOD STEAK KNIFE TOILE DE JOUY SET OF 6</v>
          </cell>
        </row>
        <row r="32">
          <cell r="A32" t="str">
            <v>6833-6AB000104</v>
          </cell>
          <cell r="B32" t="str">
            <v>6AB000104</v>
          </cell>
          <cell r="D32" t="str">
            <v>DEEJO #6AB000104 CORAL WOOD STEAK KNIFE BLOSSOM SET OF 6</v>
          </cell>
        </row>
        <row r="33">
          <cell r="A33" t="str">
            <v>6833-6AC000108</v>
          </cell>
          <cell r="B33" t="str">
            <v>6AC000108</v>
          </cell>
          <cell r="D33" t="str">
            <v>DEEJO #6AC000108 AMBER TURTLE STEAK KNIVES WILD  SET OF 6</v>
          </cell>
        </row>
        <row r="34">
          <cell r="A34" t="str">
            <v>6833-6FB000101</v>
          </cell>
          <cell r="B34" t="str">
            <v>6FB000101</v>
          </cell>
          <cell r="D34" t="str">
            <v>DEEJO #6FB000101 OLIVE WOOD STEAK KNIVES ART DECO SET OF 6</v>
          </cell>
        </row>
        <row r="35">
          <cell r="A35" t="str">
            <v>6833-6FB000102</v>
          </cell>
          <cell r="B35" t="str">
            <v>6FB000102</v>
          </cell>
          <cell r="D35" t="str">
            <v>DEEJO #6FB000102 CORAL WOOD STEAK KNIVES GEOMETRIE SET OF 6</v>
          </cell>
        </row>
        <row r="36">
          <cell r="A36" t="str">
            <v>6833-6FB000105</v>
          </cell>
          <cell r="B36" t="str">
            <v>6FB000105</v>
          </cell>
          <cell r="D36" t="str">
            <v>DEEJO #6FB000105 EBONY STEAK KNIVES JAPANESE SET OF 6</v>
          </cell>
        </row>
        <row r="37">
          <cell r="A37" t="str">
            <v>6833-6FM000101</v>
          </cell>
          <cell r="B37" t="str">
            <v>6FM000101</v>
          </cell>
          <cell r="D37" t="str">
            <v>(*ID) DEEJO #6FM000101 CHROME PLATED STEAK KNIVES ART SET OF 6</v>
          </cell>
        </row>
        <row r="38">
          <cell r="A38" t="str">
            <v>6833-DEE000057</v>
          </cell>
          <cell r="B38" t="str">
            <v>DEE000057</v>
          </cell>
          <cell r="D38" t="str">
            <v>DEEJO #DEE000057 ROTATIVE DISPLAY FOR 24 X DEEJO BOX</v>
          </cell>
        </row>
        <row r="39">
          <cell r="A39" t="str">
            <v>6833-DEE000456</v>
          </cell>
          <cell r="B39" t="str">
            <v>DEE000456</v>
          </cell>
          <cell r="D39" t="str">
            <v>(ID*) DEEJO #DEE000456 METAL CLOSED TABLE KNIVES DISPLAY FOR X6</v>
          </cell>
        </row>
        <row r="40">
          <cell r="A40" t="str">
            <v>6833-DEE000885</v>
          </cell>
          <cell r="B40" t="str">
            <v>DEE000885</v>
          </cell>
          <cell r="D40" t="str">
            <v>(*ID) DEEJO #DEE000885 37g ALUMINIUM DARK GREY 24H LE MANS DUEL LIMITED EDITION</v>
          </cell>
        </row>
        <row r="41">
          <cell r="A41" t="str">
            <v>6833-SFB000001</v>
          </cell>
          <cell r="B41" t="str">
            <v>SFB000001</v>
          </cell>
          <cell r="D41" t="str">
            <v>(*ID) DEEJO #SFB000001 75g WAITER'S KNIFE OLIVE WOOD</v>
          </cell>
        </row>
        <row r="42">
          <cell r="A42" t="str">
            <v>6833-SFB000004</v>
          </cell>
          <cell r="B42" t="str">
            <v>SFB000004</v>
          </cell>
          <cell r="D42" t="str">
            <v>(*ID) DEEJO #SFB000004 75g WAITER'S KNIFE EBONY WOOD</v>
          </cell>
        </row>
        <row r="43">
          <cell r="A43" t="str">
            <v>6833-SFB000005</v>
          </cell>
          <cell r="B43" t="str">
            <v>SFB000005</v>
          </cell>
          <cell r="D43" t="str">
            <v>(*ID) DEEJO #SFB000005 75g WAITER'S KNIFE CORAL WOOD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workbookViewId="0">
      <pane ySplit="1" topLeftCell="A8" activePane="bottomLeft" state="frozen"/>
      <selection pane="bottomLeft" activeCell="Q18" sqref="Q18"/>
    </sheetView>
  </sheetViews>
  <sheetFormatPr defaultRowHeight="15"/>
  <cols>
    <col min="1" max="1" width="16.7109375" customWidth="1"/>
    <col min="2" max="2" width="18.140625" customWidth="1"/>
    <col min="3" max="3" width="17" customWidth="1"/>
    <col min="4" max="4" width="25.140625" customWidth="1"/>
    <col min="5" max="5" width="17.5703125" customWidth="1"/>
  </cols>
  <sheetData>
    <row r="1" spans="1:5" s="3" customFormat="1">
      <c r="A1" s="2" t="s">
        <v>0</v>
      </c>
      <c r="B1" s="2" t="s">
        <v>1</v>
      </c>
      <c r="C1" s="2" t="s">
        <v>2</v>
      </c>
      <c r="D1" s="2" t="s">
        <v>3</v>
      </c>
      <c r="E1" s="2" t="s">
        <v>4</v>
      </c>
    </row>
    <row r="2" spans="1:5">
      <c r="A2" t="str">
        <f>_xlfn.XLOOKUP(B2,[1]Sheet1!$B:$B,[1]Sheet1!$A:$A)</f>
        <v>6833-1CB000021</v>
      </c>
      <c r="B2" t="s">
        <v>22</v>
      </c>
      <c r="C2" t="s">
        <v>126</v>
      </c>
      <c r="D2" t="str">
        <f>_xlfn.XLOOKUP(B2,[1]Sheet1!$B:$B,[1]Sheet1!$D:$D)</f>
        <v>DEEJO #1CB000021 37g EBONY WOOD LATINO SKULL FOLDABLE POCKET KNIFE</v>
      </c>
      <c r="E2" t="s">
        <v>23</v>
      </c>
    </row>
    <row r="3" spans="1:5">
      <c r="A3" t="str">
        <f>_xlfn.XLOOKUP(B3,[1]Sheet1!$B:$B,[1]Sheet1!$A:$A)</f>
        <v>6833-1CB000032</v>
      </c>
      <c r="B3" t="s">
        <v>25</v>
      </c>
      <c r="C3" t="s">
        <v>126</v>
      </c>
      <c r="D3" t="str">
        <f>_xlfn.XLOOKUP(B3,[1]Sheet1!$B:$B,[1]Sheet1!$D:$D)</f>
        <v>DEEJO #1CB000032 37g EBONY WOOD BICYCLE FOLDABLE POCKET KNIFE</v>
      </c>
      <c r="E3" t="s">
        <v>26</v>
      </c>
    </row>
    <row r="4" spans="1:5">
      <c r="A4" t="str">
        <f>_xlfn.XLOOKUP(B4,[1]Sheet1!$B:$B,[1]Sheet1!$A:$A)</f>
        <v>6833-1GB000149</v>
      </c>
      <c r="B4" t="s">
        <v>29</v>
      </c>
      <c r="C4" t="s">
        <v>126</v>
      </c>
      <c r="D4" t="str">
        <f>_xlfn.XLOOKUP(B4,[1]Sheet1!$B:$B,[1]Sheet1!$D:$D)</f>
        <v>DEEJO #1GB000149 37g OLIVE WOOD YIN AND YANG FOLDABLE POCKET KNIFE</v>
      </c>
      <c r="E4" t="s">
        <v>30</v>
      </c>
    </row>
    <row r="5" spans="1:5">
      <c r="A5" t="str">
        <f>_xlfn.XLOOKUP(B5,[1]Sheet1!$B:$B,[1]Sheet1!$A:$A)</f>
        <v>6833-1GB000172</v>
      </c>
      <c r="B5" t="s">
        <v>32</v>
      </c>
      <c r="C5" t="s">
        <v>126</v>
      </c>
      <c r="D5" t="str">
        <f>_xlfn.XLOOKUP(B5,[1]Sheet1!$B:$B,[1]Sheet1!$D:$D)</f>
        <v>DEEJO #1GB000172 37g EBONY WOOD VINYL FOLDABLE POCKET KNIFE</v>
      </c>
      <c r="E5" t="s">
        <v>33</v>
      </c>
    </row>
    <row r="6" spans="1:5">
      <c r="A6" t="str">
        <f>_xlfn.XLOOKUP(B6,[1]Sheet1!$B:$B,[1]Sheet1!$A:$A)</f>
        <v>6833-1CB000014</v>
      </c>
      <c r="B6" t="s">
        <v>36</v>
      </c>
      <c r="C6" t="s">
        <v>126</v>
      </c>
      <c r="D6" t="str">
        <f>_xlfn.XLOOKUP(B6,[1]Sheet1!$B:$B,[1]Sheet1!$D:$D)</f>
        <v>DEEJO #1CB000014 37g JUNIPER WOOD ART NOUVEAU FOLDABLE POCKET KNIFE</v>
      </c>
      <c r="E6" t="s">
        <v>37</v>
      </c>
    </row>
    <row r="7" spans="1:5">
      <c r="A7" t="str">
        <f>_xlfn.XLOOKUP(B7,[1]Sheet1!$B:$B,[1]Sheet1!$A:$A)</f>
        <v>6833-1CB000022</v>
      </c>
      <c r="B7" t="s">
        <v>39</v>
      </c>
      <c r="C7" t="s">
        <v>126</v>
      </c>
      <c r="D7" t="str">
        <f>_xlfn.XLOOKUP(B7,[1]Sheet1!$B:$B,[1]Sheet1!$D:$D)</f>
        <v>DEEJO #1CB000022 37g CORAL WOOD TREE FOLDABLE POCKET KNIFE</v>
      </c>
      <c r="E7" t="s">
        <v>40</v>
      </c>
    </row>
    <row r="8" spans="1:5">
      <c r="A8" t="str">
        <f>_xlfn.XLOOKUP(B8,[1]Sheet1!$B:$B,[1]Sheet1!$A:$A)</f>
        <v>6833-1CB000054</v>
      </c>
      <c r="B8" t="s">
        <v>42</v>
      </c>
      <c r="C8" t="s">
        <v>126</v>
      </c>
      <c r="D8" t="str">
        <f>_xlfn.XLOOKUP(B8,[1]Sheet1!$B:$B,[1]Sheet1!$D:$D)</f>
        <v>DEEJO #1CB000054 37g OLIVE WOOD TERRA INCOGNITA FOLDABLE POCKET KNIFE</v>
      </c>
      <c r="E8" t="s">
        <v>43</v>
      </c>
    </row>
    <row r="9" spans="1:5">
      <c r="A9" t="str">
        <f>_xlfn.XLOOKUP(B9,[1]Sheet1!$B:$B,[1]Sheet1!$A:$A)</f>
        <v>6833-1CB000080</v>
      </c>
      <c r="B9" t="s">
        <v>45</v>
      </c>
      <c r="C9" t="s">
        <v>126</v>
      </c>
      <c r="D9" t="str">
        <f>_xlfn.XLOOKUP(B9,[1]Sheet1!$B:$B,[1]Sheet1!$D:$D)</f>
        <v>DEEJO #1CB000080 37g CORAL WOOD MOUNTAIN FOLDABLE POCKET KNIFE</v>
      </c>
      <c r="E9" t="s">
        <v>46</v>
      </c>
    </row>
    <row r="10" spans="1:5">
      <c r="A10" t="str">
        <f>_xlfn.XLOOKUP(B10,[1]Sheet1!$B:$B,[1]Sheet1!$A:$A)</f>
        <v>6833-1CB000053</v>
      </c>
      <c r="B10" t="s">
        <v>48</v>
      </c>
      <c r="C10" t="s">
        <v>126</v>
      </c>
      <c r="D10" t="str">
        <f>_xlfn.XLOOKUP(B10,[1]Sheet1!$B:$B,[1]Sheet1!$D:$D)</f>
        <v>DEEJO #1CB000053 37g EBONY WOOD CAFE RACER FOLDABLE POCKET KNIFE</v>
      </c>
      <c r="E10" t="s">
        <v>49</v>
      </c>
    </row>
    <row r="11" spans="1:5">
      <c r="A11" t="str">
        <f>_xlfn.XLOOKUP(B11,[1]Sheet1!$B:$B,[1]Sheet1!$A:$A)</f>
        <v>6833-1CB000020</v>
      </c>
      <c r="B11" t="s">
        <v>51</v>
      </c>
      <c r="C11" t="s">
        <v>126</v>
      </c>
      <c r="D11" t="str">
        <f>_xlfn.XLOOKUP(B11,[1]Sheet1!$B:$B,[1]Sheet1!$D:$D)</f>
        <v>DEEJO #1CB000020 37g JUNIPER WOOD TRIBAL FOLDABLE POCKET KNIFE</v>
      </c>
      <c r="E11" t="s">
        <v>52</v>
      </c>
    </row>
    <row r="12" spans="1:5">
      <c r="A12" t="str">
        <f>_xlfn.XLOOKUP(B12,[1]Sheet1!$B:$B,[1]Sheet1!$A:$A)</f>
        <v>6833-1GB000163</v>
      </c>
      <c r="B12" t="s">
        <v>54</v>
      </c>
      <c r="C12" t="s">
        <v>126</v>
      </c>
      <c r="D12" t="str">
        <f>_xlfn.XLOOKUP(B12,[1]Sheet1!$B:$B,[1]Sheet1!$D:$D)</f>
        <v>DEEJO #1GB000163 37g OLIVE WOOD VIKING VEGVISER FOLDABLE POCKET KNIFE</v>
      </c>
      <c r="E12" t="s">
        <v>55</v>
      </c>
    </row>
    <row r="13" spans="1:5">
      <c r="A13" t="str">
        <f>_xlfn.XLOOKUP(B13,[1]Sheet1!$B:$B,[1]Sheet1!$A:$A)</f>
        <v>6833-1GB000139</v>
      </c>
      <c r="B13" t="s">
        <v>57</v>
      </c>
      <c r="C13" t="s">
        <v>126</v>
      </c>
      <c r="D13" t="str">
        <f>_xlfn.XLOOKUP(B13,[1]Sheet1!$B:$B,[1]Sheet1!$D:$D)</f>
        <v>DEEJO #1GB000139 37g CORAL WOOD POLYNESIAN FOLDABLE POCKET KNIFE</v>
      </c>
      <c r="E13" t="s">
        <v>58</v>
      </c>
    </row>
    <row r="14" spans="1:5">
      <c r="A14" t="str">
        <f>_xlfn.XLOOKUP(B14,[1]Sheet1!$B:$B,[1]Sheet1!$A:$A)</f>
        <v>6833-1CB000062</v>
      </c>
      <c r="B14" t="s">
        <v>59</v>
      </c>
      <c r="C14" t="s">
        <v>126</v>
      </c>
      <c r="D14" t="str">
        <f>_xlfn.XLOOKUP(B14,[1]Sheet1!$B:$B,[1]Sheet1!$D:$D)</f>
        <v>DEEJO #1CB000062 37g CORAL WOOD RACING CAR FOLDABLE POCKET KNIFE</v>
      </c>
      <c r="E14" t="s">
        <v>60</v>
      </c>
    </row>
    <row r="15" spans="1:5">
      <c r="A15" t="str">
        <f>_xlfn.XLOOKUP(B15,[1]Sheet1!$B:$B,[1]Sheet1!$A:$A)</f>
        <v>6833-1GB000105</v>
      </c>
      <c r="B15" t="s">
        <v>61</v>
      </c>
      <c r="C15" t="s">
        <v>126</v>
      </c>
      <c r="D15" t="str">
        <f>_xlfn.XLOOKUP(B15,[1]Sheet1!$B:$B,[1]Sheet1!$D:$D)</f>
        <v>DEEJO #1GB000105 37g OLIVE WOOD ART DECO FOLDABLE POCKET KNIFE</v>
      </c>
      <c r="E15" t="s">
        <v>62</v>
      </c>
    </row>
    <row r="16" spans="1:5">
      <c r="A16" t="str">
        <f>_xlfn.XLOOKUP(B16,[1]Sheet1!$B:$B,[1]Sheet1!$A:$A)</f>
        <v>6833-SFB000004</v>
      </c>
      <c r="B16" t="s">
        <v>63</v>
      </c>
      <c r="C16" t="s">
        <v>126</v>
      </c>
      <c r="D16" t="str">
        <f>_xlfn.XLOOKUP(B16,[1]Sheet1!$B:$B,[1]Sheet1!$D:$D)</f>
        <v>(*ID) DEEJO #SFB000004 75g WAITER'S KNIFE EBONY WOOD</v>
      </c>
      <c r="E16" t="s">
        <v>65</v>
      </c>
    </row>
    <row r="17" spans="1:5">
      <c r="A17" t="str">
        <f>_xlfn.XLOOKUP(B17,[1]Sheet1!$B:$B,[1]Sheet1!$A:$A)</f>
        <v>6833-1CB000015</v>
      </c>
      <c r="B17" t="s">
        <v>66</v>
      </c>
      <c r="C17" t="s">
        <v>126</v>
      </c>
      <c r="D17" t="str">
        <f>_xlfn.XLOOKUP(B17,[1]Sheet1!$B:$B,[1]Sheet1!$D:$D)</f>
        <v>DEEJO #1CB000015 37g JUNIPER WOOD FISH FOLDABLE POCKET KNIFE</v>
      </c>
      <c r="E17" t="s">
        <v>67</v>
      </c>
    </row>
    <row r="18" spans="1:5">
      <c r="A18" t="str">
        <f>_xlfn.XLOOKUP(B18,[1]Sheet1!$B:$B,[1]Sheet1!$A:$A)</f>
        <v>6833-1CB000056</v>
      </c>
      <c r="B18" t="s">
        <v>69</v>
      </c>
      <c r="C18" t="s">
        <v>126</v>
      </c>
      <c r="D18" t="str">
        <f>_xlfn.XLOOKUP(B18,[1]Sheet1!$B:$B,[1]Sheet1!$D:$D)</f>
        <v>DEEJO #1CB000056 37g CORAL WOOD LION FOLDABLE POCKET KNIFE</v>
      </c>
      <c r="E18" t="s">
        <v>70</v>
      </c>
    </row>
    <row r="19" spans="1:5">
      <c r="A19" t="str">
        <f>_xlfn.XLOOKUP(B19,[1]Sheet1!$B:$B,[1]Sheet1!$A:$A)</f>
        <v>6833-1CB000089</v>
      </c>
      <c r="B19" t="s">
        <v>72</v>
      </c>
      <c r="C19" t="s">
        <v>126</v>
      </c>
      <c r="D19" t="str">
        <f>_xlfn.XLOOKUP(B19,[1]Sheet1!$B:$B,[1]Sheet1!$D:$D)</f>
        <v>DEEJO #1CB000089 37g JUNIPER WOOD GRAND CRU FOLDABLE POCKET KNIFE</v>
      </c>
      <c r="E19" s="1" t="s">
        <v>71</v>
      </c>
    </row>
    <row r="20" spans="1:5">
      <c r="A20" t="str">
        <f>_xlfn.XLOOKUP(B20,[1]Sheet1!$B:$B,[1]Sheet1!$A:$A)</f>
        <v>6833-1GB000141</v>
      </c>
      <c r="B20" t="s">
        <v>74</v>
      </c>
      <c r="C20" t="s">
        <v>126</v>
      </c>
      <c r="D20" t="str">
        <f>_xlfn.XLOOKUP(B20,[1]Sheet1!$B:$B,[1]Sheet1!$D:$D)</f>
        <v>DEEJO #1GB000141 37g OLIVE WOOD PACIFIC FOLDABLE POCKET KNIFE</v>
      </c>
      <c r="E20" t="s">
        <v>73</v>
      </c>
    </row>
    <row r="21" spans="1:5">
      <c r="A21" t="str">
        <f>_xlfn.XLOOKUP(B21,[1]Sheet1!$B:$B,[1]Sheet1!$A:$A)</f>
        <v>6833-1GC000108</v>
      </c>
      <c r="B21" t="s">
        <v>76</v>
      </c>
      <c r="C21" t="s">
        <v>126</v>
      </c>
      <c r="D21" t="str">
        <f>_xlfn.XLOOKUP(B21,[1]Sheet1!$B:$B,[1]Sheet1!$D:$D)</f>
        <v>(*ID) DEEJO #1GC000108 37g CARBON FIBER YOUNG TIMER</v>
      </c>
      <c r="E21" t="s">
        <v>75</v>
      </c>
    </row>
    <row r="22" spans="1:5">
      <c r="A22" t="str">
        <f>_xlfn.XLOOKUP(B22,[1]Sheet1!$B:$B,[1]Sheet1!$A:$A)</f>
        <v>6833-1GM000032</v>
      </c>
      <c r="B22" t="s">
        <v>78</v>
      </c>
      <c r="C22" t="s">
        <v>126</v>
      </c>
      <c r="D22" t="str">
        <f>_xlfn.XLOOKUP(B22,[1]Sheet1!$B:$B,[1]Sheet1!$D:$D)</f>
        <v>(DC25) DEEJO #1GM000032 37g ALUMINIUM LIGHT GREY QUADRATIC</v>
      </c>
      <c r="E22" t="s">
        <v>77</v>
      </c>
    </row>
    <row r="23" spans="1:5">
      <c r="A23" t="str">
        <f>_xlfn.XLOOKUP(B23,[1]Sheet1!$B:$B,[1]Sheet1!$A:$A)</f>
        <v>6833-1GM000033</v>
      </c>
      <c r="B23" t="s">
        <v>79</v>
      </c>
      <c r="C23" t="s">
        <v>126</v>
      </c>
      <c r="D23" t="str">
        <f>_xlfn.XLOOKUP(B23,[1]Sheet1!$B:$B,[1]Sheet1!$D:$D)</f>
        <v>(*ID) DEEJO #1GM000033 37g ALUMINIUM DARK GREY ILLUSION</v>
      </c>
      <c r="E23" t="s">
        <v>80</v>
      </c>
    </row>
    <row r="24" spans="1:5">
      <c r="A24" t="str">
        <f>_xlfn.XLOOKUP(B24,[1]Sheet1!$B:$B,[1]Sheet1!$A:$A)</f>
        <v>6833-1GM000034</v>
      </c>
      <c r="B24" t="s">
        <v>82</v>
      </c>
      <c r="C24" t="s">
        <v>126</v>
      </c>
      <c r="D24" t="str">
        <f>_xlfn.XLOOKUP(B24,[1]Sheet1!$B:$B,[1]Sheet1!$D:$D)</f>
        <v>(*ID) DEEJO #1GM000034 37g ALUMINIUM RED FRIEZE</v>
      </c>
      <c r="E24" t="s">
        <v>81</v>
      </c>
    </row>
    <row r="25" spans="1:5">
      <c r="A25" t="str">
        <f>_xlfn.XLOOKUP(B25,[1]Sheet1!$B:$B,[1]Sheet1!$A:$A)</f>
        <v>6833-1GM000035</v>
      </c>
      <c r="B25" t="s">
        <v>84</v>
      </c>
      <c r="C25" t="s">
        <v>126</v>
      </c>
      <c r="D25" t="str">
        <f>_xlfn.XLOOKUP(B25,[1]Sheet1!$B:$B,[1]Sheet1!$D:$D)</f>
        <v>(*ID) DEEJO #1GM000035 37g ALUMINIUM KHAKI PERSPECTIVE</v>
      </c>
      <c r="E25" t="s">
        <v>86</v>
      </c>
    </row>
    <row r="26" spans="1:5">
      <c r="A26" t="str">
        <f>_xlfn.XLOOKUP(B26,[1]Sheet1!$B:$B,[1]Sheet1!$A:$A)</f>
        <v>6833-1GM000036</v>
      </c>
      <c r="B26" t="s">
        <v>83</v>
      </c>
      <c r="C26" t="s">
        <v>126</v>
      </c>
      <c r="D26" t="str">
        <f>_xlfn.XLOOKUP(B26,[1]Sheet1!$B:$B,[1]Sheet1!$D:$D)</f>
        <v>(*ID) DEEJO #1GM000036 37g ALUMINIUM ORANGE PARALLEL</v>
      </c>
      <c r="E26" t="s">
        <v>88</v>
      </c>
    </row>
    <row r="27" spans="1:5">
      <c r="A27" t="str">
        <f>_xlfn.XLOOKUP(B27,[1]Sheet1!$B:$B,[1]Sheet1!$A:$A)</f>
        <v>6833-1GM000037</v>
      </c>
      <c r="B27" t="s">
        <v>85</v>
      </c>
      <c r="C27" t="s">
        <v>126</v>
      </c>
      <c r="D27" t="str">
        <f>_xlfn.XLOOKUP(B27,[1]Sheet1!$B:$B,[1]Sheet1!$D:$D)</f>
        <v>(*ID) DEEJO #1GM000037 37g ALUMINIUM BLUE CLOUDS</v>
      </c>
      <c r="E27" t="s">
        <v>87</v>
      </c>
    </row>
    <row r="28" spans="1:5">
      <c r="A28" t="str">
        <f>_xlfn.XLOOKUP(B28,[1]Sheet1!$B:$B,[1]Sheet1!$A:$A)</f>
        <v>6833-3GB000054</v>
      </c>
      <c r="B28" t="s">
        <v>89</v>
      </c>
      <c r="C28" t="s">
        <v>126</v>
      </c>
      <c r="D28" t="str">
        <f>_xlfn.XLOOKUP(B28,[1]Sheet1!$B:$B,[1]Sheet1!$D:$D)</f>
        <v>(*ID) DEEJO ##3GB000054 390g OLIVE WOOD TERRA INCOGNITA</v>
      </c>
      <c r="E28" t="s">
        <v>90</v>
      </c>
    </row>
    <row r="29" spans="1:5">
      <c r="A29" t="str">
        <f>_xlfn.XLOOKUP(B29,[1]Sheet1!$B:$B,[1]Sheet1!$A:$A)</f>
        <v>6833-6AB000005</v>
      </c>
      <c r="B29" t="s">
        <v>91</v>
      </c>
      <c r="C29" t="s">
        <v>126</v>
      </c>
      <c r="D29" t="str">
        <f>_xlfn.XLOOKUP(B29,[1]Sheet1!$B:$B,[1]Sheet1!$D:$D)</f>
        <v>DEEJO #6AB000005 CORAL WOOD STEAK KNIVES MIRROR BLADE W/O TATTOO SET OF 6</v>
      </c>
      <c r="E29" t="s">
        <v>92</v>
      </c>
    </row>
    <row r="30" spans="1:5">
      <c r="A30" t="str">
        <f>_xlfn.XLOOKUP(B30,[1]Sheet1!$B:$B,[1]Sheet1!$A:$A)</f>
        <v>6833-6AB000103</v>
      </c>
      <c r="B30" t="s">
        <v>93</v>
      </c>
      <c r="C30" t="s">
        <v>126</v>
      </c>
      <c r="D30" t="str">
        <f>_xlfn.XLOOKUP(B30,[1]Sheet1!$B:$B,[1]Sheet1!$D:$D)</f>
        <v>DEEJO #6AB000103 OLIVE WOOD STEAK KNIFE TOILE DE JOUY SET OF 6</v>
      </c>
      <c r="E30" t="s">
        <v>94</v>
      </c>
    </row>
    <row r="31" spans="1:5">
      <c r="A31" t="str">
        <f>_xlfn.XLOOKUP(B31,[1]Sheet1!$B:$B,[1]Sheet1!$A:$A)</f>
        <v>6833-6FB000101</v>
      </c>
      <c r="B31" t="s">
        <v>95</v>
      </c>
      <c r="C31" t="s">
        <v>126</v>
      </c>
      <c r="D31" t="str">
        <f>_xlfn.XLOOKUP(B31,[1]Sheet1!$B:$B,[1]Sheet1!$D:$D)</f>
        <v>DEEJO #6FB000101 OLIVE WOOD STEAK KNIVES ART DECO SET OF 6</v>
      </c>
      <c r="E31" t="s">
        <v>96</v>
      </c>
    </row>
    <row r="32" spans="1:5">
      <c r="A32" t="str">
        <f>_xlfn.XLOOKUP(B32,[1]Sheet1!$B:$B,[1]Sheet1!$A:$A)</f>
        <v>6833-6FB000105</v>
      </c>
      <c r="B32" t="s">
        <v>97</v>
      </c>
      <c r="C32" t="s">
        <v>126</v>
      </c>
      <c r="D32" t="str">
        <f>_xlfn.XLOOKUP(B32,[1]Sheet1!$B:$B,[1]Sheet1!$D:$D)</f>
        <v>DEEJO #6FB000105 EBONY STEAK KNIVES JAPANESE SET OF 6</v>
      </c>
      <c r="E32" t="s">
        <v>98</v>
      </c>
    </row>
    <row r="33" spans="1:5">
      <c r="A33" t="str">
        <f>_xlfn.XLOOKUP(B33,[1]Sheet1!$B:$B,[1]Sheet1!$A:$A)</f>
        <v>6833-6FM000101</v>
      </c>
      <c r="B33" t="s">
        <v>99</v>
      </c>
      <c r="C33" t="s">
        <v>126</v>
      </c>
      <c r="D33" t="str">
        <f>_xlfn.XLOOKUP(B33,[1]Sheet1!$B:$B,[1]Sheet1!$D:$D)</f>
        <v>(*ID) DEEJO #6FM000101 CHROME PLATED STEAK KNIVES ART SET OF 6</v>
      </c>
      <c r="E33" t="s">
        <v>100</v>
      </c>
    </row>
    <row r="34" spans="1:5">
      <c r="A34" t="str">
        <f>_xlfn.XLOOKUP(B34,[1]Sheet1!$B:$B,[1]Sheet1!$A:$A)</f>
        <v>6833-SFB000001</v>
      </c>
      <c r="B34" t="s">
        <v>101</v>
      </c>
      <c r="C34" t="s">
        <v>126</v>
      </c>
      <c r="D34" t="str">
        <f>_xlfn.XLOOKUP(B34,[1]Sheet1!$B:$B,[1]Sheet1!$D:$D)</f>
        <v>(*ID) DEEJO #SFB000001 75g WAITER'S KNIFE OLIVE WOOD</v>
      </c>
      <c r="E34" t="s">
        <v>102</v>
      </c>
    </row>
    <row r="35" spans="1:5">
      <c r="A35" t="str">
        <f>_xlfn.XLOOKUP(B35,[1]Sheet1!$B:$B,[1]Sheet1!$A:$A)</f>
        <v>6833-SFB000005</v>
      </c>
      <c r="B35" t="s">
        <v>103</v>
      </c>
      <c r="C35" t="s">
        <v>126</v>
      </c>
      <c r="D35" t="str">
        <f>_xlfn.XLOOKUP(B35,[1]Sheet1!$B:$B,[1]Sheet1!$D:$D)</f>
        <v>(*ID) DEEJO #SFB000005 75g WAITER'S KNIFE CORAL WOOD</v>
      </c>
      <c r="E35" t="s">
        <v>104</v>
      </c>
    </row>
    <row r="36" spans="1:5">
      <c r="A36" t="str">
        <f>_xlfn.XLOOKUP(B36,[1]Sheet1!$B:$B,[1]Sheet1!$A:$A)</f>
        <v>6833-1CB000076</v>
      </c>
      <c r="B36" t="s">
        <v>106</v>
      </c>
      <c r="C36" t="s">
        <v>126</v>
      </c>
      <c r="D36" t="str">
        <f>_xlfn.XLOOKUP(B36,[1]Sheet1!$B:$B,[1]Sheet1!$D:$D)</f>
        <v>DEEJO #1CB000076 37g CORAL WOOD CHINESE DRAGON FOLDABLE POCKET KNIFE</v>
      </c>
      <c r="E36" t="s">
        <v>105</v>
      </c>
    </row>
    <row r="37" spans="1:5">
      <c r="A37" t="str">
        <f>_xlfn.XLOOKUP(B37,[1]Sheet1!$B:$B,[1]Sheet1!$A:$A)</f>
        <v>6833-1CB000090</v>
      </c>
      <c r="B37" t="s">
        <v>109</v>
      </c>
      <c r="C37" t="s">
        <v>126</v>
      </c>
      <c r="D37" t="str">
        <f>_xlfn.XLOOKUP(B37,[1]Sheet1!$B:$B,[1]Sheet1!$D:$D)</f>
        <v>DEEJO #1CB000090 37g CORAL WOOD COCK-A-DOODLE-DOO FOLDABLE POCKET KNIFE</v>
      </c>
      <c r="E37" t="s">
        <v>108</v>
      </c>
    </row>
    <row r="38" spans="1:5">
      <c r="A38" t="str">
        <f>_xlfn.XLOOKUP(B38,[1]Sheet1!$B:$B,[1]Sheet1!$A:$A)</f>
        <v>6833-6AB000104</v>
      </c>
      <c r="B38" t="s">
        <v>113</v>
      </c>
      <c r="C38" t="s">
        <v>126</v>
      </c>
      <c r="D38" t="str">
        <f>_xlfn.XLOOKUP(B38,[1]Sheet1!$B:$B,[1]Sheet1!$D:$D)</f>
        <v>DEEJO #6AB000104 CORAL WOOD STEAK KNIFE BLOSSOM SET OF 6</v>
      </c>
      <c r="E38" t="s">
        <v>112</v>
      </c>
    </row>
    <row r="39" spans="1:5">
      <c r="A39" t="str">
        <f>_xlfn.XLOOKUP(B39,[1]Sheet1!$B:$B,[1]Sheet1!$A:$A)</f>
        <v>6833-6AC000108</v>
      </c>
      <c r="B39" t="s">
        <v>114</v>
      </c>
      <c r="C39" t="s">
        <v>126</v>
      </c>
      <c r="D39" t="str">
        <f>_xlfn.XLOOKUP(B39,[1]Sheet1!$B:$B,[1]Sheet1!$D:$D)</f>
        <v>DEEJO #6AC000108 AMBER TURTLE STEAK KNIVES WILD  SET OF 6</v>
      </c>
      <c r="E39" t="s">
        <v>115</v>
      </c>
    </row>
    <row r="40" spans="1:5">
      <c r="A40" t="str">
        <f>_xlfn.XLOOKUP(B40,[1]Sheet1!$B:$B,[1]Sheet1!$A:$A)</f>
        <v>6833-6FB000102</v>
      </c>
      <c r="B40" t="s">
        <v>116</v>
      </c>
      <c r="C40" t="s">
        <v>126</v>
      </c>
      <c r="D40" t="str">
        <f>_xlfn.XLOOKUP(B40,[1]Sheet1!$B:$B,[1]Sheet1!$D:$D)</f>
        <v>DEEJO #6FB000102 CORAL WOOD STEAK KNIVES GEOMETRIE SET OF 6</v>
      </c>
      <c r="E40" t="s">
        <v>117</v>
      </c>
    </row>
    <row r="41" spans="1:5">
      <c r="A41" t="str">
        <f>_xlfn.XLOOKUP(B41,[1]Sheet1!$B:$B,[1]Sheet1!$A:$A)</f>
        <v>6833-DEE000057</v>
      </c>
      <c r="B41" t="s">
        <v>119</v>
      </c>
      <c r="C41" t="s">
        <v>126</v>
      </c>
      <c r="D41" t="str">
        <f>_xlfn.XLOOKUP(B41,[1]Sheet1!$B:$B,[1]Sheet1!$D:$D)</f>
        <v>DEEJO #DEE000057 ROTATIVE DISPLAY FOR 24 X DEEJO BOX</v>
      </c>
      <c r="E41" t="s">
        <v>118</v>
      </c>
    </row>
    <row r="42" spans="1:5">
      <c r="A42" t="str">
        <f>_xlfn.XLOOKUP(B42,[1]Sheet1!$B:$B,[1]Sheet1!$A:$A)</f>
        <v>6833-DEE000456</v>
      </c>
      <c r="B42" t="s">
        <v>121</v>
      </c>
      <c r="C42" t="s">
        <v>126</v>
      </c>
      <c r="D42" t="str">
        <f>_xlfn.XLOOKUP(B42,[1]Sheet1!$B:$B,[1]Sheet1!$D:$D)</f>
        <v>(ID*) DEEJO #DEE000456 METAL CLOSED TABLE KNIVES DISPLAY FOR X6</v>
      </c>
      <c r="E42" t="s">
        <v>120</v>
      </c>
    </row>
    <row r="43" spans="1:5">
      <c r="A43" t="str">
        <f>_xlfn.XLOOKUP(B43,[1]Sheet1!$B:$B,[1]Sheet1!$A:$A)</f>
        <v>6833-DEE000885</v>
      </c>
      <c r="B43" t="s">
        <v>122</v>
      </c>
      <c r="C43" t="s">
        <v>126</v>
      </c>
      <c r="D43" t="str">
        <f>_xlfn.XLOOKUP(B43,[1]Sheet1!$B:$B,[1]Sheet1!$D:$D)</f>
        <v>(*ID) DEEJO #DEE000885 37g ALUMINIUM DARK GREY 24H LE MANS DUEL LIMITED EDITION</v>
      </c>
      <c r="E43" t="s">
        <v>123</v>
      </c>
    </row>
  </sheetData>
  <conditionalFormatting sqref="B1:B1048576">
    <cfRule type="duplicateValues" dxfId="5" priority="2"/>
  </conditionalFormatting>
  <conditionalFormatting sqref="A1:A1048576">
    <cfRule type="duplicateValues" dxfId="4" priority="1"/>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8E8B-DEBD-47E0-95E8-496111ABA2D9}">
  <dimension ref="A1:E43"/>
  <sheetViews>
    <sheetView workbookViewId="0">
      <selection activeCell="E1" sqref="E1:E1048576"/>
    </sheetView>
  </sheetViews>
  <sheetFormatPr defaultRowHeight="15"/>
  <cols>
    <col min="1" max="1" width="16.7109375" customWidth="1"/>
    <col min="2" max="2" width="18.140625" customWidth="1"/>
    <col min="3" max="3" width="17" customWidth="1"/>
    <col min="4" max="4" width="25.140625" customWidth="1"/>
    <col min="5" max="5" width="14.140625" customWidth="1"/>
  </cols>
  <sheetData>
    <row r="1" spans="1:5">
      <c r="A1" s="2" t="s">
        <v>0</v>
      </c>
      <c r="B1" s="2" t="s">
        <v>1</v>
      </c>
      <c r="C1" s="2" t="s">
        <v>2</v>
      </c>
      <c r="D1" s="2" t="s">
        <v>3</v>
      </c>
      <c r="E1" s="2" t="s">
        <v>5</v>
      </c>
    </row>
    <row r="2" spans="1:5">
      <c r="A2" t="str">
        <f>_xlfn.XLOOKUP(B2,[1]Sheet1!$B:$B,[1]Sheet1!$A:$A)</f>
        <v>6833-1CB000021</v>
      </c>
      <c r="B2" t="s">
        <v>22</v>
      </c>
      <c r="C2" t="s">
        <v>126</v>
      </c>
      <c r="D2" t="str">
        <f>_xlfn.XLOOKUP(B2,[1]Sheet1!$B:$B,[1]Sheet1!$D:$D)</f>
        <v>DEEJO #1CB000021 37g EBONY WOOD LATINO SKULL FOLDABLE POCKET KNIFE</v>
      </c>
      <c r="E2" t="s">
        <v>24</v>
      </c>
    </row>
    <row r="3" spans="1:5">
      <c r="A3" t="str">
        <f>_xlfn.XLOOKUP(B3,[1]Sheet1!$B:$B,[1]Sheet1!$A:$A)</f>
        <v>6833-1CB000032</v>
      </c>
      <c r="B3" t="s">
        <v>25</v>
      </c>
      <c r="C3" t="s">
        <v>126</v>
      </c>
      <c r="D3" t="str">
        <f>_xlfn.XLOOKUP(B3,[1]Sheet1!$B:$B,[1]Sheet1!$D:$D)</f>
        <v>DEEJO #1CB000032 37g EBONY WOOD BICYCLE FOLDABLE POCKET KNIFE</v>
      </c>
      <c r="E3" t="s">
        <v>27</v>
      </c>
    </row>
    <row r="4" spans="1:5">
      <c r="A4" t="str">
        <f>_xlfn.XLOOKUP(B4,[1]Sheet1!$B:$B,[1]Sheet1!$A:$A)</f>
        <v>6833-1GB000149</v>
      </c>
      <c r="B4" t="s">
        <v>29</v>
      </c>
      <c r="C4" t="s">
        <v>126</v>
      </c>
      <c r="D4" t="str">
        <f>_xlfn.XLOOKUP(B4,[1]Sheet1!$B:$B,[1]Sheet1!$D:$D)</f>
        <v>DEEJO #1GB000149 37g OLIVE WOOD YIN AND YANG FOLDABLE POCKET KNIFE</v>
      </c>
      <c r="E4" t="s">
        <v>31</v>
      </c>
    </row>
    <row r="5" spans="1:5">
      <c r="A5" t="str">
        <f>_xlfn.XLOOKUP(B5,[1]Sheet1!$B:$B,[1]Sheet1!$A:$A)</f>
        <v>6833-1GB000172</v>
      </c>
      <c r="B5" t="s">
        <v>32</v>
      </c>
      <c r="C5" t="s">
        <v>126</v>
      </c>
      <c r="D5" t="str">
        <f>_xlfn.XLOOKUP(B5,[1]Sheet1!$B:$B,[1]Sheet1!$D:$D)</f>
        <v>DEEJO #1GB000172 37g EBONY WOOD VINYL FOLDABLE POCKET KNIFE</v>
      </c>
      <c r="E5" t="s">
        <v>34</v>
      </c>
    </row>
    <row r="6" spans="1:5">
      <c r="A6" t="str">
        <f>_xlfn.XLOOKUP(B6,[1]Sheet1!$B:$B,[1]Sheet1!$A:$A)</f>
        <v>6833-1CB000014</v>
      </c>
      <c r="B6" t="s">
        <v>36</v>
      </c>
      <c r="C6" t="s">
        <v>126</v>
      </c>
      <c r="D6" t="str">
        <f>_xlfn.XLOOKUP(B6,[1]Sheet1!$B:$B,[1]Sheet1!$D:$D)</f>
        <v>DEEJO #1CB000014 37g JUNIPER WOOD ART NOUVEAU FOLDABLE POCKET KNIFE</v>
      </c>
      <c r="E6" t="s">
        <v>38</v>
      </c>
    </row>
    <row r="7" spans="1:5">
      <c r="A7" t="str">
        <f>_xlfn.XLOOKUP(B7,[1]Sheet1!$B:$B,[1]Sheet1!$A:$A)</f>
        <v>6833-1CB000022</v>
      </c>
      <c r="B7" t="s">
        <v>39</v>
      </c>
      <c r="C7" t="s">
        <v>126</v>
      </c>
      <c r="D7" t="str">
        <f>_xlfn.XLOOKUP(B7,[1]Sheet1!$B:$B,[1]Sheet1!$D:$D)</f>
        <v>DEEJO #1CB000022 37g CORAL WOOD TREE FOLDABLE POCKET KNIFE</v>
      </c>
      <c r="E7" t="s">
        <v>41</v>
      </c>
    </row>
    <row r="8" spans="1:5">
      <c r="A8" t="str">
        <f>_xlfn.XLOOKUP(B8,[1]Sheet1!$B:$B,[1]Sheet1!$A:$A)</f>
        <v>6833-1CB000054</v>
      </c>
      <c r="B8" t="s">
        <v>42</v>
      </c>
      <c r="C8" t="s">
        <v>126</v>
      </c>
      <c r="D8" t="str">
        <f>_xlfn.XLOOKUP(B8,[1]Sheet1!$B:$B,[1]Sheet1!$D:$D)</f>
        <v>DEEJO #1CB000054 37g OLIVE WOOD TERRA INCOGNITA FOLDABLE POCKET KNIFE</v>
      </c>
      <c r="E8" t="s">
        <v>44</v>
      </c>
    </row>
    <row r="9" spans="1:5">
      <c r="A9" t="str">
        <f>_xlfn.XLOOKUP(B9,[1]Sheet1!$B:$B,[1]Sheet1!$A:$A)</f>
        <v>6833-1CB000080</v>
      </c>
      <c r="B9" t="s">
        <v>45</v>
      </c>
      <c r="C9" t="s">
        <v>126</v>
      </c>
      <c r="D9" t="str">
        <f>_xlfn.XLOOKUP(B9,[1]Sheet1!$B:$B,[1]Sheet1!$D:$D)</f>
        <v>DEEJO #1CB000080 37g CORAL WOOD MOUNTAIN FOLDABLE POCKET KNIFE</v>
      </c>
      <c r="E9" t="s">
        <v>47</v>
      </c>
    </row>
    <row r="10" spans="1:5">
      <c r="A10" t="str">
        <f>_xlfn.XLOOKUP(B10,[1]Sheet1!$B:$B,[1]Sheet1!$A:$A)</f>
        <v>6833-1CB000053</v>
      </c>
      <c r="B10" t="s">
        <v>48</v>
      </c>
      <c r="C10" t="s">
        <v>126</v>
      </c>
      <c r="D10" t="str">
        <f>_xlfn.XLOOKUP(B10,[1]Sheet1!$B:$B,[1]Sheet1!$D:$D)</f>
        <v>DEEJO #1CB000053 37g EBONY WOOD CAFE RACER FOLDABLE POCKET KNIFE</v>
      </c>
      <c r="E10" t="s">
        <v>50</v>
      </c>
    </row>
    <row r="11" spans="1:5">
      <c r="A11" t="str">
        <f>_xlfn.XLOOKUP(B11,[1]Sheet1!$B:$B,[1]Sheet1!$A:$A)</f>
        <v>6833-1CB000020</v>
      </c>
      <c r="B11" t="s">
        <v>51</v>
      </c>
      <c r="C11" t="s">
        <v>126</v>
      </c>
      <c r="D11" t="str">
        <f>_xlfn.XLOOKUP(B11,[1]Sheet1!$B:$B,[1]Sheet1!$D:$D)</f>
        <v>DEEJO #1CB000020 37g JUNIPER WOOD TRIBAL FOLDABLE POCKET KNIFE</v>
      </c>
      <c r="E11" t="s">
        <v>53</v>
      </c>
    </row>
    <row r="12" spans="1:5">
      <c r="A12" t="str">
        <f>_xlfn.XLOOKUP(B12,[1]Sheet1!$B:$B,[1]Sheet1!$A:$A)</f>
        <v>6833-1GB000163</v>
      </c>
      <c r="B12" t="s">
        <v>54</v>
      </c>
      <c r="C12" t="s">
        <v>126</v>
      </c>
      <c r="D12" t="str">
        <f>_xlfn.XLOOKUP(B12,[1]Sheet1!$B:$B,[1]Sheet1!$D:$D)</f>
        <v>DEEJO #1GB000163 37g OLIVE WOOD VIKING VEGVISER FOLDABLE POCKET KNIFE</v>
      </c>
      <c r="E12" t="s">
        <v>56</v>
      </c>
    </row>
    <row r="13" spans="1:5">
      <c r="A13" t="str">
        <f>_xlfn.XLOOKUP(B13,[1]Sheet1!$B:$B,[1]Sheet1!$A:$A)</f>
        <v>6833-1GB000139</v>
      </c>
      <c r="B13" t="s">
        <v>57</v>
      </c>
      <c r="C13" t="s">
        <v>126</v>
      </c>
      <c r="D13" t="str">
        <f>_xlfn.XLOOKUP(B13,[1]Sheet1!$B:$B,[1]Sheet1!$D:$D)</f>
        <v>DEEJO #1GB000139 37g CORAL WOOD POLYNESIAN FOLDABLE POCKET KNIFE</v>
      </c>
      <c r="E13" t="s">
        <v>128</v>
      </c>
    </row>
    <row r="14" spans="1:5">
      <c r="A14" t="str">
        <f>_xlfn.XLOOKUP(B14,[1]Sheet1!$B:$B,[1]Sheet1!$A:$A)</f>
        <v>6833-1CB000062</v>
      </c>
      <c r="B14" t="s">
        <v>59</v>
      </c>
      <c r="C14" t="s">
        <v>126</v>
      </c>
      <c r="D14" t="str">
        <f>_xlfn.XLOOKUP(B14,[1]Sheet1!$B:$B,[1]Sheet1!$D:$D)</f>
        <v>DEEJO #1CB000062 37g CORAL WOOD RACING CAR FOLDABLE POCKET KNIFE</v>
      </c>
      <c r="E14" t="s">
        <v>128</v>
      </c>
    </row>
    <row r="15" spans="1:5">
      <c r="A15" t="str">
        <f>_xlfn.XLOOKUP(B15,[1]Sheet1!$B:$B,[1]Sheet1!$A:$A)</f>
        <v>6833-1GB000105</v>
      </c>
      <c r="B15" t="s">
        <v>61</v>
      </c>
      <c r="C15" t="s">
        <v>126</v>
      </c>
      <c r="D15" t="str">
        <f>_xlfn.XLOOKUP(B15,[1]Sheet1!$B:$B,[1]Sheet1!$D:$D)</f>
        <v>DEEJO #1GB000105 37g OLIVE WOOD ART DECO FOLDABLE POCKET KNIFE</v>
      </c>
      <c r="E15" t="s">
        <v>128</v>
      </c>
    </row>
    <row r="16" spans="1:5">
      <c r="A16" t="str">
        <f>_xlfn.XLOOKUP(B16,[1]Sheet1!$B:$B,[1]Sheet1!$A:$A)</f>
        <v>6833-SFB000004</v>
      </c>
      <c r="B16" t="s">
        <v>63</v>
      </c>
      <c r="C16" t="s">
        <v>126</v>
      </c>
      <c r="D16" t="str">
        <f>_xlfn.XLOOKUP(B16,[1]Sheet1!$B:$B,[1]Sheet1!$D:$D)</f>
        <v>(*ID) DEEJO #SFB000004 75g WAITER'S KNIFE EBONY WOOD</v>
      </c>
      <c r="E16" t="s">
        <v>64</v>
      </c>
    </row>
    <row r="17" spans="1:5">
      <c r="A17" t="str">
        <f>_xlfn.XLOOKUP(B17,[1]Sheet1!$B:$B,[1]Sheet1!$A:$A)</f>
        <v>6833-1CB000015</v>
      </c>
      <c r="B17" t="s">
        <v>66</v>
      </c>
      <c r="C17" t="s">
        <v>126</v>
      </c>
      <c r="D17" t="str">
        <f>_xlfn.XLOOKUP(B17,[1]Sheet1!$B:$B,[1]Sheet1!$D:$D)</f>
        <v>DEEJO #1CB000015 37g JUNIPER WOOD FISH FOLDABLE POCKET KNIFE</v>
      </c>
      <c r="E17" t="s">
        <v>68</v>
      </c>
    </row>
    <row r="18" spans="1:5">
      <c r="A18" t="str">
        <f>_xlfn.XLOOKUP(B18,[1]Sheet1!$B:$B,[1]Sheet1!$A:$A)</f>
        <v>6833-1CB000056</v>
      </c>
      <c r="B18" t="s">
        <v>69</v>
      </c>
      <c r="C18" t="s">
        <v>126</v>
      </c>
      <c r="D18" t="str">
        <f>_xlfn.XLOOKUP(B18,[1]Sheet1!$B:$B,[1]Sheet1!$D:$D)</f>
        <v>DEEJO #1CB000056 37g CORAL WOOD LION FOLDABLE POCKET KNIFE</v>
      </c>
      <c r="E18" t="s">
        <v>128</v>
      </c>
    </row>
    <row r="19" spans="1:5">
      <c r="A19" t="str">
        <f>_xlfn.XLOOKUP(B19,[1]Sheet1!$B:$B,[1]Sheet1!$A:$A)</f>
        <v>6833-1CB000089</v>
      </c>
      <c r="B19" t="s">
        <v>72</v>
      </c>
      <c r="C19" t="s">
        <v>126</v>
      </c>
      <c r="D19" t="str">
        <f>_xlfn.XLOOKUP(B19,[1]Sheet1!$B:$B,[1]Sheet1!$D:$D)</f>
        <v>DEEJO #1CB000089 37g JUNIPER WOOD GRAND CRU FOLDABLE POCKET KNIFE</v>
      </c>
      <c r="E19" t="s">
        <v>128</v>
      </c>
    </row>
    <row r="20" spans="1:5">
      <c r="A20" t="str">
        <f>_xlfn.XLOOKUP(B20,[1]Sheet1!$B:$B,[1]Sheet1!$A:$A)</f>
        <v>6833-1GB000141</v>
      </c>
      <c r="B20" t="s">
        <v>74</v>
      </c>
      <c r="C20" t="s">
        <v>126</v>
      </c>
      <c r="D20" t="str">
        <f>_xlfn.XLOOKUP(B20,[1]Sheet1!$B:$B,[1]Sheet1!$D:$D)</f>
        <v>DEEJO #1GB000141 37g OLIVE WOOD PACIFIC FOLDABLE POCKET KNIFE</v>
      </c>
      <c r="E20" t="s">
        <v>128</v>
      </c>
    </row>
    <row r="21" spans="1:5">
      <c r="A21" t="str">
        <f>_xlfn.XLOOKUP(B21,[1]Sheet1!$B:$B,[1]Sheet1!$A:$A)</f>
        <v>6833-1GC000108</v>
      </c>
      <c r="B21" t="s">
        <v>76</v>
      </c>
      <c r="C21" t="s">
        <v>126</v>
      </c>
      <c r="D21" t="str">
        <f>_xlfn.XLOOKUP(B21,[1]Sheet1!$B:$B,[1]Sheet1!$D:$D)</f>
        <v>(*ID) DEEJO #1GC000108 37g CARBON FIBER YOUNG TIMER</v>
      </c>
      <c r="E21" t="s">
        <v>128</v>
      </c>
    </row>
    <row r="22" spans="1:5">
      <c r="A22" t="str">
        <f>_xlfn.XLOOKUP(B22,[1]Sheet1!$B:$B,[1]Sheet1!$A:$A)</f>
        <v>6833-1GM000032</v>
      </c>
      <c r="B22" t="s">
        <v>78</v>
      </c>
      <c r="C22" t="s">
        <v>126</v>
      </c>
      <c r="D22" t="str">
        <f>_xlfn.XLOOKUP(B22,[1]Sheet1!$B:$B,[1]Sheet1!$D:$D)</f>
        <v>(DC25) DEEJO #1GM000032 37g ALUMINIUM LIGHT GREY QUADRATIC</v>
      </c>
      <c r="E22" t="s">
        <v>128</v>
      </c>
    </row>
    <row r="23" spans="1:5">
      <c r="A23" t="str">
        <f>_xlfn.XLOOKUP(B23,[1]Sheet1!$B:$B,[1]Sheet1!$A:$A)</f>
        <v>6833-1GM000033</v>
      </c>
      <c r="B23" t="s">
        <v>79</v>
      </c>
      <c r="C23" t="s">
        <v>126</v>
      </c>
      <c r="D23" t="str">
        <f>_xlfn.XLOOKUP(B23,[1]Sheet1!$B:$B,[1]Sheet1!$D:$D)</f>
        <v>(*ID) DEEJO #1GM000033 37g ALUMINIUM DARK GREY ILLUSION</v>
      </c>
      <c r="E23" t="s">
        <v>128</v>
      </c>
    </row>
    <row r="24" spans="1:5">
      <c r="A24" t="str">
        <f>_xlfn.XLOOKUP(B24,[1]Sheet1!$B:$B,[1]Sheet1!$A:$A)</f>
        <v>6833-1GM000034</v>
      </c>
      <c r="B24" t="s">
        <v>82</v>
      </c>
      <c r="C24" t="s">
        <v>126</v>
      </c>
      <c r="D24" t="str">
        <f>_xlfn.XLOOKUP(B24,[1]Sheet1!$B:$B,[1]Sheet1!$D:$D)</f>
        <v>(*ID) DEEJO #1GM000034 37g ALUMINIUM RED FRIEZE</v>
      </c>
      <c r="E24" t="s">
        <v>128</v>
      </c>
    </row>
    <row r="25" spans="1:5">
      <c r="A25" t="str">
        <f>_xlfn.XLOOKUP(B25,[1]Sheet1!$B:$B,[1]Sheet1!$A:$A)</f>
        <v>6833-1GM000035</v>
      </c>
      <c r="B25" t="s">
        <v>84</v>
      </c>
      <c r="C25" t="s">
        <v>126</v>
      </c>
      <c r="D25" t="str">
        <f>_xlfn.XLOOKUP(B25,[1]Sheet1!$B:$B,[1]Sheet1!$D:$D)</f>
        <v>(*ID) DEEJO #1GM000035 37g ALUMINIUM KHAKI PERSPECTIVE</v>
      </c>
      <c r="E25" t="s">
        <v>128</v>
      </c>
    </row>
    <row r="26" spans="1:5">
      <c r="A26" t="str">
        <f>_xlfn.XLOOKUP(B26,[1]Sheet1!$B:$B,[1]Sheet1!$A:$A)</f>
        <v>6833-1GM000036</v>
      </c>
      <c r="B26" t="s">
        <v>83</v>
      </c>
      <c r="C26" t="s">
        <v>126</v>
      </c>
      <c r="D26" t="str">
        <f>_xlfn.XLOOKUP(B26,[1]Sheet1!$B:$B,[1]Sheet1!$D:$D)</f>
        <v>(*ID) DEEJO #1GM000036 37g ALUMINIUM ORANGE PARALLEL</v>
      </c>
      <c r="E26" t="s">
        <v>128</v>
      </c>
    </row>
    <row r="27" spans="1:5">
      <c r="A27" t="str">
        <f>_xlfn.XLOOKUP(B27,[1]Sheet1!$B:$B,[1]Sheet1!$A:$A)</f>
        <v>6833-1GM000037</v>
      </c>
      <c r="B27" t="s">
        <v>85</v>
      </c>
      <c r="C27" t="s">
        <v>126</v>
      </c>
      <c r="D27" t="str">
        <f>_xlfn.XLOOKUP(B27,[1]Sheet1!$B:$B,[1]Sheet1!$D:$D)</f>
        <v>(*ID) DEEJO #1GM000037 37g ALUMINIUM BLUE CLOUDS</v>
      </c>
      <c r="E27" t="s">
        <v>128</v>
      </c>
    </row>
    <row r="28" spans="1:5">
      <c r="A28" t="str">
        <f>_xlfn.XLOOKUP(B28,[1]Sheet1!$B:$B,[1]Sheet1!$A:$A)</f>
        <v>6833-3GB000054</v>
      </c>
      <c r="B28" t="s">
        <v>89</v>
      </c>
      <c r="C28" t="s">
        <v>126</v>
      </c>
      <c r="D28" t="str">
        <f>_xlfn.XLOOKUP(B28,[1]Sheet1!$B:$B,[1]Sheet1!$D:$D)</f>
        <v>(*ID) DEEJO ##3GB000054 390g OLIVE WOOD TERRA INCOGNITA</v>
      </c>
      <c r="E28" t="s">
        <v>128</v>
      </c>
    </row>
    <row r="29" spans="1:5">
      <c r="A29" t="str">
        <f>_xlfn.XLOOKUP(B29,[1]Sheet1!$B:$B,[1]Sheet1!$A:$A)</f>
        <v>6833-6AB000005</v>
      </c>
      <c r="B29" t="s">
        <v>91</v>
      </c>
      <c r="C29" t="s">
        <v>126</v>
      </c>
      <c r="D29" t="str">
        <f>_xlfn.XLOOKUP(B29,[1]Sheet1!$B:$B,[1]Sheet1!$D:$D)</f>
        <v>DEEJO #6AB000005 CORAL WOOD STEAK KNIVES MIRROR BLADE W/O TATTOO SET OF 6</v>
      </c>
      <c r="E29" t="s">
        <v>128</v>
      </c>
    </row>
    <row r="30" spans="1:5">
      <c r="A30" t="str">
        <f>_xlfn.XLOOKUP(B30,[1]Sheet1!$B:$B,[1]Sheet1!$A:$A)</f>
        <v>6833-6AB000103</v>
      </c>
      <c r="B30" t="s">
        <v>93</v>
      </c>
      <c r="C30" t="s">
        <v>126</v>
      </c>
      <c r="D30" t="str">
        <f>_xlfn.XLOOKUP(B30,[1]Sheet1!$B:$B,[1]Sheet1!$D:$D)</f>
        <v>DEEJO #6AB000103 OLIVE WOOD STEAK KNIFE TOILE DE JOUY SET OF 6</v>
      </c>
      <c r="E30" t="s">
        <v>128</v>
      </c>
    </row>
    <row r="31" spans="1:5">
      <c r="A31" t="str">
        <f>_xlfn.XLOOKUP(B31,[1]Sheet1!$B:$B,[1]Sheet1!$A:$A)</f>
        <v>6833-6FB000101</v>
      </c>
      <c r="B31" t="s">
        <v>95</v>
      </c>
      <c r="C31" t="s">
        <v>126</v>
      </c>
      <c r="D31" t="str">
        <f>_xlfn.XLOOKUP(B31,[1]Sheet1!$B:$B,[1]Sheet1!$D:$D)</f>
        <v>DEEJO #6FB000101 OLIVE WOOD STEAK KNIVES ART DECO SET OF 6</v>
      </c>
      <c r="E31" t="s">
        <v>128</v>
      </c>
    </row>
    <row r="32" spans="1:5">
      <c r="A32" t="str">
        <f>_xlfn.XLOOKUP(B32,[1]Sheet1!$B:$B,[1]Sheet1!$A:$A)</f>
        <v>6833-6FB000105</v>
      </c>
      <c r="B32" t="s">
        <v>97</v>
      </c>
      <c r="C32" t="s">
        <v>126</v>
      </c>
      <c r="D32" t="str">
        <f>_xlfn.XLOOKUP(B32,[1]Sheet1!$B:$B,[1]Sheet1!$D:$D)</f>
        <v>DEEJO #6FB000105 EBONY STEAK KNIVES JAPANESE SET OF 6</v>
      </c>
      <c r="E32" t="s">
        <v>128</v>
      </c>
    </row>
    <row r="33" spans="1:5">
      <c r="A33" t="str">
        <f>_xlfn.XLOOKUP(B33,[1]Sheet1!$B:$B,[1]Sheet1!$A:$A)</f>
        <v>6833-6FM000101</v>
      </c>
      <c r="B33" t="s">
        <v>99</v>
      </c>
      <c r="C33" t="s">
        <v>126</v>
      </c>
      <c r="D33" t="str">
        <f>_xlfn.XLOOKUP(B33,[1]Sheet1!$B:$B,[1]Sheet1!$D:$D)</f>
        <v>(*ID) DEEJO #6FM000101 CHROME PLATED STEAK KNIVES ART SET OF 6</v>
      </c>
      <c r="E33" t="s">
        <v>128</v>
      </c>
    </row>
    <row r="34" spans="1:5">
      <c r="A34" t="str">
        <f>_xlfn.XLOOKUP(B34,[1]Sheet1!$B:$B,[1]Sheet1!$A:$A)</f>
        <v>6833-SFB000001</v>
      </c>
      <c r="B34" t="s">
        <v>101</v>
      </c>
      <c r="C34" t="s">
        <v>126</v>
      </c>
      <c r="D34" t="str">
        <f>_xlfn.XLOOKUP(B34,[1]Sheet1!$B:$B,[1]Sheet1!$D:$D)</f>
        <v>(*ID) DEEJO #SFB000001 75g WAITER'S KNIFE OLIVE WOOD</v>
      </c>
      <c r="E34" t="s">
        <v>128</v>
      </c>
    </row>
    <row r="35" spans="1:5">
      <c r="A35" t="str">
        <f>_xlfn.XLOOKUP(B35,[1]Sheet1!$B:$B,[1]Sheet1!$A:$A)</f>
        <v>6833-SFB000005</v>
      </c>
      <c r="B35" t="s">
        <v>103</v>
      </c>
      <c r="C35" t="s">
        <v>126</v>
      </c>
      <c r="D35" t="str">
        <f>_xlfn.XLOOKUP(B35,[1]Sheet1!$B:$B,[1]Sheet1!$D:$D)</f>
        <v>(*ID) DEEJO #SFB000005 75g WAITER'S KNIFE CORAL WOOD</v>
      </c>
      <c r="E35" t="s">
        <v>128</v>
      </c>
    </row>
    <row r="36" spans="1:5">
      <c r="A36" t="str">
        <f>_xlfn.XLOOKUP(B36,[1]Sheet1!$B:$B,[1]Sheet1!$A:$A)</f>
        <v>6833-1CB000076</v>
      </c>
      <c r="B36" t="s">
        <v>106</v>
      </c>
      <c r="C36" t="s">
        <v>126</v>
      </c>
      <c r="D36" t="str">
        <f>_xlfn.XLOOKUP(B36,[1]Sheet1!$B:$B,[1]Sheet1!$D:$D)</f>
        <v>DEEJO #1CB000076 37g CORAL WOOD CHINESE DRAGON FOLDABLE POCKET KNIFE</v>
      </c>
      <c r="E36" t="s">
        <v>128</v>
      </c>
    </row>
    <row r="37" spans="1:5">
      <c r="A37" t="str">
        <f>_xlfn.XLOOKUP(B37,[1]Sheet1!$B:$B,[1]Sheet1!$A:$A)</f>
        <v>6833-1CB000090</v>
      </c>
      <c r="B37" t="s">
        <v>109</v>
      </c>
      <c r="C37" t="s">
        <v>126</v>
      </c>
      <c r="D37" t="str">
        <f>_xlfn.XLOOKUP(B37,[1]Sheet1!$B:$B,[1]Sheet1!$D:$D)</f>
        <v>DEEJO #1CB000090 37g CORAL WOOD COCK-A-DOODLE-DOO FOLDABLE POCKET KNIFE</v>
      </c>
      <c r="E37" t="s">
        <v>110</v>
      </c>
    </row>
    <row r="38" spans="1:5">
      <c r="A38" t="str">
        <f>_xlfn.XLOOKUP(B38,[1]Sheet1!$B:$B,[1]Sheet1!$A:$A)</f>
        <v>6833-6AB000104</v>
      </c>
      <c r="B38" t="s">
        <v>113</v>
      </c>
      <c r="C38" t="s">
        <v>126</v>
      </c>
      <c r="D38" t="str">
        <f>_xlfn.XLOOKUP(B38,[1]Sheet1!$B:$B,[1]Sheet1!$D:$D)</f>
        <v>DEEJO #6AB000104 CORAL WOOD STEAK KNIFE BLOSSOM SET OF 6</v>
      </c>
      <c r="E38" t="s">
        <v>128</v>
      </c>
    </row>
    <row r="39" spans="1:5">
      <c r="A39" t="str">
        <f>_xlfn.XLOOKUP(B39,[1]Sheet1!$B:$B,[1]Sheet1!$A:$A)</f>
        <v>6833-6AC000108</v>
      </c>
      <c r="B39" t="s">
        <v>114</v>
      </c>
      <c r="C39" t="s">
        <v>126</v>
      </c>
      <c r="D39" t="str">
        <f>_xlfn.XLOOKUP(B39,[1]Sheet1!$B:$B,[1]Sheet1!$D:$D)</f>
        <v>DEEJO #6AC000108 AMBER TURTLE STEAK KNIVES WILD  SET OF 6</v>
      </c>
      <c r="E39" t="s">
        <v>128</v>
      </c>
    </row>
    <row r="40" spans="1:5">
      <c r="A40" t="str">
        <f>_xlfn.XLOOKUP(B40,[1]Sheet1!$B:$B,[1]Sheet1!$A:$A)</f>
        <v>6833-6FB000102</v>
      </c>
      <c r="B40" t="s">
        <v>116</v>
      </c>
      <c r="C40" t="s">
        <v>126</v>
      </c>
      <c r="D40" t="str">
        <f>_xlfn.XLOOKUP(B40,[1]Sheet1!$B:$B,[1]Sheet1!$D:$D)</f>
        <v>DEEJO #6FB000102 CORAL WOOD STEAK KNIVES GEOMETRIE SET OF 6</v>
      </c>
      <c r="E40" t="s">
        <v>128</v>
      </c>
    </row>
    <row r="41" spans="1:5">
      <c r="A41" t="str">
        <f>_xlfn.XLOOKUP(B41,[1]Sheet1!$B:$B,[1]Sheet1!$A:$A)</f>
        <v>6833-DEE000057</v>
      </c>
      <c r="B41" t="s">
        <v>119</v>
      </c>
      <c r="C41" t="s">
        <v>126</v>
      </c>
      <c r="D41" t="str">
        <f>_xlfn.XLOOKUP(B41,[1]Sheet1!$B:$B,[1]Sheet1!$D:$D)</f>
        <v>DEEJO #DEE000057 ROTATIVE DISPLAY FOR 24 X DEEJO BOX</v>
      </c>
      <c r="E41" t="s">
        <v>128</v>
      </c>
    </row>
    <row r="42" spans="1:5">
      <c r="A42" t="str">
        <f>_xlfn.XLOOKUP(B42,[1]Sheet1!$B:$B,[1]Sheet1!$A:$A)</f>
        <v>6833-DEE000456</v>
      </c>
      <c r="B42" t="s">
        <v>121</v>
      </c>
      <c r="C42" t="s">
        <v>126</v>
      </c>
      <c r="D42" t="str">
        <f>_xlfn.XLOOKUP(B42,[1]Sheet1!$B:$B,[1]Sheet1!$D:$D)</f>
        <v>(ID*) DEEJO #DEE000456 METAL CLOSED TABLE KNIVES DISPLAY FOR X6</v>
      </c>
      <c r="E42" t="s">
        <v>128</v>
      </c>
    </row>
    <row r="43" spans="1:5">
      <c r="A43" t="str">
        <f>_xlfn.XLOOKUP(B43,[1]Sheet1!$B:$B,[1]Sheet1!$A:$A)</f>
        <v>6833-DEE000885</v>
      </c>
      <c r="B43" t="s">
        <v>122</v>
      </c>
      <c r="C43" t="s">
        <v>126</v>
      </c>
      <c r="D43" t="str">
        <f>_xlfn.XLOOKUP(B43,[1]Sheet1!$B:$B,[1]Sheet1!$D:$D)</f>
        <v>(*ID) DEEJO #DEE000885 37g ALUMINIUM DARK GREY 24H LE MANS DUEL LIMITED EDITION</v>
      </c>
      <c r="E43" t="s">
        <v>124</v>
      </c>
    </row>
  </sheetData>
  <conditionalFormatting sqref="B1:B1048576">
    <cfRule type="duplicateValues" dxfId="3" priority="2"/>
  </conditionalFormatting>
  <conditionalFormatting sqref="A1:A104857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2707-C227-488B-AA1E-10E04A3D215D}">
  <dimension ref="A1:L43"/>
  <sheetViews>
    <sheetView workbookViewId="0">
      <selection activeCell="E1" sqref="E1:E1048576"/>
    </sheetView>
  </sheetViews>
  <sheetFormatPr defaultRowHeight="15"/>
  <cols>
    <col min="1" max="1" width="16.7109375" customWidth="1"/>
    <col min="2" max="2" width="18.140625" customWidth="1"/>
    <col min="3" max="3" width="17" customWidth="1"/>
    <col min="4" max="4" width="25.140625" customWidth="1"/>
    <col min="5" max="5" width="18" customWidth="1"/>
    <col min="11" max="11" width="20.140625" customWidth="1"/>
    <col min="12" max="12" width="13.42578125" customWidth="1"/>
  </cols>
  <sheetData>
    <row r="1" spans="1:12">
      <c r="A1" s="2" t="s">
        <v>0</v>
      </c>
      <c r="B1" s="2" t="s">
        <v>1</v>
      </c>
      <c r="C1" s="2" t="s">
        <v>2</v>
      </c>
      <c r="D1" s="2" t="s">
        <v>3</v>
      </c>
      <c r="E1" s="2" t="s">
        <v>6</v>
      </c>
      <c r="F1" s="2" t="s">
        <v>7</v>
      </c>
      <c r="G1" s="2" t="s">
        <v>8</v>
      </c>
      <c r="H1" s="2" t="s">
        <v>9</v>
      </c>
      <c r="I1" s="2" t="s">
        <v>10</v>
      </c>
      <c r="J1" s="2" t="s">
        <v>11</v>
      </c>
      <c r="K1" s="2" t="s">
        <v>12</v>
      </c>
      <c r="L1" s="2" t="s">
        <v>13</v>
      </c>
    </row>
    <row r="2" spans="1:12">
      <c r="A2" t="str">
        <f>_xlfn.XLOOKUP(B2,[1]Sheet1!$B:$B,[1]Sheet1!$A:$A)</f>
        <v>6833-1CB000021</v>
      </c>
      <c r="B2" t="s">
        <v>22</v>
      </c>
      <c r="C2" t="s">
        <v>126</v>
      </c>
      <c r="D2" t="str">
        <f>_xlfn.XLOOKUP(B2,[1]Sheet1!$B:$B,[1]Sheet1!$D:$D)</f>
        <v>DEEJO #1CB000021 37g EBONY WOOD LATINO SKULL FOLDABLE POCKET KNIFE</v>
      </c>
      <c r="E2">
        <v>3661190007858</v>
      </c>
      <c r="F2" t="s">
        <v>14</v>
      </c>
      <c r="G2" t="s">
        <v>15</v>
      </c>
      <c r="H2" t="s">
        <v>16</v>
      </c>
      <c r="I2">
        <v>95</v>
      </c>
      <c r="J2" t="s">
        <v>17</v>
      </c>
      <c r="K2">
        <v>205</v>
      </c>
      <c r="L2" t="s">
        <v>19</v>
      </c>
    </row>
    <row r="3" spans="1:12">
      <c r="A3" t="str">
        <f>_xlfn.XLOOKUP(B3,[1]Sheet1!$B:$B,[1]Sheet1!$A:$A)</f>
        <v>6833-1CB000032</v>
      </c>
      <c r="B3" t="s">
        <v>25</v>
      </c>
      <c r="C3" t="s">
        <v>126</v>
      </c>
      <c r="D3" t="str">
        <f>_xlfn.XLOOKUP(B3,[1]Sheet1!$B:$B,[1]Sheet1!$D:$D)</f>
        <v>DEEJO #1CB000032 37g EBONY WOOD BICYCLE FOLDABLE POCKET KNIFE</v>
      </c>
      <c r="E3">
        <v>3661190009227</v>
      </c>
      <c r="F3" t="s">
        <v>14</v>
      </c>
      <c r="G3" t="s">
        <v>15</v>
      </c>
      <c r="H3" t="s">
        <v>16</v>
      </c>
      <c r="I3">
        <v>95</v>
      </c>
      <c r="J3" t="s">
        <v>17</v>
      </c>
      <c r="K3">
        <v>205</v>
      </c>
      <c r="L3" t="s">
        <v>128</v>
      </c>
    </row>
    <row r="4" spans="1:12">
      <c r="A4" t="str">
        <f>_xlfn.XLOOKUP(B4,[1]Sheet1!$B:$B,[1]Sheet1!$A:$A)</f>
        <v>6833-1GB000149</v>
      </c>
      <c r="B4" t="s">
        <v>29</v>
      </c>
      <c r="C4" t="s">
        <v>126</v>
      </c>
      <c r="D4" t="str">
        <f>_xlfn.XLOOKUP(B4,[1]Sheet1!$B:$B,[1]Sheet1!$D:$D)</f>
        <v>DEEJO #1GB000149 37g OLIVE WOOD YIN AND YANG FOLDABLE POCKET KNIFE</v>
      </c>
      <c r="E4">
        <v>3661190013453</v>
      </c>
      <c r="F4" t="s">
        <v>14</v>
      </c>
      <c r="G4" t="s">
        <v>15</v>
      </c>
      <c r="H4" t="s">
        <v>18</v>
      </c>
      <c r="I4">
        <v>95</v>
      </c>
      <c r="J4" t="s">
        <v>17</v>
      </c>
      <c r="K4">
        <v>205</v>
      </c>
      <c r="L4" t="s">
        <v>128</v>
      </c>
    </row>
    <row r="5" spans="1:12">
      <c r="A5" t="str">
        <f>_xlfn.XLOOKUP(B5,[1]Sheet1!$B:$B,[1]Sheet1!$A:$A)</f>
        <v>6833-1GB000172</v>
      </c>
      <c r="B5" t="s">
        <v>32</v>
      </c>
      <c r="C5" t="s">
        <v>126</v>
      </c>
      <c r="D5" t="str">
        <f>_xlfn.XLOOKUP(B5,[1]Sheet1!$B:$B,[1]Sheet1!$D:$D)</f>
        <v>DEEJO #1GB000172 37g EBONY WOOD VINYL FOLDABLE POCKET KNIFE</v>
      </c>
      <c r="E5">
        <v>3661190022349</v>
      </c>
      <c r="F5" t="s">
        <v>14</v>
      </c>
      <c r="G5" t="s">
        <v>15</v>
      </c>
      <c r="H5" t="s">
        <v>16</v>
      </c>
      <c r="I5">
        <v>95</v>
      </c>
      <c r="J5" t="s">
        <v>17</v>
      </c>
      <c r="K5">
        <v>205</v>
      </c>
      <c r="L5" t="s">
        <v>128</v>
      </c>
    </row>
    <row r="6" spans="1:12">
      <c r="A6" t="str">
        <f>_xlfn.XLOOKUP(B6,[1]Sheet1!$B:$B,[1]Sheet1!$A:$A)</f>
        <v>6833-1CB000014</v>
      </c>
      <c r="B6" t="s">
        <v>36</v>
      </c>
      <c r="C6" t="s">
        <v>126</v>
      </c>
      <c r="D6" t="str">
        <f>_xlfn.XLOOKUP(B6,[1]Sheet1!$B:$B,[1]Sheet1!$D:$D)</f>
        <v>DEEJO #1CB000014 37g JUNIPER WOOD ART NOUVEAU FOLDABLE POCKET KNIFE</v>
      </c>
      <c r="E6">
        <v>3661190007728</v>
      </c>
      <c r="F6" t="s">
        <v>14</v>
      </c>
      <c r="G6" t="s">
        <v>15</v>
      </c>
      <c r="H6" t="s">
        <v>16</v>
      </c>
      <c r="I6">
        <v>95</v>
      </c>
      <c r="J6" t="s">
        <v>17</v>
      </c>
      <c r="K6">
        <v>205</v>
      </c>
      <c r="L6" t="s">
        <v>128</v>
      </c>
    </row>
    <row r="7" spans="1:12">
      <c r="A7" t="str">
        <f>_xlfn.XLOOKUP(B7,[1]Sheet1!$B:$B,[1]Sheet1!$A:$A)</f>
        <v>6833-1CB000022</v>
      </c>
      <c r="B7" t="s">
        <v>39</v>
      </c>
      <c r="C7" t="s">
        <v>126</v>
      </c>
      <c r="D7" t="str">
        <f>_xlfn.XLOOKUP(B7,[1]Sheet1!$B:$B,[1]Sheet1!$D:$D)</f>
        <v>DEEJO #1CB000022 37g CORAL WOOD TREE FOLDABLE POCKET KNIFE</v>
      </c>
      <c r="E7">
        <v>3661190007865</v>
      </c>
      <c r="F7" t="s">
        <v>14</v>
      </c>
      <c r="G7" t="s">
        <v>15</v>
      </c>
      <c r="H7" t="s">
        <v>20</v>
      </c>
      <c r="I7">
        <v>95</v>
      </c>
      <c r="J7" t="s">
        <v>17</v>
      </c>
      <c r="K7">
        <v>205</v>
      </c>
      <c r="L7" t="s">
        <v>19</v>
      </c>
    </row>
    <row r="8" spans="1:12">
      <c r="A8" t="str">
        <f>_xlfn.XLOOKUP(B8,[1]Sheet1!$B:$B,[1]Sheet1!$A:$A)</f>
        <v>6833-1CB000054</v>
      </c>
      <c r="B8" t="s">
        <v>42</v>
      </c>
      <c r="C8" t="s">
        <v>126</v>
      </c>
      <c r="D8" t="str">
        <f>_xlfn.XLOOKUP(B8,[1]Sheet1!$B:$B,[1]Sheet1!$D:$D)</f>
        <v>DEEJO #1CB000054 37g OLIVE WOOD TERRA INCOGNITA FOLDABLE POCKET KNIFE</v>
      </c>
      <c r="E8">
        <v>3661190011367</v>
      </c>
      <c r="F8" t="s">
        <v>14</v>
      </c>
      <c r="G8" t="s">
        <v>15</v>
      </c>
      <c r="H8" t="s">
        <v>18</v>
      </c>
      <c r="I8">
        <v>95</v>
      </c>
      <c r="J8" t="s">
        <v>17</v>
      </c>
      <c r="K8">
        <v>205</v>
      </c>
      <c r="L8" t="s">
        <v>128</v>
      </c>
    </row>
    <row r="9" spans="1:12">
      <c r="A9" t="str">
        <f>_xlfn.XLOOKUP(B9,[1]Sheet1!$B:$B,[1]Sheet1!$A:$A)</f>
        <v>6833-1CB000080</v>
      </c>
      <c r="B9" t="s">
        <v>45</v>
      </c>
      <c r="C9" t="s">
        <v>126</v>
      </c>
      <c r="D9" t="str">
        <f>_xlfn.XLOOKUP(B9,[1]Sheet1!$B:$B,[1]Sheet1!$D:$D)</f>
        <v>DEEJO #1CB000080 37g CORAL WOOD MOUNTAIN FOLDABLE POCKET KNIFE</v>
      </c>
      <c r="E9">
        <v>3661190017819</v>
      </c>
      <c r="F9" t="s">
        <v>14</v>
      </c>
      <c r="G9" t="s">
        <v>15</v>
      </c>
      <c r="H9" t="s">
        <v>28</v>
      </c>
      <c r="I9">
        <v>95</v>
      </c>
      <c r="J9" t="s">
        <v>17</v>
      </c>
      <c r="K9">
        <v>205</v>
      </c>
      <c r="L9" t="s">
        <v>128</v>
      </c>
    </row>
    <row r="10" spans="1:12">
      <c r="A10" t="str">
        <f>_xlfn.XLOOKUP(B10,[1]Sheet1!$B:$B,[1]Sheet1!$A:$A)</f>
        <v>6833-1CB000053</v>
      </c>
      <c r="B10" t="s">
        <v>48</v>
      </c>
      <c r="C10" t="s">
        <v>126</v>
      </c>
      <c r="D10" t="str">
        <f>_xlfn.XLOOKUP(B10,[1]Sheet1!$B:$B,[1]Sheet1!$D:$D)</f>
        <v>DEEJO #1CB000053 37g EBONY WOOD CAFE RACER FOLDABLE POCKET KNIFE</v>
      </c>
      <c r="E10">
        <v>3661190011350</v>
      </c>
      <c r="F10" t="s">
        <v>14</v>
      </c>
      <c r="G10" t="s">
        <v>15</v>
      </c>
      <c r="H10" t="s">
        <v>16</v>
      </c>
      <c r="I10">
        <v>95</v>
      </c>
      <c r="J10" t="s">
        <v>17</v>
      </c>
      <c r="K10">
        <v>205</v>
      </c>
      <c r="L10" t="s">
        <v>35</v>
      </c>
    </row>
    <row r="11" spans="1:12">
      <c r="A11" t="str">
        <f>_xlfn.XLOOKUP(B11,[1]Sheet1!$B:$B,[1]Sheet1!$A:$A)</f>
        <v>6833-1CB000020</v>
      </c>
      <c r="B11" t="s">
        <v>51</v>
      </c>
      <c r="C11" t="s">
        <v>126</v>
      </c>
      <c r="D11" t="str">
        <f>_xlfn.XLOOKUP(B11,[1]Sheet1!$B:$B,[1]Sheet1!$D:$D)</f>
        <v>DEEJO #1CB000020 37g JUNIPER WOOD TRIBAL FOLDABLE POCKET KNIFE</v>
      </c>
      <c r="E11">
        <v>3661190007841</v>
      </c>
      <c r="F11" t="s">
        <v>14</v>
      </c>
      <c r="G11" t="s">
        <v>15</v>
      </c>
      <c r="H11" t="s">
        <v>21</v>
      </c>
      <c r="I11">
        <v>95</v>
      </c>
      <c r="J11" t="s">
        <v>17</v>
      </c>
      <c r="K11">
        <v>205</v>
      </c>
      <c r="L11" t="s">
        <v>128</v>
      </c>
    </row>
    <row r="12" spans="1:12">
      <c r="A12" t="str">
        <f>_xlfn.XLOOKUP(B12,[1]Sheet1!$B:$B,[1]Sheet1!$A:$A)</f>
        <v>6833-1GB000163</v>
      </c>
      <c r="B12" t="s">
        <v>54</v>
      </c>
      <c r="C12" t="s">
        <v>126</v>
      </c>
      <c r="D12" t="str">
        <f>_xlfn.XLOOKUP(B12,[1]Sheet1!$B:$B,[1]Sheet1!$D:$D)</f>
        <v>DEEJO #1GB000163 37g OLIVE WOOD VIKING VEGVISER FOLDABLE POCKET KNIFE</v>
      </c>
      <c r="E12">
        <v>3661190017741</v>
      </c>
      <c r="F12" t="s">
        <v>14</v>
      </c>
      <c r="G12" t="s">
        <v>15</v>
      </c>
      <c r="H12" t="s">
        <v>18</v>
      </c>
      <c r="I12">
        <v>95</v>
      </c>
      <c r="J12" t="s">
        <v>17</v>
      </c>
      <c r="K12">
        <v>205</v>
      </c>
      <c r="L12" t="s">
        <v>128</v>
      </c>
    </row>
    <row r="13" spans="1:12">
      <c r="A13" t="str">
        <f>_xlfn.XLOOKUP(B13,[1]Sheet1!$B:$B,[1]Sheet1!$A:$A)</f>
        <v>6833-1GB000139</v>
      </c>
      <c r="B13" t="s">
        <v>57</v>
      </c>
      <c r="C13" t="s">
        <v>126</v>
      </c>
      <c r="D13" t="str">
        <f>_xlfn.XLOOKUP(B13,[1]Sheet1!$B:$B,[1]Sheet1!$D:$D)</f>
        <v>DEEJO #1GB000139 37g CORAL WOOD POLYNESIAN FOLDABLE POCKET KNIFE</v>
      </c>
      <c r="E13" t="s">
        <v>128</v>
      </c>
      <c r="F13" t="s">
        <v>14</v>
      </c>
      <c r="G13" t="s">
        <v>15</v>
      </c>
      <c r="H13" t="s">
        <v>128</v>
      </c>
      <c r="I13">
        <v>95</v>
      </c>
      <c r="J13" t="s">
        <v>17</v>
      </c>
      <c r="K13">
        <v>205</v>
      </c>
      <c r="L13" t="s">
        <v>128</v>
      </c>
    </row>
    <row r="14" spans="1:12">
      <c r="A14" t="str">
        <f>_xlfn.XLOOKUP(B14,[1]Sheet1!$B:$B,[1]Sheet1!$A:$A)</f>
        <v>6833-1CB000062</v>
      </c>
      <c r="B14" t="s">
        <v>59</v>
      </c>
      <c r="C14" t="s">
        <v>126</v>
      </c>
      <c r="D14" t="str">
        <f>_xlfn.XLOOKUP(B14,[1]Sheet1!$B:$B,[1]Sheet1!$D:$D)</f>
        <v>DEEJO #1CB000062 37g CORAL WOOD RACING CAR FOLDABLE POCKET KNIFE</v>
      </c>
      <c r="E14" t="s">
        <v>128</v>
      </c>
      <c r="F14" t="s">
        <v>14</v>
      </c>
      <c r="G14" t="s">
        <v>15</v>
      </c>
      <c r="H14" t="s">
        <v>128</v>
      </c>
      <c r="I14">
        <v>95</v>
      </c>
      <c r="J14" t="s">
        <v>17</v>
      </c>
      <c r="K14">
        <v>205</v>
      </c>
      <c r="L14" t="s">
        <v>128</v>
      </c>
    </row>
    <row r="15" spans="1:12">
      <c r="A15" t="str">
        <f>_xlfn.XLOOKUP(B15,[1]Sheet1!$B:$B,[1]Sheet1!$A:$A)</f>
        <v>6833-1GB000105</v>
      </c>
      <c r="B15" t="s">
        <v>61</v>
      </c>
      <c r="C15" t="s">
        <v>126</v>
      </c>
      <c r="D15" t="str">
        <f>_xlfn.XLOOKUP(B15,[1]Sheet1!$B:$B,[1]Sheet1!$D:$D)</f>
        <v>DEEJO #1GB000105 37g OLIVE WOOD ART DECO FOLDABLE POCKET KNIFE</v>
      </c>
      <c r="E15" t="s">
        <v>128</v>
      </c>
      <c r="F15" t="s">
        <v>14</v>
      </c>
      <c r="G15" t="s">
        <v>15</v>
      </c>
      <c r="H15" t="s">
        <v>128</v>
      </c>
      <c r="I15">
        <v>95</v>
      </c>
      <c r="J15" t="s">
        <v>17</v>
      </c>
      <c r="K15">
        <v>205</v>
      </c>
      <c r="L15" t="s">
        <v>128</v>
      </c>
    </row>
    <row r="16" spans="1:12">
      <c r="A16" t="str">
        <f>_xlfn.XLOOKUP(B16,[1]Sheet1!$B:$B,[1]Sheet1!$A:$A)</f>
        <v>6833-SFB000004</v>
      </c>
      <c r="B16" t="s">
        <v>63</v>
      </c>
      <c r="C16" t="s">
        <v>126</v>
      </c>
      <c r="D16" t="str">
        <f>_xlfn.XLOOKUP(B16,[1]Sheet1!$B:$B,[1]Sheet1!$D:$D)</f>
        <v>(*ID) DEEJO #SFB000004 75g WAITER'S KNIFE EBONY WOOD</v>
      </c>
      <c r="E16" t="s">
        <v>128</v>
      </c>
      <c r="F16" t="s">
        <v>14</v>
      </c>
      <c r="G16" t="s">
        <v>15</v>
      </c>
      <c r="H16" t="s">
        <v>16</v>
      </c>
      <c r="I16">
        <v>95</v>
      </c>
      <c r="J16" t="s">
        <v>17</v>
      </c>
      <c r="K16">
        <v>205</v>
      </c>
      <c r="L16" t="s">
        <v>128</v>
      </c>
    </row>
    <row r="17" spans="1:12">
      <c r="A17" t="str">
        <f>_xlfn.XLOOKUP(B17,[1]Sheet1!$B:$B,[1]Sheet1!$A:$A)</f>
        <v>6833-1CB000015</v>
      </c>
      <c r="B17" t="s">
        <v>66</v>
      </c>
      <c r="C17" t="s">
        <v>126</v>
      </c>
      <c r="D17" t="str">
        <f>_xlfn.XLOOKUP(B17,[1]Sheet1!$B:$B,[1]Sheet1!$D:$D)</f>
        <v>DEEJO #1CB000015 37g JUNIPER WOOD FISH FOLDABLE POCKET KNIFE</v>
      </c>
      <c r="E17" t="s">
        <v>128</v>
      </c>
      <c r="F17" t="s">
        <v>14</v>
      </c>
      <c r="G17" t="s">
        <v>15</v>
      </c>
      <c r="H17" t="s">
        <v>16</v>
      </c>
      <c r="I17">
        <v>95</v>
      </c>
      <c r="J17" t="s">
        <v>17</v>
      </c>
      <c r="K17">
        <v>205</v>
      </c>
      <c r="L17" t="s">
        <v>128</v>
      </c>
    </row>
    <row r="18" spans="1:12">
      <c r="A18" t="str">
        <f>_xlfn.XLOOKUP(B18,[1]Sheet1!$B:$B,[1]Sheet1!$A:$A)</f>
        <v>6833-1CB000056</v>
      </c>
      <c r="B18" t="s">
        <v>69</v>
      </c>
      <c r="C18" t="s">
        <v>126</v>
      </c>
      <c r="D18" t="str">
        <f>_xlfn.XLOOKUP(B18,[1]Sheet1!$B:$B,[1]Sheet1!$D:$D)</f>
        <v>DEEJO #1CB000056 37g CORAL WOOD LION FOLDABLE POCKET KNIFE</v>
      </c>
      <c r="E18" t="s">
        <v>128</v>
      </c>
      <c r="F18" t="s">
        <v>14</v>
      </c>
      <c r="G18" t="s">
        <v>15</v>
      </c>
      <c r="H18" t="s">
        <v>128</v>
      </c>
      <c r="I18">
        <v>95</v>
      </c>
      <c r="J18" t="s">
        <v>17</v>
      </c>
      <c r="K18">
        <v>205</v>
      </c>
      <c r="L18" t="s">
        <v>128</v>
      </c>
    </row>
    <row r="19" spans="1:12">
      <c r="A19" t="str">
        <f>_xlfn.XLOOKUP(B19,[1]Sheet1!$B:$B,[1]Sheet1!$A:$A)</f>
        <v>6833-1CB000089</v>
      </c>
      <c r="B19" t="s">
        <v>72</v>
      </c>
      <c r="C19" t="s">
        <v>126</v>
      </c>
      <c r="D19" t="str">
        <f>_xlfn.XLOOKUP(B19,[1]Sheet1!$B:$B,[1]Sheet1!$D:$D)</f>
        <v>DEEJO #1CB000089 37g JUNIPER WOOD GRAND CRU FOLDABLE POCKET KNIFE</v>
      </c>
      <c r="E19" t="s">
        <v>128</v>
      </c>
      <c r="F19" t="s">
        <v>14</v>
      </c>
      <c r="G19" t="s">
        <v>15</v>
      </c>
      <c r="H19" t="s">
        <v>128</v>
      </c>
      <c r="I19">
        <v>95</v>
      </c>
      <c r="J19" t="s">
        <v>17</v>
      </c>
      <c r="K19">
        <v>205</v>
      </c>
      <c r="L19" t="s">
        <v>128</v>
      </c>
    </row>
    <row r="20" spans="1:12">
      <c r="A20" t="str">
        <f>_xlfn.XLOOKUP(B20,[1]Sheet1!$B:$B,[1]Sheet1!$A:$A)</f>
        <v>6833-1GB000141</v>
      </c>
      <c r="B20" t="s">
        <v>74</v>
      </c>
      <c r="C20" t="s">
        <v>126</v>
      </c>
      <c r="D20" t="str">
        <f>_xlfn.XLOOKUP(B20,[1]Sheet1!$B:$B,[1]Sheet1!$D:$D)</f>
        <v>DEEJO #1GB000141 37g OLIVE WOOD PACIFIC FOLDABLE POCKET KNIFE</v>
      </c>
      <c r="E20" t="s">
        <v>128</v>
      </c>
      <c r="F20" t="s">
        <v>14</v>
      </c>
      <c r="G20" t="s">
        <v>15</v>
      </c>
      <c r="H20" t="s">
        <v>128</v>
      </c>
      <c r="I20">
        <v>95</v>
      </c>
      <c r="J20" t="s">
        <v>17</v>
      </c>
      <c r="K20">
        <v>205</v>
      </c>
      <c r="L20" t="s">
        <v>128</v>
      </c>
    </row>
    <row r="21" spans="1:12">
      <c r="A21" t="str">
        <f>_xlfn.XLOOKUP(B21,[1]Sheet1!$B:$B,[1]Sheet1!$A:$A)</f>
        <v>6833-1GC000108</v>
      </c>
      <c r="B21" t="s">
        <v>76</v>
      </c>
      <c r="C21" t="s">
        <v>126</v>
      </c>
      <c r="D21" t="str">
        <f>_xlfn.XLOOKUP(B21,[1]Sheet1!$B:$B,[1]Sheet1!$D:$D)</f>
        <v>(*ID) DEEJO #1GC000108 37g CARBON FIBER YOUNG TIMER</v>
      </c>
      <c r="E21" t="s">
        <v>128</v>
      </c>
      <c r="F21" t="s">
        <v>14</v>
      </c>
      <c r="G21" t="s">
        <v>15</v>
      </c>
      <c r="H21" t="s">
        <v>128</v>
      </c>
      <c r="I21">
        <v>95</v>
      </c>
      <c r="J21" t="s">
        <v>17</v>
      </c>
      <c r="K21">
        <v>205</v>
      </c>
      <c r="L21" t="s">
        <v>128</v>
      </c>
    </row>
    <row r="22" spans="1:12">
      <c r="A22" t="str">
        <f>_xlfn.XLOOKUP(B22,[1]Sheet1!$B:$B,[1]Sheet1!$A:$A)</f>
        <v>6833-1GM000032</v>
      </c>
      <c r="B22" t="s">
        <v>78</v>
      </c>
      <c r="C22" t="s">
        <v>126</v>
      </c>
      <c r="D22" t="str">
        <f>_xlfn.XLOOKUP(B22,[1]Sheet1!$B:$B,[1]Sheet1!$D:$D)</f>
        <v>(DC25) DEEJO #1GM000032 37g ALUMINIUM LIGHT GREY QUADRATIC</v>
      </c>
      <c r="E22" t="s">
        <v>128</v>
      </c>
      <c r="F22" t="s">
        <v>14</v>
      </c>
      <c r="G22" t="s">
        <v>15</v>
      </c>
      <c r="H22" t="s">
        <v>128</v>
      </c>
      <c r="I22">
        <v>95</v>
      </c>
      <c r="J22" t="s">
        <v>17</v>
      </c>
      <c r="K22">
        <v>205</v>
      </c>
      <c r="L22" t="s">
        <v>128</v>
      </c>
    </row>
    <row r="23" spans="1:12">
      <c r="A23" t="str">
        <f>_xlfn.XLOOKUP(B23,[1]Sheet1!$B:$B,[1]Sheet1!$A:$A)</f>
        <v>6833-1GM000033</v>
      </c>
      <c r="B23" t="s">
        <v>79</v>
      </c>
      <c r="C23" t="s">
        <v>126</v>
      </c>
      <c r="D23" t="str">
        <f>_xlfn.XLOOKUP(B23,[1]Sheet1!$B:$B,[1]Sheet1!$D:$D)</f>
        <v>(*ID) DEEJO #1GM000033 37g ALUMINIUM DARK GREY ILLUSION</v>
      </c>
      <c r="E23" t="s">
        <v>128</v>
      </c>
      <c r="F23" t="s">
        <v>14</v>
      </c>
      <c r="G23" t="s">
        <v>15</v>
      </c>
      <c r="H23" t="s">
        <v>128</v>
      </c>
      <c r="I23">
        <v>95</v>
      </c>
      <c r="J23" t="s">
        <v>17</v>
      </c>
      <c r="K23">
        <v>205</v>
      </c>
      <c r="L23" t="s">
        <v>128</v>
      </c>
    </row>
    <row r="24" spans="1:12">
      <c r="A24" t="str">
        <f>_xlfn.XLOOKUP(B24,[1]Sheet1!$B:$B,[1]Sheet1!$A:$A)</f>
        <v>6833-1GM000034</v>
      </c>
      <c r="B24" t="s">
        <v>82</v>
      </c>
      <c r="C24" t="s">
        <v>126</v>
      </c>
      <c r="D24" t="str">
        <f>_xlfn.XLOOKUP(B24,[1]Sheet1!$B:$B,[1]Sheet1!$D:$D)</f>
        <v>(*ID) DEEJO #1GM000034 37g ALUMINIUM RED FRIEZE</v>
      </c>
      <c r="E24" t="s">
        <v>128</v>
      </c>
      <c r="F24" t="s">
        <v>14</v>
      </c>
      <c r="G24" t="s">
        <v>15</v>
      </c>
      <c r="H24" t="s">
        <v>128</v>
      </c>
      <c r="I24">
        <v>95</v>
      </c>
      <c r="J24" t="s">
        <v>17</v>
      </c>
      <c r="K24">
        <v>205</v>
      </c>
      <c r="L24" t="s">
        <v>128</v>
      </c>
    </row>
    <row r="25" spans="1:12">
      <c r="A25" t="str">
        <f>_xlfn.XLOOKUP(B25,[1]Sheet1!$B:$B,[1]Sheet1!$A:$A)</f>
        <v>6833-1GM000035</v>
      </c>
      <c r="B25" t="s">
        <v>84</v>
      </c>
      <c r="C25" t="s">
        <v>126</v>
      </c>
      <c r="D25" t="str">
        <f>_xlfn.XLOOKUP(B25,[1]Sheet1!$B:$B,[1]Sheet1!$D:$D)</f>
        <v>(*ID) DEEJO #1GM000035 37g ALUMINIUM KHAKI PERSPECTIVE</v>
      </c>
      <c r="E25" t="s">
        <v>128</v>
      </c>
      <c r="F25" t="s">
        <v>14</v>
      </c>
      <c r="G25" t="s">
        <v>15</v>
      </c>
      <c r="H25" t="s">
        <v>128</v>
      </c>
      <c r="I25">
        <v>95</v>
      </c>
      <c r="J25" t="s">
        <v>17</v>
      </c>
      <c r="K25">
        <v>205</v>
      </c>
      <c r="L25" t="s">
        <v>128</v>
      </c>
    </row>
    <row r="26" spans="1:12">
      <c r="A26" t="str">
        <f>_xlfn.XLOOKUP(B26,[1]Sheet1!$B:$B,[1]Sheet1!$A:$A)</f>
        <v>6833-1GM000036</v>
      </c>
      <c r="B26" t="s">
        <v>83</v>
      </c>
      <c r="C26" t="s">
        <v>126</v>
      </c>
      <c r="D26" t="str">
        <f>_xlfn.XLOOKUP(B26,[1]Sheet1!$B:$B,[1]Sheet1!$D:$D)</f>
        <v>(*ID) DEEJO #1GM000036 37g ALUMINIUM ORANGE PARALLEL</v>
      </c>
      <c r="E26" t="s">
        <v>128</v>
      </c>
      <c r="F26" t="s">
        <v>14</v>
      </c>
      <c r="G26" t="s">
        <v>15</v>
      </c>
      <c r="H26" t="s">
        <v>128</v>
      </c>
      <c r="I26">
        <v>95</v>
      </c>
      <c r="J26" t="s">
        <v>17</v>
      </c>
      <c r="K26">
        <v>205</v>
      </c>
      <c r="L26" t="s">
        <v>128</v>
      </c>
    </row>
    <row r="27" spans="1:12">
      <c r="A27" t="str">
        <f>_xlfn.XLOOKUP(B27,[1]Sheet1!$B:$B,[1]Sheet1!$A:$A)</f>
        <v>6833-1GM000037</v>
      </c>
      <c r="B27" t="s">
        <v>85</v>
      </c>
      <c r="C27" t="s">
        <v>126</v>
      </c>
      <c r="D27" t="str">
        <f>_xlfn.XLOOKUP(B27,[1]Sheet1!$B:$B,[1]Sheet1!$D:$D)</f>
        <v>(*ID) DEEJO #1GM000037 37g ALUMINIUM BLUE CLOUDS</v>
      </c>
      <c r="E27" t="s">
        <v>128</v>
      </c>
      <c r="F27" t="s">
        <v>14</v>
      </c>
      <c r="G27" t="s">
        <v>15</v>
      </c>
      <c r="H27" t="s">
        <v>128</v>
      </c>
      <c r="I27">
        <v>95</v>
      </c>
      <c r="J27" t="s">
        <v>17</v>
      </c>
      <c r="K27">
        <v>205</v>
      </c>
      <c r="L27" t="s">
        <v>128</v>
      </c>
    </row>
    <row r="28" spans="1:12">
      <c r="A28" t="str">
        <f>_xlfn.XLOOKUP(B28,[1]Sheet1!$B:$B,[1]Sheet1!$A:$A)</f>
        <v>6833-3GB000054</v>
      </c>
      <c r="B28" t="s">
        <v>89</v>
      </c>
      <c r="C28" t="s">
        <v>126</v>
      </c>
      <c r="D28" t="str">
        <f>_xlfn.XLOOKUP(B28,[1]Sheet1!$B:$B,[1]Sheet1!$D:$D)</f>
        <v>(*ID) DEEJO ##3GB000054 390g OLIVE WOOD TERRA INCOGNITA</v>
      </c>
      <c r="E28" t="s">
        <v>128</v>
      </c>
      <c r="F28" t="s">
        <v>14</v>
      </c>
      <c r="G28" t="s">
        <v>15</v>
      </c>
      <c r="H28" t="s">
        <v>128</v>
      </c>
      <c r="I28">
        <v>95</v>
      </c>
      <c r="J28" t="s">
        <v>17</v>
      </c>
      <c r="K28">
        <v>205</v>
      </c>
      <c r="L28" t="s">
        <v>128</v>
      </c>
    </row>
    <row r="29" spans="1:12">
      <c r="A29" t="str">
        <f>_xlfn.XLOOKUP(B29,[1]Sheet1!$B:$B,[1]Sheet1!$A:$A)</f>
        <v>6833-6AB000005</v>
      </c>
      <c r="B29" t="s">
        <v>91</v>
      </c>
      <c r="C29" t="s">
        <v>126</v>
      </c>
      <c r="D29" t="str">
        <f>_xlfn.XLOOKUP(B29,[1]Sheet1!$B:$B,[1]Sheet1!$D:$D)</f>
        <v>DEEJO #6AB000005 CORAL WOOD STEAK KNIVES MIRROR BLADE W/O TATTOO SET OF 6</v>
      </c>
      <c r="E29" t="s">
        <v>128</v>
      </c>
      <c r="F29" t="s">
        <v>14</v>
      </c>
      <c r="G29" t="s">
        <v>15</v>
      </c>
      <c r="H29" t="s">
        <v>128</v>
      </c>
      <c r="I29">
        <v>95</v>
      </c>
      <c r="J29" t="s">
        <v>17</v>
      </c>
      <c r="K29">
        <v>205</v>
      </c>
      <c r="L29" t="s">
        <v>128</v>
      </c>
    </row>
    <row r="30" spans="1:12">
      <c r="A30" t="str">
        <f>_xlfn.XLOOKUP(B30,[1]Sheet1!$B:$B,[1]Sheet1!$A:$A)</f>
        <v>6833-6AB000103</v>
      </c>
      <c r="B30" t="s">
        <v>93</v>
      </c>
      <c r="C30" t="s">
        <v>126</v>
      </c>
      <c r="D30" t="str">
        <f>_xlfn.XLOOKUP(B30,[1]Sheet1!$B:$B,[1]Sheet1!$D:$D)</f>
        <v>DEEJO #6AB000103 OLIVE WOOD STEAK KNIFE TOILE DE JOUY SET OF 6</v>
      </c>
      <c r="E30" t="s">
        <v>128</v>
      </c>
      <c r="F30" t="s">
        <v>14</v>
      </c>
      <c r="G30" t="s">
        <v>15</v>
      </c>
      <c r="H30" t="s">
        <v>128</v>
      </c>
      <c r="I30">
        <v>95</v>
      </c>
      <c r="J30" t="s">
        <v>17</v>
      </c>
      <c r="K30">
        <v>205</v>
      </c>
      <c r="L30" t="s">
        <v>128</v>
      </c>
    </row>
    <row r="31" spans="1:12">
      <c r="A31" t="str">
        <f>_xlfn.XLOOKUP(B31,[1]Sheet1!$B:$B,[1]Sheet1!$A:$A)</f>
        <v>6833-6FB000101</v>
      </c>
      <c r="B31" t="s">
        <v>95</v>
      </c>
      <c r="C31" t="s">
        <v>126</v>
      </c>
      <c r="D31" t="str">
        <f>_xlfn.XLOOKUP(B31,[1]Sheet1!$B:$B,[1]Sheet1!$D:$D)</f>
        <v>DEEJO #6FB000101 OLIVE WOOD STEAK KNIVES ART DECO SET OF 6</v>
      </c>
      <c r="E31" t="s">
        <v>128</v>
      </c>
      <c r="F31" t="s">
        <v>14</v>
      </c>
      <c r="G31" t="s">
        <v>15</v>
      </c>
      <c r="H31" t="s">
        <v>128</v>
      </c>
      <c r="I31">
        <v>95</v>
      </c>
      <c r="J31" t="s">
        <v>17</v>
      </c>
      <c r="K31">
        <v>205</v>
      </c>
      <c r="L31" t="s">
        <v>128</v>
      </c>
    </row>
    <row r="32" spans="1:12">
      <c r="A32" t="str">
        <f>_xlfn.XLOOKUP(B32,[1]Sheet1!$B:$B,[1]Sheet1!$A:$A)</f>
        <v>6833-6FB000105</v>
      </c>
      <c r="B32" t="s">
        <v>97</v>
      </c>
      <c r="C32" t="s">
        <v>126</v>
      </c>
      <c r="D32" t="str">
        <f>_xlfn.XLOOKUP(B32,[1]Sheet1!$B:$B,[1]Sheet1!$D:$D)</f>
        <v>DEEJO #6FB000105 EBONY STEAK KNIVES JAPANESE SET OF 6</v>
      </c>
      <c r="E32" t="s">
        <v>128</v>
      </c>
      <c r="F32" t="s">
        <v>14</v>
      </c>
      <c r="G32" t="s">
        <v>15</v>
      </c>
      <c r="H32" t="s">
        <v>128</v>
      </c>
      <c r="I32">
        <v>95</v>
      </c>
      <c r="J32" t="s">
        <v>17</v>
      </c>
      <c r="K32">
        <v>205</v>
      </c>
      <c r="L32" t="s">
        <v>128</v>
      </c>
    </row>
    <row r="33" spans="1:12">
      <c r="A33" t="str">
        <f>_xlfn.XLOOKUP(B33,[1]Sheet1!$B:$B,[1]Sheet1!$A:$A)</f>
        <v>6833-6FM000101</v>
      </c>
      <c r="B33" t="s">
        <v>99</v>
      </c>
      <c r="C33" t="s">
        <v>126</v>
      </c>
      <c r="D33" t="str">
        <f>_xlfn.XLOOKUP(B33,[1]Sheet1!$B:$B,[1]Sheet1!$D:$D)</f>
        <v>(*ID) DEEJO #6FM000101 CHROME PLATED STEAK KNIVES ART SET OF 6</v>
      </c>
      <c r="E33" t="s">
        <v>128</v>
      </c>
      <c r="F33" t="s">
        <v>14</v>
      </c>
      <c r="G33" t="s">
        <v>15</v>
      </c>
      <c r="H33" t="s">
        <v>128</v>
      </c>
      <c r="I33">
        <v>95</v>
      </c>
      <c r="J33" t="s">
        <v>17</v>
      </c>
      <c r="K33">
        <v>205</v>
      </c>
      <c r="L33" t="s">
        <v>128</v>
      </c>
    </row>
    <row r="34" spans="1:12">
      <c r="A34" t="str">
        <f>_xlfn.XLOOKUP(B34,[1]Sheet1!$B:$B,[1]Sheet1!$A:$A)</f>
        <v>6833-SFB000001</v>
      </c>
      <c r="B34" t="s">
        <v>101</v>
      </c>
      <c r="C34" t="s">
        <v>126</v>
      </c>
      <c r="D34" t="str">
        <f>_xlfn.XLOOKUP(B34,[1]Sheet1!$B:$B,[1]Sheet1!$D:$D)</f>
        <v>(*ID) DEEJO #SFB000001 75g WAITER'S KNIFE OLIVE WOOD</v>
      </c>
      <c r="E34" t="s">
        <v>128</v>
      </c>
      <c r="F34" t="s">
        <v>14</v>
      </c>
      <c r="G34" t="s">
        <v>15</v>
      </c>
      <c r="H34" t="s">
        <v>128</v>
      </c>
      <c r="I34">
        <v>95</v>
      </c>
      <c r="J34" t="s">
        <v>17</v>
      </c>
      <c r="K34">
        <v>205</v>
      </c>
      <c r="L34" t="s">
        <v>128</v>
      </c>
    </row>
    <row r="35" spans="1:12">
      <c r="A35" t="str">
        <f>_xlfn.XLOOKUP(B35,[1]Sheet1!$B:$B,[1]Sheet1!$A:$A)</f>
        <v>6833-SFB000005</v>
      </c>
      <c r="B35" t="s">
        <v>103</v>
      </c>
      <c r="C35" t="s">
        <v>126</v>
      </c>
      <c r="D35" t="str">
        <f>_xlfn.XLOOKUP(B35,[1]Sheet1!$B:$B,[1]Sheet1!$D:$D)</f>
        <v>(*ID) DEEJO #SFB000005 75g WAITER'S KNIFE CORAL WOOD</v>
      </c>
      <c r="E35" t="s">
        <v>128</v>
      </c>
      <c r="F35" t="s">
        <v>14</v>
      </c>
      <c r="G35" t="s">
        <v>15</v>
      </c>
      <c r="H35" t="s">
        <v>128</v>
      </c>
      <c r="I35">
        <v>95</v>
      </c>
      <c r="J35" t="s">
        <v>17</v>
      </c>
      <c r="K35">
        <v>205</v>
      </c>
      <c r="L35" t="s">
        <v>128</v>
      </c>
    </row>
    <row r="36" spans="1:12">
      <c r="A36" t="str">
        <f>_xlfn.XLOOKUP(B36,[1]Sheet1!$B:$B,[1]Sheet1!$A:$A)</f>
        <v>6833-1CB000076</v>
      </c>
      <c r="B36" t="s">
        <v>106</v>
      </c>
      <c r="C36" t="s">
        <v>126</v>
      </c>
      <c r="D36" t="str">
        <f>_xlfn.XLOOKUP(B36,[1]Sheet1!$B:$B,[1]Sheet1!$D:$D)</f>
        <v>DEEJO #1CB000076 37g CORAL WOOD CHINESE DRAGON FOLDABLE POCKET KNIFE</v>
      </c>
      <c r="E36" t="s">
        <v>128</v>
      </c>
      <c r="F36" t="s">
        <v>14</v>
      </c>
      <c r="G36" t="s">
        <v>15</v>
      </c>
      <c r="H36" t="s">
        <v>107</v>
      </c>
      <c r="I36">
        <v>95</v>
      </c>
      <c r="J36" t="s">
        <v>17</v>
      </c>
      <c r="K36">
        <v>205</v>
      </c>
      <c r="L36" t="s">
        <v>128</v>
      </c>
    </row>
    <row r="37" spans="1:12">
      <c r="A37" t="str">
        <f>_xlfn.XLOOKUP(B37,[1]Sheet1!$B:$B,[1]Sheet1!$A:$A)</f>
        <v>6833-1CB000090</v>
      </c>
      <c r="B37" t="s">
        <v>109</v>
      </c>
      <c r="C37" t="s">
        <v>126</v>
      </c>
      <c r="D37" t="str">
        <f>_xlfn.XLOOKUP(B37,[1]Sheet1!$B:$B,[1]Sheet1!$D:$D)</f>
        <v>DEEJO #1CB000090 37g CORAL WOOD COCK-A-DOODLE-DOO FOLDABLE POCKET KNIFE</v>
      </c>
      <c r="E37" t="s">
        <v>128</v>
      </c>
      <c r="F37" t="s">
        <v>14</v>
      </c>
      <c r="G37" t="s">
        <v>15</v>
      </c>
      <c r="H37" t="s">
        <v>111</v>
      </c>
      <c r="I37">
        <v>95</v>
      </c>
      <c r="J37" t="s">
        <v>17</v>
      </c>
      <c r="K37">
        <v>205</v>
      </c>
      <c r="L37" t="s">
        <v>128</v>
      </c>
    </row>
    <row r="38" spans="1:12">
      <c r="A38" t="str">
        <f>_xlfn.XLOOKUP(B38,[1]Sheet1!$B:$B,[1]Sheet1!$A:$A)</f>
        <v>6833-6AB000104</v>
      </c>
      <c r="B38" t="s">
        <v>113</v>
      </c>
      <c r="C38" t="s">
        <v>126</v>
      </c>
      <c r="D38" t="str">
        <f>_xlfn.XLOOKUP(B38,[1]Sheet1!$B:$B,[1]Sheet1!$D:$D)</f>
        <v>DEEJO #6AB000104 CORAL WOOD STEAK KNIFE BLOSSOM SET OF 6</v>
      </c>
      <c r="E38" t="s">
        <v>128</v>
      </c>
      <c r="F38" t="s">
        <v>14</v>
      </c>
      <c r="G38" t="s">
        <v>15</v>
      </c>
      <c r="H38" t="s">
        <v>128</v>
      </c>
      <c r="I38">
        <v>95</v>
      </c>
      <c r="J38" t="s">
        <v>17</v>
      </c>
      <c r="K38">
        <v>205</v>
      </c>
      <c r="L38" t="s">
        <v>128</v>
      </c>
    </row>
    <row r="39" spans="1:12">
      <c r="A39" t="str">
        <f>_xlfn.XLOOKUP(B39,[1]Sheet1!$B:$B,[1]Sheet1!$A:$A)</f>
        <v>6833-6AC000108</v>
      </c>
      <c r="B39" t="s">
        <v>114</v>
      </c>
      <c r="C39" t="s">
        <v>126</v>
      </c>
      <c r="D39" t="str">
        <f>_xlfn.XLOOKUP(B39,[1]Sheet1!$B:$B,[1]Sheet1!$D:$D)</f>
        <v>DEEJO #6AC000108 AMBER TURTLE STEAK KNIVES WILD  SET OF 6</v>
      </c>
      <c r="E39" t="s">
        <v>128</v>
      </c>
      <c r="F39" t="s">
        <v>14</v>
      </c>
      <c r="G39" t="s">
        <v>15</v>
      </c>
      <c r="H39" t="s">
        <v>128</v>
      </c>
      <c r="I39">
        <v>95</v>
      </c>
      <c r="J39" t="s">
        <v>17</v>
      </c>
      <c r="K39">
        <v>205</v>
      </c>
      <c r="L39" t="s">
        <v>128</v>
      </c>
    </row>
    <row r="40" spans="1:12">
      <c r="A40" t="str">
        <f>_xlfn.XLOOKUP(B40,[1]Sheet1!$B:$B,[1]Sheet1!$A:$A)</f>
        <v>6833-6FB000102</v>
      </c>
      <c r="B40" t="s">
        <v>116</v>
      </c>
      <c r="C40" t="s">
        <v>126</v>
      </c>
      <c r="D40" t="str">
        <f>_xlfn.XLOOKUP(B40,[1]Sheet1!$B:$B,[1]Sheet1!$D:$D)</f>
        <v>DEEJO #6FB000102 CORAL WOOD STEAK KNIVES GEOMETRIE SET OF 6</v>
      </c>
      <c r="E40" t="s">
        <v>128</v>
      </c>
      <c r="F40" t="s">
        <v>14</v>
      </c>
      <c r="G40" t="s">
        <v>15</v>
      </c>
      <c r="H40" t="s">
        <v>128</v>
      </c>
      <c r="I40">
        <v>95</v>
      </c>
      <c r="J40" t="s">
        <v>17</v>
      </c>
      <c r="K40">
        <v>205</v>
      </c>
      <c r="L40" t="s">
        <v>128</v>
      </c>
    </row>
    <row r="41" spans="1:12">
      <c r="A41" t="str">
        <f>_xlfn.XLOOKUP(B41,[1]Sheet1!$B:$B,[1]Sheet1!$A:$A)</f>
        <v>6833-DEE000057</v>
      </c>
      <c r="B41" t="s">
        <v>119</v>
      </c>
      <c r="C41" t="s">
        <v>126</v>
      </c>
      <c r="D41" t="str">
        <f>_xlfn.XLOOKUP(B41,[1]Sheet1!$B:$B,[1]Sheet1!$D:$D)</f>
        <v>DEEJO #DEE000057 ROTATIVE DISPLAY FOR 24 X DEEJO BOX</v>
      </c>
      <c r="E41" t="s">
        <v>128</v>
      </c>
      <c r="F41" t="s">
        <v>14</v>
      </c>
      <c r="G41" t="s">
        <v>15</v>
      </c>
      <c r="H41" t="s">
        <v>128</v>
      </c>
      <c r="I41" t="s">
        <v>127</v>
      </c>
      <c r="J41" t="s">
        <v>17</v>
      </c>
      <c r="K41" t="s">
        <v>127</v>
      </c>
      <c r="L41" t="s">
        <v>128</v>
      </c>
    </row>
    <row r="42" spans="1:12">
      <c r="A42" t="str">
        <f>_xlfn.XLOOKUP(B42,[1]Sheet1!$B:$B,[1]Sheet1!$A:$A)</f>
        <v>6833-DEE000456</v>
      </c>
      <c r="B42" t="s">
        <v>121</v>
      </c>
      <c r="C42" t="s">
        <v>126</v>
      </c>
      <c r="D42" t="str">
        <f>_xlfn.XLOOKUP(B42,[1]Sheet1!$B:$B,[1]Sheet1!$D:$D)</f>
        <v>(ID*) DEEJO #DEE000456 METAL CLOSED TABLE KNIVES DISPLAY FOR X6</v>
      </c>
      <c r="E42" t="s">
        <v>128</v>
      </c>
      <c r="F42" t="s">
        <v>14</v>
      </c>
      <c r="G42" t="s">
        <v>15</v>
      </c>
      <c r="H42" t="s">
        <v>128</v>
      </c>
      <c r="I42" t="s">
        <v>127</v>
      </c>
      <c r="J42" t="s">
        <v>17</v>
      </c>
      <c r="K42" t="s">
        <v>127</v>
      </c>
      <c r="L42" t="s">
        <v>128</v>
      </c>
    </row>
    <row r="43" spans="1:12">
      <c r="A43" t="str">
        <f>_xlfn.XLOOKUP(B43,[1]Sheet1!$B:$B,[1]Sheet1!$A:$A)</f>
        <v>6833-DEE000885</v>
      </c>
      <c r="B43" t="s">
        <v>122</v>
      </c>
      <c r="C43" t="s">
        <v>126</v>
      </c>
      <c r="D43" t="str">
        <f>_xlfn.XLOOKUP(B43,[1]Sheet1!$B:$B,[1]Sheet1!$D:$D)</f>
        <v>(*ID) DEEJO #DEE000885 37g ALUMINIUM DARK GREY 24H LE MANS DUEL LIMITED EDITION</v>
      </c>
      <c r="E43" t="s">
        <v>128</v>
      </c>
      <c r="F43" t="s">
        <v>14</v>
      </c>
      <c r="G43" t="s">
        <v>15</v>
      </c>
      <c r="H43" t="s">
        <v>125</v>
      </c>
      <c r="I43">
        <v>95</v>
      </c>
      <c r="J43" t="s">
        <v>17</v>
      </c>
      <c r="K43">
        <v>205</v>
      </c>
      <c r="L43" t="s">
        <v>128</v>
      </c>
    </row>
  </sheetData>
  <conditionalFormatting sqref="B1:B1048576">
    <cfRule type="duplicateValues" dxfId="1" priority="2"/>
  </conditionalFormatting>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Image URL</vt:lpstr>
      <vt:lpstr>Overview</vt:lpstr>
      <vt:lpstr>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2026-03-18T13:40:09Z</dcterms:created>
  <dcterms:modified xsi:type="dcterms:W3CDTF">2026-03-26T15:34:16Z</dcterms:modified>
</cp:coreProperties>
</file>