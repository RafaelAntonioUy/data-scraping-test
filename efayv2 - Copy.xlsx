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13_ncr:1_{48A0BDD0-DD03-4525-9F90-91D6D3F4DE57}" xr6:coauthVersionLast="47" xr6:coauthVersionMax="47" xr10:uidLastSave="{00000000-0000-0000-0000-000000000000}"/>
  <bookViews>
    <workbookView xWindow="-120" yWindow="-120" windowWidth="24240" windowHeight="13140" activeTab="1" xr2:uid="{00000000-000D-0000-FFFF-FFFF00000000}"/>
  </bookViews>
  <sheets>
    <sheet name="Image URL" sheetId="1" r:id="rId1"/>
    <sheet name="Overview" sheetId="2" r:id="rId2"/>
  </sheets>
  <externalReferences>
    <externalReference r:id="rId3"/>
  </externalReferences>
  <definedNames>
    <definedName name="_xlnm._FilterDatabase" localSheetId="0" hidden="1">'Image URL'!#REF!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73" i="2" l="1"/>
  <c r="K273" i="2"/>
  <c r="J273" i="2"/>
  <c r="I273" i="2"/>
  <c r="H273" i="2"/>
  <c r="E273" i="2"/>
  <c r="D273" i="2"/>
  <c r="A273" i="2"/>
  <c r="L272" i="2"/>
  <c r="K272" i="2"/>
  <c r="J272" i="2"/>
  <c r="I272" i="2"/>
  <c r="H272" i="2"/>
  <c r="E272" i="2"/>
  <c r="D272" i="2"/>
  <c r="A272" i="2"/>
  <c r="L271" i="2"/>
  <c r="K271" i="2"/>
  <c r="J271" i="2"/>
  <c r="I271" i="2"/>
  <c r="H271" i="2"/>
  <c r="E271" i="2"/>
  <c r="D271" i="2"/>
  <c r="A271" i="2"/>
  <c r="L270" i="2"/>
  <c r="K270" i="2"/>
  <c r="J270" i="2"/>
  <c r="I270" i="2"/>
  <c r="H270" i="2"/>
  <c r="E270" i="2"/>
  <c r="D270" i="2"/>
  <c r="A270" i="2"/>
  <c r="L269" i="2"/>
  <c r="K269" i="2"/>
  <c r="J269" i="2"/>
  <c r="I269" i="2"/>
  <c r="H269" i="2"/>
  <c r="E269" i="2"/>
  <c r="D269" i="2"/>
  <c r="A269" i="2"/>
  <c r="L268" i="2"/>
  <c r="K268" i="2"/>
  <c r="J268" i="2"/>
  <c r="I268" i="2"/>
  <c r="H268" i="2"/>
  <c r="E268" i="2"/>
  <c r="D268" i="2"/>
  <c r="A268" i="2"/>
  <c r="L267" i="2"/>
  <c r="K267" i="2"/>
  <c r="J267" i="2"/>
  <c r="I267" i="2"/>
  <c r="H267" i="2"/>
  <c r="E267" i="2"/>
  <c r="D267" i="2"/>
  <c r="A267" i="2"/>
  <c r="L266" i="2"/>
  <c r="K266" i="2"/>
  <c r="J266" i="2"/>
  <c r="I266" i="2"/>
  <c r="H266" i="2"/>
  <c r="E266" i="2"/>
  <c r="D266" i="2"/>
  <c r="A266" i="2"/>
  <c r="L265" i="2"/>
  <c r="K265" i="2"/>
  <c r="J265" i="2"/>
  <c r="I265" i="2"/>
  <c r="H265" i="2"/>
  <c r="E265" i="2"/>
  <c r="D265" i="2"/>
  <c r="A265" i="2"/>
  <c r="L264" i="2"/>
  <c r="K264" i="2"/>
  <c r="J264" i="2"/>
  <c r="I264" i="2"/>
  <c r="H264" i="2"/>
  <c r="E264" i="2"/>
  <c r="D264" i="2"/>
  <c r="A264" i="2"/>
  <c r="L263" i="2"/>
  <c r="K263" i="2"/>
  <c r="J263" i="2"/>
  <c r="I263" i="2"/>
  <c r="H263" i="2"/>
  <c r="E263" i="2"/>
  <c r="D263" i="2"/>
  <c r="A263" i="2"/>
  <c r="L262" i="2"/>
  <c r="K262" i="2"/>
  <c r="J262" i="2"/>
  <c r="I262" i="2"/>
  <c r="H262" i="2"/>
  <c r="E262" i="2"/>
  <c r="D262" i="2"/>
  <c r="A262" i="2"/>
  <c r="L261" i="2"/>
  <c r="K261" i="2"/>
  <c r="J261" i="2"/>
  <c r="I261" i="2"/>
  <c r="H261" i="2"/>
  <c r="E261" i="2"/>
  <c r="D261" i="2"/>
  <c r="A261" i="2"/>
  <c r="L260" i="2"/>
  <c r="K260" i="2"/>
  <c r="J260" i="2"/>
  <c r="I260" i="2"/>
  <c r="H260" i="2"/>
  <c r="E260" i="2"/>
  <c r="D260" i="2"/>
  <c r="A260" i="2"/>
  <c r="L259" i="2"/>
  <c r="K259" i="2"/>
  <c r="J259" i="2"/>
  <c r="I259" i="2"/>
  <c r="H259" i="2"/>
  <c r="E259" i="2"/>
  <c r="D259" i="2"/>
  <c r="A259" i="2"/>
  <c r="L258" i="2"/>
  <c r="K258" i="2"/>
  <c r="J258" i="2"/>
  <c r="I258" i="2"/>
  <c r="H258" i="2"/>
  <c r="E258" i="2"/>
  <c r="D258" i="2"/>
  <c r="A258" i="2"/>
  <c r="L257" i="2"/>
  <c r="K257" i="2"/>
  <c r="J257" i="2"/>
  <c r="I257" i="2"/>
  <c r="H257" i="2"/>
  <c r="E257" i="2"/>
  <c r="D257" i="2"/>
  <c r="A257" i="2"/>
  <c r="L256" i="2"/>
  <c r="K256" i="2"/>
  <c r="J256" i="2"/>
  <c r="I256" i="2"/>
  <c r="H256" i="2"/>
  <c r="E256" i="2"/>
  <c r="D256" i="2"/>
  <c r="A256" i="2"/>
  <c r="L255" i="2"/>
  <c r="K255" i="2"/>
  <c r="J255" i="2"/>
  <c r="I255" i="2"/>
  <c r="H255" i="2"/>
  <c r="E255" i="2"/>
  <c r="D255" i="2"/>
  <c r="A255" i="2"/>
  <c r="L254" i="2"/>
  <c r="K254" i="2"/>
  <c r="J254" i="2"/>
  <c r="I254" i="2"/>
  <c r="H254" i="2"/>
  <c r="E254" i="2"/>
  <c r="D254" i="2"/>
  <c r="A254" i="2"/>
  <c r="L253" i="2"/>
  <c r="K253" i="2"/>
  <c r="J253" i="2"/>
  <c r="I253" i="2"/>
  <c r="H253" i="2"/>
  <c r="E253" i="2"/>
  <c r="D253" i="2"/>
  <c r="A253" i="2"/>
  <c r="L252" i="2"/>
  <c r="K252" i="2"/>
  <c r="J252" i="2"/>
  <c r="I252" i="2"/>
  <c r="H252" i="2"/>
  <c r="E252" i="2"/>
  <c r="D252" i="2"/>
  <c r="A252" i="2"/>
  <c r="L251" i="2"/>
  <c r="K251" i="2"/>
  <c r="J251" i="2"/>
  <c r="I251" i="2"/>
  <c r="H251" i="2"/>
  <c r="E251" i="2"/>
  <c r="D251" i="2"/>
  <c r="A251" i="2"/>
  <c r="L250" i="2"/>
  <c r="K250" i="2"/>
  <c r="J250" i="2"/>
  <c r="I250" i="2"/>
  <c r="H250" i="2"/>
  <c r="E250" i="2"/>
  <c r="D250" i="2"/>
  <c r="A250" i="2"/>
  <c r="L249" i="2"/>
  <c r="K249" i="2"/>
  <c r="J249" i="2"/>
  <c r="I249" i="2"/>
  <c r="H249" i="2"/>
  <c r="E249" i="2"/>
  <c r="D249" i="2"/>
  <c r="A249" i="2"/>
  <c r="L248" i="2"/>
  <c r="K248" i="2"/>
  <c r="J248" i="2"/>
  <c r="I248" i="2"/>
  <c r="H248" i="2"/>
  <c r="E248" i="2"/>
  <c r="D248" i="2"/>
  <c r="A248" i="2"/>
  <c r="L247" i="2"/>
  <c r="K247" i="2"/>
  <c r="J247" i="2"/>
  <c r="I247" i="2"/>
  <c r="H247" i="2"/>
  <c r="E247" i="2"/>
  <c r="D247" i="2"/>
  <c r="A247" i="2"/>
  <c r="L246" i="2"/>
  <c r="K246" i="2"/>
  <c r="J246" i="2"/>
  <c r="I246" i="2"/>
  <c r="H246" i="2"/>
  <c r="E246" i="2"/>
  <c r="D246" i="2"/>
  <c r="A246" i="2"/>
  <c r="L245" i="2"/>
  <c r="K245" i="2"/>
  <c r="J245" i="2"/>
  <c r="I245" i="2"/>
  <c r="H245" i="2"/>
  <c r="E245" i="2"/>
  <c r="D245" i="2"/>
  <c r="A245" i="2"/>
  <c r="L244" i="2"/>
  <c r="K244" i="2"/>
  <c r="J244" i="2"/>
  <c r="I244" i="2"/>
  <c r="H244" i="2"/>
  <c r="E244" i="2"/>
  <c r="D244" i="2"/>
  <c r="A244" i="2"/>
  <c r="L243" i="2"/>
  <c r="K243" i="2"/>
  <c r="J243" i="2"/>
  <c r="I243" i="2"/>
  <c r="H243" i="2"/>
  <c r="E243" i="2"/>
  <c r="D243" i="2"/>
  <c r="A243" i="2"/>
  <c r="L242" i="2"/>
  <c r="K242" i="2"/>
  <c r="J242" i="2"/>
  <c r="I242" i="2"/>
  <c r="H242" i="2"/>
  <c r="E242" i="2"/>
  <c r="D242" i="2"/>
  <c r="A242" i="2"/>
  <c r="L241" i="2"/>
  <c r="K241" i="2"/>
  <c r="J241" i="2"/>
  <c r="I241" i="2"/>
  <c r="H241" i="2"/>
  <c r="E241" i="2"/>
  <c r="D241" i="2"/>
  <c r="A241" i="2"/>
  <c r="L240" i="2"/>
  <c r="K240" i="2"/>
  <c r="J240" i="2"/>
  <c r="I240" i="2"/>
  <c r="H240" i="2"/>
  <c r="E240" i="2"/>
  <c r="D240" i="2"/>
  <c r="A240" i="2"/>
  <c r="L239" i="2"/>
  <c r="K239" i="2"/>
  <c r="J239" i="2"/>
  <c r="I239" i="2"/>
  <c r="H239" i="2"/>
  <c r="E239" i="2"/>
  <c r="D239" i="2"/>
  <c r="A239" i="2"/>
  <c r="L238" i="2"/>
  <c r="K238" i="2"/>
  <c r="J238" i="2"/>
  <c r="I238" i="2"/>
  <c r="H238" i="2"/>
  <c r="E238" i="2"/>
  <c r="D238" i="2"/>
  <c r="A238" i="2"/>
  <c r="L237" i="2"/>
  <c r="K237" i="2"/>
  <c r="J237" i="2"/>
  <c r="I237" i="2"/>
  <c r="H237" i="2"/>
  <c r="E237" i="2"/>
  <c r="D237" i="2"/>
  <c r="A237" i="2"/>
  <c r="L236" i="2"/>
  <c r="K236" i="2"/>
  <c r="J236" i="2"/>
  <c r="I236" i="2"/>
  <c r="H236" i="2"/>
  <c r="E236" i="2"/>
  <c r="D236" i="2"/>
  <c r="A236" i="2"/>
  <c r="L235" i="2"/>
  <c r="K235" i="2"/>
  <c r="J235" i="2"/>
  <c r="I235" i="2"/>
  <c r="H235" i="2"/>
  <c r="E235" i="2"/>
  <c r="D235" i="2"/>
  <c r="A235" i="2"/>
  <c r="L234" i="2"/>
  <c r="K234" i="2"/>
  <c r="J234" i="2"/>
  <c r="I234" i="2"/>
  <c r="H234" i="2"/>
  <c r="E234" i="2"/>
  <c r="D234" i="2"/>
  <c r="A234" i="2"/>
  <c r="L233" i="2"/>
  <c r="K233" i="2"/>
  <c r="J233" i="2"/>
  <c r="I233" i="2"/>
  <c r="H233" i="2"/>
  <c r="E233" i="2"/>
  <c r="D233" i="2"/>
  <c r="A233" i="2"/>
  <c r="L232" i="2"/>
  <c r="K232" i="2"/>
  <c r="J232" i="2"/>
  <c r="I232" i="2"/>
  <c r="H232" i="2"/>
  <c r="E232" i="2"/>
  <c r="D232" i="2"/>
  <c r="A232" i="2"/>
  <c r="L231" i="2"/>
  <c r="K231" i="2"/>
  <c r="J231" i="2"/>
  <c r="I231" i="2"/>
  <c r="H231" i="2"/>
  <c r="E231" i="2"/>
  <c r="D231" i="2"/>
  <c r="A231" i="2"/>
  <c r="L230" i="2"/>
  <c r="K230" i="2"/>
  <c r="J230" i="2"/>
  <c r="I230" i="2"/>
  <c r="H230" i="2"/>
  <c r="E230" i="2"/>
  <c r="D230" i="2"/>
  <c r="A230" i="2"/>
  <c r="L229" i="2"/>
  <c r="K229" i="2"/>
  <c r="J229" i="2"/>
  <c r="I229" i="2"/>
  <c r="H229" i="2"/>
  <c r="E229" i="2"/>
  <c r="D229" i="2"/>
  <c r="A229" i="2"/>
  <c r="L228" i="2"/>
  <c r="K228" i="2"/>
  <c r="J228" i="2"/>
  <c r="I228" i="2"/>
  <c r="H228" i="2"/>
  <c r="E228" i="2"/>
  <c r="D228" i="2"/>
  <c r="A228" i="2"/>
  <c r="L227" i="2"/>
  <c r="K227" i="2"/>
  <c r="J227" i="2"/>
  <c r="I227" i="2"/>
  <c r="H227" i="2"/>
  <c r="E227" i="2"/>
  <c r="D227" i="2"/>
  <c r="A227" i="2"/>
  <c r="L226" i="2"/>
  <c r="K226" i="2"/>
  <c r="J226" i="2"/>
  <c r="I226" i="2"/>
  <c r="H226" i="2"/>
  <c r="E226" i="2"/>
  <c r="D226" i="2"/>
  <c r="A226" i="2"/>
  <c r="L225" i="2"/>
  <c r="K225" i="2"/>
  <c r="J225" i="2"/>
  <c r="I225" i="2"/>
  <c r="H225" i="2"/>
  <c r="E225" i="2"/>
  <c r="D225" i="2"/>
  <c r="A225" i="2"/>
  <c r="L224" i="2"/>
  <c r="K224" i="2"/>
  <c r="J224" i="2"/>
  <c r="I224" i="2"/>
  <c r="H224" i="2"/>
  <c r="E224" i="2"/>
  <c r="D224" i="2"/>
  <c r="A224" i="2"/>
  <c r="L223" i="2"/>
  <c r="K223" i="2"/>
  <c r="J223" i="2"/>
  <c r="I223" i="2"/>
  <c r="H223" i="2"/>
  <c r="E223" i="2"/>
  <c r="D223" i="2"/>
  <c r="A223" i="2"/>
  <c r="L222" i="2"/>
  <c r="K222" i="2"/>
  <c r="J222" i="2"/>
  <c r="I222" i="2"/>
  <c r="H222" i="2"/>
  <c r="E222" i="2"/>
  <c r="D222" i="2"/>
  <c r="A222" i="2"/>
  <c r="L221" i="2"/>
  <c r="K221" i="2"/>
  <c r="J221" i="2"/>
  <c r="I221" i="2"/>
  <c r="H221" i="2"/>
  <c r="E221" i="2"/>
  <c r="D221" i="2"/>
  <c r="A221" i="2"/>
  <c r="L220" i="2"/>
  <c r="K220" i="2"/>
  <c r="J220" i="2"/>
  <c r="I220" i="2"/>
  <c r="H220" i="2"/>
  <c r="E220" i="2"/>
  <c r="D220" i="2"/>
  <c r="A220" i="2"/>
  <c r="L219" i="2"/>
  <c r="K219" i="2"/>
  <c r="J219" i="2"/>
  <c r="I219" i="2"/>
  <c r="H219" i="2"/>
  <c r="E219" i="2"/>
  <c r="D219" i="2"/>
  <c r="A219" i="2"/>
  <c r="L218" i="2"/>
  <c r="K218" i="2"/>
  <c r="J218" i="2"/>
  <c r="I218" i="2"/>
  <c r="H218" i="2"/>
  <c r="E218" i="2"/>
  <c r="D218" i="2"/>
  <c r="A218" i="2"/>
  <c r="L217" i="2"/>
  <c r="K217" i="2"/>
  <c r="J217" i="2"/>
  <c r="I217" i="2"/>
  <c r="H217" i="2"/>
  <c r="E217" i="2"/>
  <c r="D217" i="2"/>
  <c r="A217" i="2"/>
  <c r="L216" i="2"/>
  <c r="K216" i="2"/>
  <c r="J216" i="2"/>
  <c r="I216" i="2"/>
  <c r="H216" i="2"/>
  <c r="E216" i="2"/>
  <c r="D216" i="2"/>
  <c r="A216" i="2"/>
  <c r="L215" i="2"/>
  <c r="K215" i="2"/>
  <c r="J215" i="2"/>
  <c r="I215" i="2"/>
  <c r="H215" i="2"/>
  <c r="E215" i="2"/>
  <c r="D215" i="2"/>
  <c r="A215" i="2"/>
  <c r="L214" i="2"/>
  <c r="K214" i="2"/>
  <c r="J214" i="2"/>
  <c r="I214" i="2"/>
  <c r="H214" i="2"/>
  <c r="E214" i="2"/>
  <c r="D214" i="2"/>
  <c r="A214" i="2"/>
  <c r="L213" i="2"/>
  <c r="K213" i="2"/>
  <c r="J213" i="2"/>
  <c r="I213" i="2"/>
  <c r="H213" i="2"/>
  <c r="E213" i="2"/>
  <c r="D213" i="2"/>
  <c r="A213" i="2"/>
  <c r="L212" i="2"/>
  <c r="K212" i="2"/>
  <c r="J212" i="2"/>
  <c r="I212" i="2"/>
  <c r="H212" i="2"/>
  <c r="E212" i="2"/>
  <c r="D212" i="2"/>
  <c r="A212" i="2"/>
  <c r="L211" i="2"/>
  <c r="K211" i="2"/>
  <c r="J211" i="2"/>
  <c r="I211" i="2"/>
  <c r="H211" i="2"/>
  <c r="E211" i="2"/>
  <c r="D211" i="2"/>
  <c r="A211" i="2"/>
  <c r="L210" i="2"/>
  <c r="K210" i="2"/>
  <c r="J210" i="2"/>
  <c r="I210" i="2"/>
  <c r="H210" i="2"/>
  <c r="E210" i="2"/>
  <c r="D210" i="2"/>
  <c r="A210" i="2"/>
  <c r="L209" i="2"/>
  <c r="K209" i="2"/>
  <c r="J209" i="2"/>
  <c r="I209" i="2"/>
  <c r="H209" i="2"/>
  <c r="E209" i="2"/>
  <c r="D209" i="2"/>
  <c r="A209" i="2"/>
  <c r="L208" i="2"/>
  <c r="K208" i="2"/>
  <c r="J208" i="2"/>
  <c r="I208" i="2"/>
  <c r="H208" i="2"/>
  <c r="E208" i="2"/>
  <c r="D208" i="2"/>
  <c r="A208" i="2"/>
  <c r="L207" i="2"/>
  <c r="K207" i="2"/>
  <c r="J207" i="2"/>
  <c r="I207" i="2"/>
  <c r="H207" i="2"/>
  <c r="E207" i="2"/>
  <c r="D207" i="2"/>
  <c r="A207" i="2"/>
  <c r="L206" i="2"/>
  <c r="K206" i="2"/>
  <c r="J206" i="2"/>
  <c r="I206" i="2"/>
  <c r="H206" i="2"/>
  <c r="E206" i="2"/>
  <c r="D206" i="2"/>
  <c r="A206" i="2"/>
  <c r="L205" i="2"/>
  <c r="K205" i="2"/>
  <c r="J205" i="2"/>
  <c r="I205" i="2"/>
  <c r="H205" i="2"/>
  <c r="E205" i="2"/>
  <c r="D205" i="2"/>
  <c r="A205" i="2"/>
  <c r="L204" i="2"/>
  <c r="K204" i="2"/>
  <c r="J204" i="2"/>
  <c r="I204" i="2"/>
  <c r="H204" i="2"/>
  <c r="E204" i="2"/>
  <c r="D204" i="2"/>
  <c r="A204" i="2"/>
  <c r="L203" i="2"/>
  <c r="K203" i="2"/>
  <c r="J203" i="2"/>
  <c r="I203" i="2"/>
  <c r="H203" i="2"/>
  <c r="E203" i="2"/>
  <c r="D203" i="2"/>
  <c r="A203" i="2"/>
  <c r="L202" i="2"/>
  <c r="K202" i="2"/>
  <c r="J202" i="2"/>
  <c r="I202" i="2"/>
  <c r="H202" i="2"/>
  <c r="E202" i="2"/>
  <c r="D202" i="2"/>
  <c r="A202" i="2"/>
  <c r="L201" i="2"/>
  <c r="K201" i="2"/>
  <c r="J201" i="2"/>
  <c r="I201" i="2"/>
  <c r="H201" i="2"/>
  <c r="E201" i="2"/>
  <c r="D201" i="2"/>
  <c r="A201" i="2"/>
  <c r="L200" i="2"/>
  <c r="K200" i="2"/>
  <c r="J200" i="2"/>
  <c r="I200" i="2"/>
  <c r="H200" i="2"/>
  <c r="E200" i="2"/>
  <c r="D200" i="2"/>
  <c r="A200" i="2"/>
  <c r="L199" i="2"/>
  <c r="K199" i="2"/>
  <c r="J199" i="2"/>
  <c r="I199" i="2"/>
  <c r="H199" i="2"/>
  <c r="E199" i="2"/>
  <c r="D199" i="2"/>
  <c r="A199" i="2"/>
  <c r="L198" i="2"/>
  <c r="K198" i="2"/>
  <c r="J198" i="2"/>
  <c r="I198" i="2"/>
  <c r="H198" i="2"/>
  <c r="E198" i="2"/>
  <c r="D198" i="2"/>
  <c r="A198" i="2"/>
  <c r="L197" i="2"/>
  <c r="K197" i="2"/>
  <c r="J197" i="2"/>
  <c r="I197" i="2"/>
  <c r="H197" i="2"/>
  <c r="E197" i="2"/>
  <c r="D197" i="2"/>
  <c r="A197" i="2"/>
  <c r="L196" i="2"/>
  <c r="K196" i="2"/>
  <c r="J196" i="2"/>
  <c r="I196" i="2"/>
  <c r="H196" i="2"/>
  <c r="E196" i="2"/>
  <c r="D196" i="2"/>
  <c r="A196" i="2"/>
  <c r="L195" i="2"/>
  <c r="K195" i="2"/>
  <c r="J195" i="2"/>
  <c r="I195" i="2"/>
  <c r="H195" i="2"/>
  <c r="E195" i="2"/>
  <c r="D195" i="2"/>
  <c r="A195" i="2"/>
  <c r="L194" i="2"/>
  <c r="K194" i="2"/>
  <c r="J194" i="2"/>
  <c r="I194" i="2"/>
  <c r="H194" i="2"/>
  <c r="E194" i="2"/>
  <c r="D194" i="2"/>
  <c r="A194" i="2"/>
  <c r="L193" i="2"/>
  <c r="K193" i="2"/>
  <c r="J193" i="2"/>
  <c r="I193" i="2"/>
  <c r="H193" i="2"/>
  <c r="E193" i="2"/>
  <c r="D193" i="2"/>
  <c r="A193" i="2"/>
  <c r="L192" i="2"/>
  <c r="K192" i="2"/>
  <c r="J192" i="2"/>
  <c r="I192" i="2"/>
  <c r="H192" i="2"/>
  <c r="E192" i="2"/>
  <c r="D192" i="2"/>
  <c r="A192" i="2"/>
  <c r="L191" i="2"/>
  <c r="K191" i="2"/>
  <c r="J191" i="2"/>
  <c r="I191" i="2"/>
  <c r="H191" i="2"/>
  <c r="E191" i="2"/>
  <c r="D191" i="2"/>
  <c r="A191" i="2"/>
  <c r="L190" i="2"/>
  <c r="K190" i="2"/>
  <c r="J190" i="2"/>
  <c r="I190" i="2"/>
  <c r="H190" i="2"/>
  <c r="E190" i="2"/>
  <c r="D190" i="2"/>
  <c r="A190" i="2"/>
  <c r="L189" i="2"/>
  <c r="K189" i="2"/>
  <c r="J189" i="2"/>
  <c r="I189" i="2"/>
  <c r="H189" i="2"/>
  <c r="E189" i="2"/>
  <c r="D189" i="2"/>
  <c r="A189" i="2"/>
  <c r="L188" i="2"/>
  <c r="K188" i="2"/>
  <c r="J188" i="2"/>
  <c r="I188" i="2"/>
  <c r="H188" i="2"/>
  <c r="E188" i="2"/>
  <c r="D188" i="2"/>
  <c r="A188" i="2"/>
  <c r="L187" i="2"/>
  <c r="K187" i="2"/>
  <c r="J187" i="2"/>
  <c r="I187" i="2"/>
  <c r="H187" i="2"/>
  <c r="E187" i="2"/>
  <c r="D187" i="2"/>
  <c r="A187" i="2"/>
  <c r="L186" i="2"/>
  <c r="K186" i="2"/>
  <c r="J186" i="2"/>
  <c r="I186" i="2"/>
  <c r="H186" i="2"/>
  <c r="E186" i="2"/>
  <c r="D186" i="2"/>
  <c r="A186" i="2"/>
  <c r="L185" i="2"/>
  <c r="K185" i="2"/>
  <c r="J185" i="2"/>
  <c r="I185" i="2"/>
  <c r="H185" i="2"/>
  <c r="E185" i="2"/>
  <c r="D185" i="2"/>
  <c r="A185" i="2"/>
  <c r="L184" i="2"/>
  <c r="K184" i="2"/>
  <c r="J184" i="2"/>
  <c r="I184" i="2"/>
  <c r="H184" i="2"/>
  <c r="E184" i="2"/>
  <c r="D184" i="2"/>
  <c r="A184" i="2"/>
  <c r="L183" i="2"/>
  <c r="K183" i="2"/>
  <c r="J183" i="2"/>
  <c r="I183" i="2"/>
  <c r="H183" i="2"/>
  <c r="E183" i="2"/>
  <c r="D183" i="2"/>
  <c r="A183" i="2"/>
  <c r="L182" i="2"/>
  <c r="K182" i="2"/>
  <c r="J182" i="2"/>
  <c r="I182" i="2"/>
  <c r="H182" i="2"/>
  <c r="E182" i="2"/>
  <c r="D182" i="2"/>
  <c r="A182" i="2"/>
  <c r="L181" i="2"/>
  <c r="K181" i="2"/>
  <c r="J181" i="2"/>
  <c r="I181" i="2"/>
  <c r="H181" i="2"/>
  <c r="E181" i="2"/>
  <c r="D181" i="2"/>
  <c r="A181" i="2"/>
  <c r="L180" i="2"/>
  <c r="K180" i="2"/>
  <c r="J180" i="2"/>
  <c r="I180" i="2"/>
  <c r="H180" i="2"/>
  <c r="E180" i="2"/>
  <c r="D180" i="2"/>
  <c r="A180" i="2"/>
  <c r="L179" i="2"/>
  <c r="K179" i="2"/>
  <c r="J179" i="2"/>
  <c r="I179" i="2"/>
  <c r="H179" i="2"/>
  <c r="E179" i="2"/>
  <c r="D179" i="2"/>
  <c r="A179" i="2"/>
  <c r="L178" i="2"/>
  <c r="K178" i="2"/>
  <c r="J178" i="2"/>
  <c r="I178" i="2"/>
  <c r="H178" i="2"/>
  <c r="E178" i="2"/>
  <c r="D178" i="2"/>
  <c r="A178" i="2"/>
  <c r="L177" i="2"/>
  <c r="K177" i="2"/>
  <c r="J177" i="2"/>
  <c r="I177" i="2"/>
  <c r="H177" i="2"/>
  <c r="E177" i="2"/>
  <c r="D177" i="2"/>
  <c r="A177" i="2"/>
  <c r="L176" i="2"/>
  <c r="K176" i="2"/>
  <c r="J176" i="2"/>
  <c r="I176" i="2"/>
  <c r="H176" i="2"/>
  <c r="E176" i="2"/>
  <c r="D176" i="2"/>
  <c r="A176" i="2"/>
  <c r="L175" i="2"/>
  <c r="K175" i="2"/>
  <c r="J175" i="2"/>
  <c r="I175" i="2"/>
  <c r="H175" i="2"/>
  <c r="E175" i="2"/>
  <c r="D175" i="2"/>
  <c r="A175" i="2"/>
  <c r="L174" i="2"/>
  <c r="K174" i="2"/>
  <c r="J174" i="2"/>
  <c r="I174" i="2"/>
  <c r="H174" i="2"/>
  <c r="E174" i="2"/>
  <c r="D174" i="2"/>
  <c r="A174" i="2"/>
  <c r="L173" i="2"/>
  <c r="K173" i="2"/>
  <c r="J173" i="2"/>
  <c r="I173" i="2"/>
  <c r="H173" i="2"/>
  <c r="E173" i="2"/>
  <c r="D173" i="2"/>
  <c r="A173" i="2"/>
  <c r="L172" i="2"/>
  <c r="K172" i="2"/>
  <c r="J172" i="2"/>
  <c r="I172" i="2"/>
  <c r="H172" i="2"/>
  <c r="E172" i="2"/>
  <c r="D172" i="2"/>
  <c r="A172" i="2"/>
  <c r="L171" i="2"/>
  <c r="K171" i="2"/>
  <c r="J171" i="2"/>
  <c r="I171" i="2"/>
  <c r="H171" i="2"/>
  <c r="E171" i="2"/>
  <c r="D171" i="2"/>
  <c r="A171" i="2"/>
  <c r="L170" i="2"/>
  <c r="K170" i="2"/>
  <c r="J170" i="2"/>
  <c r="I170" i="2"/>
  <c r="H170" i="2"/>
  <c r="E170" i="2"/>
  <c r="D170" i="2"/>
  <c r="A170" i="2"/>
  <c r="L169" i="2"/>
  <c r="K169" i="2"/>
  <c r="J169" i="2"/>
  <c r="I169" i="2"/>
  <c r="H169" i="2"/>
  <c r="E169" i="2"/>
  <c r="D169" i="2"/>
  <c r="A169" i="2"/>
  <c r="L168" i="2"/>
  <c r="K168" i="2"/>
  <c r="J168" i="2"/>
  <c r="I168" i="2"/>
  <c r="H168" i="2"/>
  <c r="E168" i="2"/>
  <c r="D168" i="2"/>
  <c r="A168" i="2"/>
  <c r="L167" i="2"/>
  <c r="K167" i="2"/>
  <c r="J167" i="2"/>
  <c r="I167" i="2"/>
  <c r="H167" i="2"/>
  <c r="E167" i="2"/>
  <c r="D167" i="2"/>
  <c r="A167" i="2"/>
  <c r="L166" i="2"/>
  <c r="K166" i="2"/>
  <c r="J166" i="2"/>
  <c r="I166" i="2"/>
  <c r="H166" i="2"/>
  <c r="E166" i="2"/>
  <c r="D166" i="2"/>
  <c r="A166" i="2"/>
  <c r="L165" i="2"/>
  <c r="K165" i="2"/>
  <c r="J165" i="2"/>
  <c r="I165" i="2"/>
  <c r="H165" i="2"/>
  <c r="E165" i="2"/>
  <c r="D165" i="2"/>
  <c r="A165" i="2"/>
  <c r="L164" i="2"/>
  <c r="K164" i="2"/>
  <c r="J164" i="2"/>
  <c r="I164" i="2"/>
  <c r="H164" i="2"/>
  <c r="E164" i="2"/>
  <c r="D164" i="2"/>
  <c r="A164" i="2"/>
  <c r="L163" i="2"/>
  <c r="K163" i="2"/>
  <c r="J163" i="2"/>
  <c r="I163" i="2"/>
  <c r="H163" i="2"/>
  <c r="E163" i="2"/>
  <c r="D163" i="2"/>
  <c r="A163" i="2"/>
  <c r="L162" i="2"/>
  <c r="K162" i="2"/>
  <c r="J162" i="2"/>
  <c r="I162" i="2"/>
  <c r="H162" i="2"/>
  <c r="E162" i="2"/>
  <c r="D162" i="2"/>
  <c r="A162" i="2"/>
  <c r="L161" i="2"/>
  <c r="K161" i="2"/>
  <c r="J161" i="2"/>
  <c r="I161" i="2"/>
  <c r="H161" i="2"/>
  <c r="E161" i="2"/>
  <c r="D161" i="2"/>
  <c r="A161" i="2"/>
  <c r="L160" i="2"/>
  <c r="K160" i="2"/>
  <c r="J160" i="2"/>
  <c r="I160" i="2"/>
  <c r="H160" i="2"/>
  <c r="E160" i="2"/>
  <c r="D160" i="2"/>
  <c r="A160" i="2"/>
  <c r="L159" i="2"/>
  <c r="K159" i="2"/>
  <c r="J159" i="2"/>
  <c r="I159" i="2"/>
  <c r="H159" i="2"/>
  <c r="E159" i="2"/>
  <c r="D159" i="2"/>
  <c r="A159" i="2"/>
  <c r="L158" i="2"/>
  <c r="K158" i="2"/>
  <c r="J158" i="2"/>
  <c r="I158" i="2"/>
  <c r="H158" i="2"/>
  <c r="E158" i="2"/>
  <c r="D158" i="2"/>
  <c r="A158" i="2"/>
  <c r="L157" i="2"/>
  <c r="K157" i="2"/>
  <c r="J157" i="2"/>
  <c r="I157" i="2"/>
  <c r="H157" i="2"/>
  <c r="E157" i="2"/>
  <c r="D157" i="2"/>
  <c r="A157" i="2"/>
  <c r="L156" i="2"/>
  <c r="K156" i="2"/>
  <c r="J156" i="2"/>
  <c r="I156" i="2"/>
  <c r="H156" i="2"/>
  <c r="E156" i="2"/>
  <c r="D156" i="2"/>
  <c r="A156" i="2"/>
  <c r="L155" i="2"/>
  <c r="K155" i="2"/>
  <c r="J155" i="2"/>
  <c r="I155" i="2"/>
  <c r="H155" i="2"/>
  <c r="E155" i="2"/>
  <c r="D155" i="2"/>
  <c r="A155" i="2"/>
  <c r="L154" i="2"/>
  <c r="K154" i="2"/>
  <c r="J154" i="2"/>
  <c r="I154" i="2"/>
  <c r="H154" i="2"/>
  <c r="E154" i="2"/>
  <c r="D154" i="2"/>
  <c r="A154" i="2"/>
  <c r="L153" i="2"/>
  <c r="K153" i="2"/>
  <c r="J153" i="2"/>
  <c r="I153" i="2"/>
  <c r="H153" i="2"/>
  <c r="E153" i="2"/>
  <c r="D153" i="2"/>
  <c r="A153" i="2"/>
  <c r="L152" i="2"/>
  <c r="K152" i="2"/>
  <c r="J152" i="2"/>
  <c r="I152" i="2"/>
  <c r="H152" i="2"/>
  <c r="E152" i="2"/>
  <c r="D152" i="2"/>
  <c r="A152" i="2"/>
  <c r="L151" i="2"/>
  <c r="K151" i="2"/>
  <c r="J151" i="2"/>
  <c r="I151" i="2"/>
  <c r="H151" i="2"/>
  <c r="E151" i="2"/>
  <c r="D151" i="2"/>
  <c r="A151" i="2"/>
  <c r="L150" i="2"/>
  <c r="K150" i="2"/>
  <c r="J150" i="2"/>
  <c r="I150" i="2"/>
  <c r="H150" i="2"/>
  <c r="E150" i="2"/>
  <c r="D150" i="2"/>
  <c r="A150" i="2"/>
  <c r="L149" i="2"/>
  <c r="K149" i="2"/>
  <c r="J149" i="2"/>
  <c r="I149" i="2"/>
  <c r="H149" i="2"/>
  <c r="E149" i="2"/>
  <c r="D149" i="2"/>
  <c r="A149" i="2"/>
  <c r="L148" i="2"/>
  <c r="K148" i="2"/>
  <c r="J148" i="2"/>
  <c r="I148" i="2"/>
  <c r="H148" i="2"/>
  <c r="E148" i="2"/>
  <c r="D148" i="2"/>
  <c r="A148" i="2"/>
  <c r="L147" i="2"/>
  <c r="K147" i="2"/>
  <c r="J147" i="2"/>
  <c r="I147" i="2"/>
  <c r="H147" i="2"/>
  <c r="E147" i="2"/>
  <c r="D147" i="2"/>
  <c r="A147" i="2"/>
  <c r="L146" i="2"/>
  <c r="K146" i="2"/>
  <c r="J146" i="2"/>
  <c r="I146" i="2"/>
  <c r="H146" i="2"/>
  <c r="E146" i="2"/>
  <c r="D146" i="2"/>
  <c r="A146" i="2"/>
  <c r="L145" i="2"/>
  <c r="K145" i="2"/>
  <c r="J145" i="2"/>
  <c r="I145" i="2"/>
  <c r="H145" i="2"/>
  <c r="E145" i="2"/>
  <c r="D145" i="2"/>
  <c r="A145" i="2"/>
  <c r="L144" i="2"/>
  <c r="K144" i="2"/>
  <c r="J144" i="2"/>
  <c r="I144" i="2"/>
  <c r="H144" i="2"/>
  <c r="E144" i="2"/>
  <c r="D144" i="2"/>
  <c r="A144" i="2"/>
  <c r="L143" i="2"/>
  <c r="K143" i="2"/>
  <c r="J143" i="2"/>
  <c r="I143" i="2"/>
  <c r="H143" i="2"/>
  <c r="E143" i="2"/>
  <c r="D143" i="2"/>
  <c r="A143" i="2"/>
  <c r="L142" i="2"/>
  <c r="K142" i="2"/>
  <c r="J142" i="2"/>
  <c r="I142" i="2"/>
  <c r="H142" i="2"/>
  <c r="E142" i="2"/>
  <c r="D142" i="2"/>
  <c r="A142" i="2"/>
  <c r="L141" i="2"/>
  <c r="K141" i="2"/>
  <c r="J141" i="2"/>
  <c r="I141" i="2"/>
  <c r="H141" i="2"/>
  <c r="E141" i="2"/>
  <c r="D141" i="2"/>
  <c r="A141" i="2"/>
  <c r="L140" i="2"/>
  <c r="K140" i="2"/>
  <c r="J140" i="2"/>
  <c r="I140" i="2"/>
  <c r="H140" i="2"/>
  <c r="E140" i="2"/>
  <c r="D140" i="2"/>
  <c r="A140" i="2"/>
  <c r="L139" i="2"/>
  <c r="K139" i="2"/>
  <c r="J139" i="2"/>
  <c r="I139" i="2"/>
  <c r="H139" i="2"/>
  <c r="E139" i="2"/>
  <c r="D139" i="2"/>
  <c r="A139" i="2"/>
  <c r="L138" i="2"/>
  <c r="K138" i="2"/>
  <c r="J138" i="2"/>
  <c r="I138" i="2"/>
  <c r="H138" i="2"/>
  <c r="E138" i="2"/>
  <c r="D138" i="2"/>
  <c r="A138" i="2"/>
  <c r="L137" i="2"/>
  <c r="K137" i="2"/>
  <c r="J137" i="2"/>
  <c r="I137" i="2"/>
  <c r="H137" i="2"/>
  <c r="E137" i="2"/>
  <c r="D137" i="2"/>
  <c r="A137" i="2"/>
  <c r="L136" i="2"/>
  <c r="K136" i="2"/>
  <c r="J136" i="2"/>
  <c r="I136" i="2"/>
  <c r="H136" i="2"/>
  <c r="E136" i="2"/>
  <c r="D136" i="2"/>
  <c r="A136" i="2"/>
  <c r="L135" i="2"/>
  <c r="K135" i="2"/>
  <c r="J135" i="2"/>
  <c r="I135" i="2"/>
  <c r="H135" i="2"/>
  <c r="E135" i="2"/>
  <c r="D135" i="2"/>
  <c r="A135" i="2"/>
  <c r="L134" i="2"/>
  <c r="K134" i="2"/>
  <c r="J134" i="2"/>
  <c r="I134" i="2"/>
  <c r="H134" i="2"/>
  <c r="E134" i="2"/>
  <c r="D134" i="2"/>
  <c r="A134" i="2"/>
  <c r="L133" i="2"/>
  <c r="K133" i="2"/>
  <c r="J133" i="2"/>
  <c r="I133" i="2"/>
  <c r="H133" i="2"/>
  <c r="E133" i="2"/>
  <c r="D133" i="2"/>
  <c r="A133" i="2"/>
  <c r="L132" i="2"/>
  <c r="K132" i="2"/>
  <c r="J132" i="2"/>
  <c r="I132" i="2"/>
  <c r="H132" i="2"/>
  <c r="E132" i="2"/>
  <c r="D132" i="2"/>
  <c r="A132" i="2"/>
  <c r="L131" i="2"/>
  <c r="K131" i="2"/>
  <c r="J131" i="2"/>
  <c r="I131" i="2"/>
  <c r="H131" i="2"/>
  <c r="E131" i="2"/>
  <c r="D131" i="2"/>
  <c r="A131" i="2"/>
  <c r="L130" i="2"/>
  <c r="K130" i="2"/>
  <c r="J130" i="2"/>
  <c r="I130" i="2"/>
  <c r="H130" i="2"/>
  <c r="E130" i="2"/>
  <c r="D130" i="2"/>
  <c r="A130" i="2"/>
  <c r="L129" i="2"/>
  <c r="K129" i="2"/>
  <c r="J129" i="2"/>
  <c r="I129" i="2"/>
  <c r="H129" i="2"/>
  <c r="E129" i="2"/>
  <c r="D129" i="2"/>
  <c r="A129" i="2"/>
  <c r="L128" i="2"/>
  <c r="K128" i="2"/>
  <c r="J128" i="2"/>
  <c r="I128" i="2"/>
  <c r="H128" i="2"/>
  <c r="E128" i="2"/>
  <c r="D128" i="2"/>
  <c r="A128" i="2"/>
  <c r="L127" i="2"/>
  <c r="K127" i="2"/>
  <c r="J127" i="2"/>
  <c r="I127" i="2"/>
  <c r="H127" i="2"/>
  <c r="E127" i="2"/>
  <c r="D127" i="2"/>
  <c r="A127" i="2"/>
  <c r="L126" i="2"/>
  <c r="K126" i="2"/>
  <c r="J126" i="2"/>
  <c r="I126" i="2"/>
  <c r="H126" i="2"/>
  <c r="E126" i="2"/>
  <c r="D126" i="2"/>
  <c r="A126" i="2"/>
  <c r="L125" i="2"/>
  <c r="K125" i="2"/>
  <c r="J125" i="2"/>
  <c r="I125" i="2"/>
  <c r="H125" i="2"/>
  <c r="E125" i="2"/>
  <c r="D125" i="2"/>
  <c r="A125" i="2"/>
  <c r="L124" i="2"/>
  <c r="K124" i="2"/>
  <c r="J124" i="2"/>
  <c r="I124" i="2"/>
  <c r="H124" i="2"/>
  <c r="E124" i="2"/>
  <c r="D124" i="2"/>
  <c r="A124" i="2"/>
  <c r="L123" i="2"/>
  <c r="K123" i="2"/>
  <c r="J123" i="2"/>
  <c r="I123" i="2"/>
  <c r="H123" i="2"/>
  <c r="E123" i="2"/>
  <c r="D123" i="2"/>
  <c r="A123" i="2"/>
  <c r="L122" i="2"/>
  <c r="K122" i="2"/>
  <c r="J122" i="2"/>
  <c r="I122" i="2"/>
  <c r="H122" i="2"/>
  <c r="E122" i="2"/>
  <c r="D122" i="2"/>
  <c r="A122" i="2"/>
  <c r="L121" i="2"/>
  <c r="K121" i="2"/>
  <c r="J121" i="2"/>
  <c r="I121" i="2"/>
  <c r="H121" i="2"/>
  <c r="E121" i="2"/>
  <c r="D121" i="2"/>
  <c r="A121" i="2"/>
  <c r="L120" i="2"/>
  <c r="K120" i="2"/>
  <c r="J120" i="2"/>
  <c r="I120" i="2"/>
  <c r="H120" i="2"/>
  <c r="E120" i="2"/>
  <c r="D120" i="2"/>
  <c r="A120" i="2"/>
  <c r="L119" i="2"/>
  <c r="K119" i="2"/>
  <c r="J119" i="2"/>
  <c r="I119" i="2"/>
  <c r="H119" i="2"/>
  <c r="E119" i="2"/>
  <c r="D119" i="2"/>
  <c r="A119" i="2"/>
  <c r="L118" i="2"/>
  <c r="K118" i="2"/>
  <c r="J118" i="2"/>
  <c r="I118" i="2"/>
  <c r="H118" i="2"/>
  <c r="E118" i="2"/>
  <c r="D118" i="2"/>
  <c r="A118" i="2"/>
  <c r="L117" i="2"/>
  <c r="K117" i="2"/>
  <c r="J117" i="2"/>
  <c r="I117" i="2"/>
  <c r="H117" i="2"/>
  <c r="E117" i="2"/>
  <c r="D117" i="2"/>
  <c r="A117" i="2"/>
  <c r="L116" i="2"/>
  <c r="K116" i="2"/>
  <c r="J116" i="2"/>
  <c r="I116" i="2"/>
  <c r="H116" i="2"/>
  <c r="E116" i="2"/>
  <c r="D116" i="2"/>
  <c r="A116" i="2"/>
  <c r="L115" i="2"/>
  <c r="K115" i="2"/>
  <c r="J115" i="2"/>
  <c r="I115" i="2"/>
  <c r="H115" i="2"/>
  <c r="E115" i="2"/>
  <c r="D115" i="2"/>
  <c r="A115" i="2"/>
  <c r="L114" i="2"/>
  <c r="K114" i="2"/>
  <c r="J114" i="2"/>
  <c r="I114" i="2"/>
  <c r="H114" i="2"/>
  <c r="E114" i="2"/>
  <c r="D114" i="2"/>
  <c r="A114" i="2"/>
  <c r="L113" i="2"/>
  <c r="K113" i="2"/>
  <c r="J113" i="2"/>
  <c r="I113" i="2"/>
  <c r="H113" i="2"/>
  <c r="E113" i="2"/>
  <c r="D113" i="2"/>
  <c r="A113" i="2"/>
  <c r="L112" i="2"/>
  <c r="K112" i="2"/>
  <c r="J112" i="2"/>
  <c r="I112" i="2"/>
  <c r="H112" i="2"/>
  <c r="E112" i="2"/>
  <c r="D112" i="2"/>
  <c r="A112" i="2"/>
  <c r="L111" i="2"/>
  <c r="K111" i="2"/>
  <c r="J111" i="2"/>
  <c r="I111" i="2"/>
  <c r="H111" i="2"/>
  <c r="E111" i="2"/>
  <c r="D111" i="2"/>
  <c r="A111" i="2"/>
  <c r="L110" i="2"/>
  <c r="K110" i="2"/>
  <c r="J110" i="2"/>
  <c r="I110" i="2"/>
  <c r="H110" i="2"/>
  <c r="E110" i="2"/>
  <c r="D110" i="2"/>
  <c r="A110" i="2"/>
  <c r="L109" i="2"/>
  <c r="K109" i="2"/>
  <c r="J109" i="2"/>
  <c r="I109" i="2"/>
  <c r="H109" i="2"/>
  <c r="E109" i="2"/>
  <c r="D109" i="2"/>
  <c r="A109" i="2"/>
  <c r="L108" i="2"/>
  <c r="K108" i="2"/>
  <c r="J108" i="2"/>
  <c r="I108" i="2"/>
  <c r="H108" i="2"/>
  <c r="E108" i="2"/>
  <c r="D108" i="2"/>
  <c r="A108" i="2"/>
  <c r="L107" i="2"/>
  <c r="K107" i="2"/>
  <c r="J107" i="2"/>
  <c r="I107" i="2"/>
  <c r="H107" i="2"/>
  <c r="E107" i="2"/>
  <c r="D107" i="2"/>
  <c r="A107" i="2"/>
  <c r="L106" i="2"/>
  <c r="K106" i="2"/>
  <c r="J106" i="2"/>
  <c r="I106" i="2"/>
  <c r="H106" i="2"/>
  <c r="E106" i="2"/>
  <c r="D106" i="2"/>
  <c r="A106" i="2"/>
  <c r="L105" i="2"/>
  <c r="K105" i="2"/>
  <c r="J105" i="2"/>
  <c r="I105" i="2"/>
  <c r="H105" i="2"/>
  <c r="E105" i="2"/>
  <c r="D105" i="2"/>
  <c r="A105" i="2"/>
  <c r="L104" i="2"/>
  <c r="K104" i="2"/>
  <c r="J104" i="2"/>
  <c r="I104" i="2"/>
  <c r="H104" i="2"/>
  <c r="E104" i="2"/>
  <c r="D104" i="2"/>
  <c r="A104" i="2"/>
  <c r="L103" i="2"/>
  <c r="K103" i="2"/>
  <c r="J103" i="2"/>
  <c r="I103" i="2"/>
  <c r="H103" i="2"/>
  <c r="E103" i="2"/>
  <c r="D103" i="2"/>
  <c r="A103" i="2"/>
  <c r="L102" i="2"/>
  <c r="K102" i="2"/>
  <c r="J102" i="2"/>
  <c r="I102" i="2"/>
  <c r="H102" i="2"/>
  <c r="E102" i="2"/>
  <c r="D102" i="2"/>
  <c r="A102" i="2"/>
  <c r="L101" i="2"/>
  <c r="K101" i="2"/>
  <c r="J101" i="2"/>
  <c r="I101" i="2"/>
  <c r="H101" i="2"/>
  <c r="E101" i="2"/>
  <c r="D101" i="2"/>
  <c r="A101" i="2"/>
  <c r="L100" i="2"/>
  <c r="K100" i="2"/>
  <c r="J100" i="2"/>
  <c r="I100" i="2"/>
  <c r="H100" i="2"/>
  <c r="E100" i="2"/>
  <c r="D100" i="2"/>
  <c r="A100" i="2"/>
  <c r="L99" i="2"/>
  <c r="K99" i="2"/>
  <c r="J99" i="2"/>
  <c r="I99" i="2"/>
  <c r="H99" i="2"/>
  <c r="E99" i="2"/>
  <c r="D99" i="2"/>
  <c r="A99" i="2"/>
  <c r="L98" i="2"/>
  <c r="K98" i="2"/>
  <c r="J98" i="2"/>
  <c r="I98" i="2"/>
  <c r="H98" i="2"/>
  <c r="E98" i="2"/>
  <c r="D98" i="2"/>
  <c r="A98" i="2"/>
  <c r="L97" i="2"/>
  <c r="K97" i="2"/>
  <c r="J97" i="2"/>
  <c r="I97" i="2"/>
  <c r="H97" i="2"/>
  <c r="E97" i="2"/>
  <c r="D97" i="2"/>
  <c r="A97" i="2"/>
  <c r="L96" i="2"/>
  <c r="K96" i="2"/>
  <c r="J96" i="2"/>
  <c r="I96" i="2"/>
  <c r="H96" i="2"/>
  <c r="E96" i="2"/>
  <c r="D96" i="2"/>
  <c r="A96" i="2"/>
  <c r="L95" i="2"/>
  <c r="K95" i="2"/>
  <c r="J95" i="2"/>
  <c r="I95" i="2"/>
  <c r="H95" i="2"/>
  <c r="E95" i="2"/>
  <c r="D95" i="2"/>
  <c r="A95" i="2"/>
  <c r="L94" i="2"/>
  <c r="K94" i="2"/>
  <c r="J94" i="2"/>
  <c r="I94" i="2"/>
  <c r="H94" i="2"/>
  <c r="E94" i="2"/>
  <c r="D94" i="2"/>
  <c r="A94" i="2"/>
  <c r="L93" i="2"/>
  <c r="K93" i="2"/>
  <c r="J93" i="2"/>
  <c r="I93" i="2"/>
  <c r="H93" i="2"/>
  <c r="E93" i="2"/>
  <c r="D93" i="2"/>
  <c r="A93" i="2"/>
  <c r="L92" i="2"/>
  <c r="K92" i="2"/>
  <c r="J92" i="2"/>
  <c r="I92" i="2"/>
  <c r="H92" i="2"/>
  <c r="E92" i="2"/>
  <c r="D92" i="2"/>
  <c r="A92" i="2"/>
  <c r="L91" i="2"/>
  <c r="K91" i="2"/>
  <c r="J91" i="2"/>
  <c r="I91" i="2"/>
  <c r="H91" i="2"/>
  <c r="E91" i="2"/>
  <c r="D91" i="2"/>
  <c r="A91" i="2"/>
  <c r="L90" i="2"/>
  <c r="K90" i="2"/>
  <c r="J90" i="2"/>
  <c r="I90" i="2"/>
  <c r="H90" i="2"/>
  <c r="E90" i="2"/>
  <c r="D90" i="2"/>
  <c r="A90" i="2"/>
  <c r="L89" i="2"/>
  <c r="K89" i="2"/>
  <c r="J89" i="2"/>
  <c r="I89" i="2"/>
  <c r="H89" i="2"/>
  <c r="E89" i="2"/>
  <c r="D89" i="2"/>
  <c r="A89" i="2"/>
  <c r="L88" i="2"/>
  <c r="K88" i="2"/>
  <c r="J88" i="2"/>
  <c r="I88" i="2"/>
  <c r="H88" i="2"/>
  <c r="E88" i="2"/>
  <c r="D88" i="2"/>
  <c r="A88" i="2"/>
  <c r="L87" i="2"/>
  <c r="K87" i="2"/>
  <c r="J87" i="2"/>
  <c r="I87" i="2"/>
  <c r="H87" i="2"/>
  <c r="E87" i="2"/>
  <c r="D87" i="2"/>
  <c r="A87" i="2"/>
  <c r="L86" i="2"/>
  <c r="K86" i="2"/>
  <c r="J86" i="2"/>
  <c r="I86" i="2"/>
  <c r="H86" i="2"/>
  <c r="E86" i="2"/>
  <c r="D86" i="2"/>
  <c r="A86" i="2"/>
  <c r="L85" i="2"/>
  <c r="K85" i="2"/>
  <c r="J85" i="2"/>
  <c r="I85" i="2"/>
  <c r="H85" i="2"/>
  <c r="E85" i="2"/>
  <c r="D85" i="2"/>
  <c r="A85" i="2"/>
  <c r="L84" i="2"/>
  <c r="K84" i="2"/>
  <c r="J84" i="2"/>
  <c r="I84" i="2"/>
  <c r="H84" i="2"/>
  <c r="E84" i="2"/>
  <c r="D84" i="2"/>
  <c r="A84" i="2"/>
  <c r="L83" i="2"/>
  <c r="K83" i="2"/>
  <c r="J83" i="2"/>
  <c r="I83" i="2"/>
  <c r="H83" i="2"/>
  <c r="E83" i="2"/>
  <c r="D83" i="2"/>
  <c r="A83" i="2"/>
  <c r="L82" i="2"/>
  <c r="K82" i="2"/>
  <c r="J82" i="2"/>
  <c r="I82" i="2"/>
  <c r="H82" i="2"/>
  <c r="E82" i="2"/>
  <c r="D82" i="2"/>
  <c r="A82" i="2"/>
  <c r="L81" i="2"/>
  <c r="K81" i="2"/>
  <c r="J81" i="2"/>
  <c r="I81" i="2"/>
  <c r="H81" i="2"/>
  <c r="E81" i="2"/>
  <c r="D81" i="2"/>
  <c r="A81" i="2"/>
  <c r="L80" i="2"/>
  <c r="K80" i="2"/>
  <c r="J80" i="2"/>
  <c r="I80" i="2"/>
  <c r="H80" i="2"/>
  <c r="E80" i="2"/>
  <c r="D80" i="2"/>
  <c r="A80" i="2"/>
  <c r="L79" i="2"/>
  <c r="K79" i="2"/>
  <c r="J79" i="2"/>
  <c r="I79" i="2"/>
  <c r="H79" i="2"/>
  <c r="E79" i="2"/>
  <c r="D79" i="2"/>
  <c r="A79" i="2"/>
  <c r="L78" i="2"/>
  <c r="K78" i="2"/>
  <c r="J78" i="2"/>
  <c r="I78" i="2"/>
  <c r="H78" i="2"/>
  <c r="E78" i="2"/>
  <c r="D78" i="2"/>
  <c r="A78" i="2"/>
  <c r="L77" i="2"/>
  <c r="K77" i="2"/>
  <c r="J77" i="2"/>
  <c r="I77" i="2"/>
  <c r="H77" i="2"/>
  <c r="E77" i="2"/>
  <c r="D77" i="2"/>
  <c r="A77" i="2"/>
  <c r="L76" i="2"/>
  <c r="K76" i="2"/>
  <c r="J76" i="2"/>
  <c r="I76" i="2"/>
  <c r="H76" i="2"/>
  <c r="E76" i="2"/>
  <c r="D76" i="2"/>
  <c r="A76" i="2"/>
  <c r="L75" i="2"/>
  <c r="K75" i="2"/>
  <c r="J75" i="2"/>
  <c r="I75" i="2"/>
  <c r="H75" i="2"/>
  <c r="E75" i="2"/>
  <c r="D75" i="2"/>
  <c r="A75" i="2"/>
  <c r="L74" i="2"/>
  <c r="K74" i="2"/>
  <c r="J74" i="2"/>
  <c r="I74" i="2"/>
  <c r="H74" i="2"/>
  <c r="E74" i="2"/>
  <c r="D74" i="2"/>
  <c r="A74" i="2"/>
  <c r="L73" i="2"/>
  <c r="K73" i="2"/>
  <c r="J73" i="2"/>
  <c r="I73" i="2"/>
  <c r="H73" i="2"/>
  <c r="E73" i="2"/>
  <c r="D73" i="2"/>
  <c r="A73" i="2"/>
  <c r="L72" i="2"/>
  <c r="K72" i="2"/>
  <c r="J72" i="2"/>
  <c r="I72" i="2"/>
  <c r="H72" i="2"/>
  <c r="E72" i="2"/>
  <c r="D72" i="2"/>
  <c r="A72" i="2"/>
  <c r="L71" i="2"/>
  <c r="K71" i="2"/>
  <c r="J71" i="2"/>
  <c r="I71" i="2"/>
  <c r="H71" i="2"/>
  <c r="E71" i="2"/>
  <c r="D71" i="2"/>
  <c r="A71" i="2"/>
  <c r="L70" i="2"/>
  <c r="K70" i="2"/>
  <c r="J70" i="2"/>
  <c r="I70" i="2"/>
  <c r="H70" i="2"/>
  <c r="E70" i="2"/>
  <c r="D70" i="2"/>
  <c r="A70" i="2"/>
  <c r="L69" i="2"/>
  <c r="K69" i="2"/>
  <c r="J69" i="2"/>
  <c r="I69" i="2"/>
  <c r="H69" i="2"/>
  <c r="E69" i="2"/>
  <c r="D69" i="2"/>
  <c r="A69" i="2"/>
  <c r="L68" i="2"/>
  <c r="K68" i="2"/>
  <c r="J68" i="2"/>
  <c r="I68" i="2"/>
  <c r="H68" i="2"/>
  <c r="E68" i="2"/>
  <c r="D68" i="2"/>
  <c r="A68" i="2"/>
  <c r="L67" i="2"/>
  <c r="K67" i="2"/>
  <c r="J67" i="2"/>
  <c r="I67" i="2"/>
  <c r="H67" i="2"/>
  <c r="E67" i="2"/>
  <c r="D67" i="2"/>
  <c r="A67" i="2"/>
  <c r="L66" i="2"/>
  <c r="K66" i="2"/>
  <c r="J66" i="2"/>
  <c r="I66" i="2"/>
  <c r="H66" i="2"/>
  <c r="E66" i="2"/>
  <c r="D66" i="2"/>
  <c r="A66" i="2"/>
  <c r="L65" i="2"/>
  <c r="K65" i="2"/>
  <c r="J65" i="2"/>
  <c r="I65" i="2"/>
  <c r="H65" i="2"/>
  <c r="E65" i="2"/>
  <c r="D65" i="2"/>
  <c r="A65" i="2"/>
  <c r="L64" i="2"/>
  <c r="K64" i="2"/>
  <c r="J64" i="2"/>
  <c r="I64" i="2"/>
  <c r="H64" i="2"/>
  <c r="E64" i="2"/>
  <c r="D64" i="2"/>
  <c r="A64" i="2"/>
  <c r="L63" i="2"/>
  <c r="K63" i="2"/>
  <c r="J63" i="2"/>
  <c r="I63" i="2"/>
  <c r="H63" i="2"/>
  <c r="E63" i="2"/>
  <c r="D63" i="2"/>
  <c r="A63" i="2"/>
  <c r="L62" i="2"/>
  <c r="K62" i="2"/>
  <c r="J62" i="2"/>
  <c r="I62" i="2"/>
  <c r="H62" i="2"/>
  <c r="E62" i="2"/>
  <c r="D62" i="2"/>
  <c r="A62" i="2"/>
  <c r="L61" i="2"/>
  <c r="K61" i="2"/>
  <c r="J61" i="2"/>
  <c r="I61" i="2"/>
  <c r="H61" i="2"/>
  <c r="E61" i="2"/>
  <c r="D61" i="2"/>
  <c r="A61" i="2"/>
  <c r="L60" i="2"/>
  <c r="K60" i="2"/>
  <c r="J60" i="2"/>
  <c r="I60" i="2"/>
  <c r="H60" i="2"/>
  <c r="E60" i="2"/>
  <c r="D60" i="2"/>
  <c r="A60" i="2"/>
  <c r="L59" i="2"/>
  <c r="K59" i="2"/>
  <c r="J59" i="2"/>
  <c r="I59" i="2"/>
  <c r="H59" i="2"/>
  <c r="E59" i="2"/>
  <c r="D59" i="2"/>
  <c r="A59" i="2"/>
  <c r="L58" i="2"/>
  <c r="K58" i="2"/>
  <c r="J58" i="2"/>
  <c r="I58" i="2"/>
  <c r="H58" i="2"/>
  <c r="E58" i="2"/>
  <c r="D58" i="2"/>
  <c r="A58" i="2"/>
  <c r="L57" i="2"/>
  <c r="K57" i="2"/>
  <c r="J57" i="2"/>
  <c r="I57" i="2"/>
  <c r="H57" i="2"/>
  <c r="E57" i="2"/>
  <c r="D57" i="2"/>
  <c r="A57" i="2"/>
  <c r="L56" i="2"/>
  <c r="K56" i="2"/>
  <c r="J56" i="2"/>
  <c r="I56" i="2"/>
  <c r="H56" i="2"/>
  <c r="E56" i="2"/>
  <c r="D56" i="2"/>
  <c r="A56" i="2"/>
  <c r="L55" i="2"/>
  <c r="K55" i="2"/>
  <c r="J55" i="2"/>
  <c r="I55" i="2"/>
  <c r="H55" i="2"/>
  <c r="E55" i="2"/>
  <c r="D55" i="2"/>
  <c r="A55" i="2"/>
  <c r="L54" i="2"/>
  <c r="K54" i="2"/>
  <c r="J54" i="2"/>
  <c r="I54" i="2"/>
  <c r="H54" i="2"/>
  <c r="E54" i="2"/>
  <c r="D54" i="2"/>
  <c r="A54" i="2"/>
  <c r="L53" i="2"/>
  <c r="K53" i="2"/>
  <c r="J53" i="2"/>
  <c r="I53" i="2"/>
  <c r="H53" i="2"/>
  <c r="E53" i="2"/>
  <c r="D53" i="2"/>
  <c r="A53" i="2"/>
  <c r="L52" i="2"/>
  <c r="K52" i="2"/>
  <c r="J52" i="2"/>
  <c r="I52" i="2"/>
  <c r="H52" i="2"/>
  <c r="E52" i="2"/>
  <c r="D52" i="2"/>
  <c r="A52" i="2"/>
  <c r="L51" i="2"/>
  <c r="K51" i="2"/>
  <c r="J51" i="2"/>
  <c r="I51" i="2"/>
  <c r="H51" i="2"/>
  <c r="E51" i="2"/>
  <c r="D51" i="2"/>
  <c r="A51" i="2"/>
  <c r="L50" i="2"/>
  <c r="K50" i="2"/>
  <c r="J50" i="2"/>
  <c r="I50" i="2"/>
  <c r="H50" i="2"/>
  <c r="E50" i="2"/>
  <c r="D50" i="2"/>
  <c r="A50" i="2"/>
  <c r="L49" i="2"/>
  <c r="K49" i="2"/>
  <c r="J49" i="2"/>
  <c r="I49" i="2"/>
  <c r="H49" i="2"/>
  <c r="E49" i="2"/>
  <c r="D49" i="2"/>
  <c r="A49" i="2"/>
  <c r="L48" i="2"/>
  <c r="K48" i="2"/>
  <c r="J48" i="2"/>
  <c r="I48" i="2"/>
  <c r="H48" i="2"/>
  <c r="E48" i="2"/>
  <c r="D48" i="2"/>
  <c r="A48" i="2"/>
  <c r="L47" i="2"/>
  <c r="K47" i="2"/>
  <c r="J47" i="2"/>
  <c r="I47" i="2"/>
  <c r="H47" i="2"/>
  <c r="E47" i="2"/>
  <c r="D47" i="2"/>
  <c r="A47" i="2"/>
  <c r="L46" i="2"/>
  <c r="K46" i="2"/>
  <c r="J46" i="2"/>
  <c r="I46" i="2"/>
  <c r="H46" i="2"/>
  <c r="E46" i="2"/>
  <c r="D46" i="2"/>
  <c r="A46" i="2"/>
  <c r="L45" i="2"/>
  <c r="K45" i="2"/>
  <c r="J45" i="2"/>
  <c r="I45" i="2"/>
  <c r="H45" i="2"/>
  <c r="E45" i="2"/>
  <c r="D45" i="2"/>
  <c r="A45" i="2"/>
  <c r="L44" i="2"/>
  <c r="K44" i="2"/>
  <c r="J44" i="2"/>
  <c r="I44" i="2"/>
  <c r="H44" i="2"/>
  <c r="E44" i="2"/>
  <c r="D44" i="2"/>
  <c r="A44" i="2"/>
  <c r="L43" i="2"/>
  <c r="K43" i="2"/>
  <c r="J43" i="2"/>
  <c r="I43" i="2"/>
  <c r="H43" i="2"/>
  <c r="E43" i="2"/>
  <c r="D43" i="2"/>
  <c r="A43" i="2"/>
  <c r="L42" i="2"/>
  <c r="K42" i="2"/>
  <c r="J42" i="2"/>
  <c r="I42" i="2"/>
  <c r="H42" i="2"/>
  <c r="E42" i="2"/>
  <c r="D42" i="2"/>
  <c r="A42" i="2"/>
  <c r="L41" i="2"/>
  <c r="K41" i="2"/>
  <c r="J41" i="2"/>
  <c r="I41" i="2"/>
  <c r="H41" i="2"/>
  <c r="E41" i="2"/>
  <c r="D41" i="2"/>
  <c r="A41" i="2"/>
  <c r="L40" i="2"/>
  <c r="K40" i="2"/>
  <c r="J40" i="2"/>
  <c r="I40" i="2"/>
  <c r="H40" i="2"/>
  <c r="E40" i="2"/>
  <c r="D40" i="2"/>
  <c r="A40" i="2"/>
  <c r="L39" i="2"/>
  <c r="K39" i="2"/>
  <c r="J39" i="2"/>
  <c r="I39" i="2"/>
  <c r="H39" i="2"/>
  <c r="E39" i="2"/>
  <c r="D39" i="2"/>
  <c r="A39" i="2"/>
  <c r="L38" i="2"/>
  <c r="K38" i="2"/>
  <c r="J38" i="2"/>
  <c r="I38" i="2"/>
  <c r="H38" i="2"/>
  <c r="E38" i="2"/>
  <c r="D38" i="2"/>
  <c r="A38" i="2"/>
  <c r="L37" i="2"/>
  <c r="K37" i="2"/>
  <c r="J37" i="2"/>
  <c r="I37" i="2"/>
  <c r="H37" i="2"/>
  <c r="E37" i="2"/>
  <c r="D37" i="2"/>
  <c r="A37" i="2"/>
  <c r="L36" i="2"/>
  <c r="K36" i="2"/>
  <c r="J36" i="2"/>
  <c r="I36" i="2"/>
  <c r="H36" i="2"/>
  <c r="E36" i="2"/>
  <c r="D36" i="2"/>
  <c r="A36" i="2"/>
  <c r="L35" i="2"/>
  <c r="K35" i="2"/>
  <c r="J35" i="2"/>
  <c r="I35" i="2"/>
  <c r="H35" i="2"/>
  <c r="E35" i="2"/>
  <c r="D35" i="2"/>
  <c r="A35" i="2"/>
  <c r="L34" i="2"/>
  <c r="K34" i="2"/>
  <c r="J34" i="2"/>
  <c r="I34" i="2"/>
  <c r="H34" i="2"/>
  <c r="E34" i="2"/>
  <c r="D34" i="2"/>
  <c r="A34" i="2"/>
  <c r="L33" i="2"/>
  <c r="K33" i="2"/>
  <c r="J33" i="2"/>
  <c r="I33" i="2"/>
  <c r="H33" i="2"/>
  <c r="E33" i="2"/>
  <c r="D33" i="2"/>
  <c r="A33" i="2"/>
  <c r="L32" i="2"/>
  <c r="K32" i="2"/>
  <c r="J32" i="2"/>
  <c r="I32" i="2"/>
  <c r="H32" i="2"/>
  <c r="E32" i="2"/>
  <c r="D32" i="2"/>
  <c r="A32" i="2"/>
  <c r="L31" i="2"/>
  <c r="K31" i="2"/>
  <c r="J31" i="2"/>
  <c r="I31" i="2"/>
  <c r="H31" i="2"/>
  <c r="E31" i="2"/>
  <c r="D31" i="2"/>
  <c r="A31" i="2"/>
  <c r="L30" i="2"/>
  <c r="K30" i="2"/>
  <c r="J30" i="2"/>
  <c r="I30" i="2"/>
  <c r="H30" i="2"/>
  <c r="E30" i="2"/>
  <c r="D30" i="2"/>
  <c r="A30" i="2"/>
  <c r="L29" i="2"/>
  <c r="K29" i="2"/>
  <c r="J29" i="2"/>
  <c r="I29" i="2"/>
  <c r="H29" i="2"/>
  <c r="E29" i="2"/>
  <c r="D29" i="2"/>
  <c r="A29" i="2"/>
  <c r="L28" i="2"/>
  <c r="K28" i="2"/>
  <c r="J28" i="2"/>
  <c r="I28" i="2"/>
  <c r="H28" i="2"/>
  <c r="E28" i="2"/>
  <c r="D28" i="2"/>
  <c r="A28" i="2"/>
  <c r="L27" i="2"/>
  <c r="K27" i="2"/>
  <c r="J27" i="2"/>
  <c r="I27" i="2"/>
  <c r="H27" i="2"/>
  <c r="E27" i="2"/>
  <c r="D27" i="2"/>
  <c r="A27" i="2"/>
  <c r="L26" i="2"/>
  <c r="K26" i="2"/>
  <c r="J26" i="2"/>
  <c r="I26" i="2"/>
  <c r="H26" i="2"/>
  <c r="E26" i="2"/>
  <c r="D26" i="2"/>
  <c r="A26" i="2"/>
  <c r="L25" i="2"/>
  <c r="K25" i="2"/>
  <c r="J25" i="2"/>
  <c r="I25" i="2"/>
  <c r="H25" i="2"/>
  <c r="E25" i="2"/>
  <c r="D25" i="2"/>
  <c r="A25" i="2"/>
  <c r="L24" i="2"/>
  <c r="K24" i="2"/>
  <c r="J24" i="2"/>
  <c r="I24" i="2"/>
  <c r="H24" i="2"/>
  <c r="E24" i="2"/>
  <c r="D24" i="2"/>
  <c r="A24" i="2"/>
  <c r="L23" i="2"/>
  <c r="K23" i="2"/>
  <c r="J23" i="2"/>
  <c r="I23" i="2"/>
  <c r="H23" i="2"/>
  <c r="E23" i="2"/>
  <c r="D23" i="2"/>
  <c r="A23" i="2"/>
  <c r="L22" i="2"/>
  <c r="K22" i="2"/>
  <c r="J22" i="2"/>
  <c r="I22" i="2"/>
  <c r="H22" i="2"/>
  <c r="E22" i="2"/>
  <c r="D22" i="2"/>
  <c r="A22" i="2"/>
  <c r="L21" i="2"/>
  <c r="K21" i="2"/>
  <c r="J21" i="2"/>
  <c r="I21" i="2"/>
  <c r="H21" i="2"/>
  <c r="E21" i="2"/>
  <c r="D21" i="2"/>
  <c r="A21" i="2"/>
  <c r="L20" i="2"/>
  <c r="K20" i="2"/>
  <c r="J20" i="2"/>
  <c r="I20" i="2"/>
  <c r="H20" i="2"/>
  <c r="E20" i="2"/>
  <c r="D20" i="2"/>
  <c r="A20" i="2"/>
  <c r="L19" i="2"/>
  <c r="K19" i="2"/>
  <c r="J19" i="2"/>
  <c r="I19" i="2"/>
  <c r="H19" i="2"/>
  <c r="E19" i="2"/>
  <c r="D19" i="2"/>
  <c r="A19" i="2"/>
  <c r="L18" i="2"/>
  <c r="K18" i="2"/>
  <c r="J18" i="2"/>
  <c r="I18" i="2"/>
  <c r="H18" i="2"/>
  <c r="E18" i="2"/>
  <c r="D18" i="2"/>
  <c r="A18" i="2"/>
  <c r="L17" i="2"/>
  <c r="K17" i="2"/>
  <c r="J17" i="2"/>
  <c r="I17" i="2"/>
  <c r="H17" i="2"/>
  <c r="E17" i="2"/>
  <c r="D17" i="2"/>
  <c r="A17" i="2"/>
  <c r="L16" i="2"/>
  <c r="K16" i="2"/>
  <c r="J16" i="2"/>
  <c r="I16" i="2"/>
  <c r="H16" i="2"/>
  <c r="E16" i="2"/>
  <c r="D16" i="2"/>
  <c r="A16" i="2"/>
  <c r="L15" i="2"/>
  <c r="K15" i="2"/>
  <c r="J15" i="2"/>
  <c r="I15" i="2"/>
  <c r="H15" i="2"/>
  <c r="E15" i="2"/>
  <c r="D15" i="2"/>
  <c r="A15" i="2"/>
  <c r="L14" i="2"/>
  <c r="K14" i="2"/>
  <c r="J14" i="2"/>
  <c r="I14" i="2"/>
  <c r="H14" i="2"/>
  <c r="E14" i="2"/>
  <c r="D14" i="2"/>
  <c r="A14" i="2"/>
  <c r="L13" i="2"/>
  <c r="K13" i="2"/>
  <c r="J13" i="2"/>
  <c r="I13" i="2"/>
  <c r="H13" i="2"/>
  <c r="E13" i="2"/>
  <c r="D13" i="2"/>
  <c r="A13" i="2"/>
  <c r="L12" i="2"/>
  <c r="K12" i="2"/>
  <c r="J12" i="2"/>
  <c r="I12" i="2"/>
  <c r="H12" i="2"/>
  <c r="E12" i="2"/>
  <c r="D12" i="2"/>
  <c r="A12" i="2"/>
  <c r="L11" i="2"/>
  <c r="K11" i="2"/>
  <c r="J11" i="2"/>
  <c r="I11" i="2"/>
  <c r="H11" i="2"/>
  <c r="E11" i="2"/>
  <c r="D11" i="2"/>
  <c r="A11" i="2"/>
  <c r="L10" i="2"/>
  <c r="K10" i="2"/>
  <c r="J10" i="2"/>
  <c r="I10" i="2"/>
  <c r="H10" i="2"/>
  <c r="E10" i="2"/>
  <c r="D10" i="2"/>
  <c r="A10" i="2"/>
  <c r="L9" i="2"/>
  <c r="K9" i="2"/>
  <c r="J9" i="2"/>
  <c r="I9" i="2"/>
  <c r="H9" i="2"/>
  <c r="E9" i="2"/>
  <c r="D9" i="2"/>
  <c r="A9" i="2"/>
  <c r="L8" i="2"/>
  <c r="K8" i="2"/>
  <c r="J8" i="2"/>
  <c r="I8" i="2"/>
  <c r="H8" i="2"/>
  <c r="E8" i="2"/>
  <c r="D8" i="2"/>
  <c r="A8" i="2"/>
  <c r="L7" i="2"/>
  <c r="K7" i="2"/>
  <c r="J7" i="2"/>
  <c r="I7" i="2"/>
  <c r="H7" i="2"/>
  <c r="E7" i="2"/>
  <c r="D7" i="2"/>
  <c r="A7" i="2"/>
  <c r="L6" i="2"/>
  <c r="K6" i="2"/>
  <c r="J6" i="2"/>
  <c r="I6" i="2"/>
  <c r="H6" i="2"/>
  <c r="E6" i="2"/>
  <c r="D6" i="2"/>
  <c r="A6" i="2"/>
  <c r="L5" i="2"/>
  <c r="K5" i="2"/>
  <c r="J5" i="2"/>
  <c r="I5" i="2"/>
  <c r="H5" i="2"/>
  <c r="E5" i="2"/>
  <c r="D5" i="2"/>
  <c r="A5" i="2"/>
  <c r="L4" i="2"/>
  <c r="K4" i="2"/>
  <c r="J4" i="2"/>
  <c r="I4" i="2"/>
  <c r="H4" i="2"/>
  <c r="E4" i="2"/>
  <c r="D4" i="2"/>
  <c r="A4" i="2"/>
  <c r="L3" i="2"/>
  <c r="K3" i="2"/>
  <c r="J3" i="2"/>
  <c r="I3" i="2"/>
  <c r="H3" i="2"/>
  <c r="E3" i="2"/>
  <c r="D3" i="2"/>
  <c r="A3" i="2"/>
  <c r="L2" i="2"/>
  <c r="K2" i="2"/>
  <c r="J2" i="2"/>
  <c r="I2" i="2"/>
  <c r="H2" i="2"/>
  <c r="E2" i="2"/>
  <c r="D2" i="2"/>
  <c r="A2" i="2"/>
  <c r="H7" i="1"/>
  <c r="I7" i="1"/>
  <c r="J7" i="1"/>
  <c r="K7" i="1"/>
  <c r="L7" i="1"/>
  <c r="H8" i="1"/>
  <c r="I8" i="1"/>
  <c r="J8" i="1"/>
  <c r="K8" i="1"/>
  <c r="L8" i="1"/>
  <c r="H9" i="1"/>
  <c r="I9" i="1"/>
  <c r="J9" i="1"/>
  <c r="K9" i="1"/>
  <c r="L9" i="1"/>
  <c r="H10" i="1"/>
  <c r="I10" i="1"/>
  <c r="J10" i="1"/>
  <c r="K10" i="1"/>
  <c r="L10" i="1"/>
  <c r="H11" i="1"/>
  <c r="I11" i="1"/>
  <c r="J11" i="1"/>
  <c r="K11" i="1"/>
  <c r="L11" i="1"/>
  <c r="H12" i="1"/>
  <c r="I12" i="1"/>
  <c r="J12" i="1"/>
  <c r="K12" i="1"/>
  <c r="L12" i="1"/>
  <c r="H13" i="1"/>
  <c r="I13" i="1"/>
  <c r="J13" i="1"/>
  <c r="K13" i="1"/>
  <c r="L13" i="1"/>
  <c r="H14" i="1"/>
  <c r="I14" i="1"/>
  <c r="J14" i="1"/>
  <c r="K14" i="1"/>
  <c r="L14" i="1"/>
  <c r="H15" i="1"/>
  <c r="I15" i="1"/>
  <c r="J15" i="1"/>
  <c r="K15" i="1"/>
  <c r="L15" i="1"/>
  <c r="H16" i="1"/>
  <c r="I16" i="1"/>
  <c r="J16" i="1"/>
  <c r="K16" i="1"/>
  <c r="L16" i="1"/>
  <c r="H17" i="1"/>
  <c r="I17" i="1"/>
  <c r="J17" i="1"/>
  <c r="K17" i="1"/>
  <c r="L17" i="1"/>
  <c r="H18" i="1"/>
  <c r="I18" i="1"/>
  <c r="J18" i="1"/>
  <c r="K18" i="1"/>
  <c r="L18" i="1"/>
  <c r="H19" i="1"/>
  <c r="I19" i="1"/>
  <c r="J19" i="1"/>
  <c r="K19" i="1"/>
  <c r="L19" i="1"/>
  <c r="H20" i="1"/>
  <c r="I20" i="1"/>
  <c r="J20" i="1"/>
  <c r="K20" i="1"/>
  <c r="L20" i="1"/>
  <c r="H21" i="1"/>
  <c r="I21" i="1"/>
  <c r="J21" i="1"/>
  <c r="K21" i="1"/>
  <c r="L21" i="1"/>
  <c r="H22" i="1"/>
  <c r="I22" i="1"/>
  <c r="J22" i="1"/>
  <c r="K22" i="1"/>
  <c r="L22" i="1"/>
  <c r="H23" i="1"/>
  <c r="I23" i="1"/>
  <c r="J23" i="1"/>
  <c r="K23" i="1"/>
  <c r="L23" i="1"/>
  <c r="H24" i="1"/>
  <c r="I24" i="1"/>
  <c r="J24" i="1"/>
  <c r="K24" i="1"/>
  <c r="L24" i="1"/>
  <c r="H25" i="1"/>
  <c r="I25" i="1"/>
  <c r="J25" i="1"/>
  <c r="K25" i="1"/>
  <c r="L25" i="1"/>
  <c r="H26" i="1"/>
  <c r="I26" i="1"/>
  <c r="J26" i="1"/>
  <c r="K26" i="1"/>
  <c r="L26" i="1"/>
  <c r="H27" i="1"/>
  <c r="I27" i="1"/>
  <c r="J27" i="1"/>
  <c r="K27" i="1"/>
  <c r="L27" i="1"/>
  <c r="H28" i="1"/>
  <c r="I28" i="1"/>
  <c r="J28" i="1"/>
  <c r="K28" i="1"/>
  <c r="L28" i="1"/>
  <c r="H29" i="1"/>
  <c r="I29" i="1"/>
  <c r="J29" i="1"/>
  <c r="K29" i="1"/>
  <c r="L29" i="1"/>
  <c r="H30" i="1"/>
  <c r="I30" i="1"/>
  <c r="J30" i="1"/>
  <c r="K30" i="1"/>
  <c r="L30" i="1"/>
  <c r="H31" i="1"/>
  <c r="I31" i="1"/>
  <c r="J31" i="1"/>
  <c r="K31" i="1"/>
  <c r="L31" i="1"/>
  <c r="H32" i="1"/>
  <c r="I32" i="1"/>
  <c r="J32" i="1"/>
  <c r="K32" i="1"/>
  <c r="L32" i="1"/>
  <c r="H33" i="1"/>
  <c r="I33" i="1"/>
  <c r="J33" i="1"/>
  <c r="K33" i="1"/>
  <c r="L33" i="1"/>
  <c r="H34" i="1"/>
  <c r="I34" i="1"/>
  <c r="J34" i="1"/>
  <c r="K34" i="1"/>
  <c r="L34" i="1"/>
  <c r="H35" i="1"/>
  <c r="I35" i="1"/>
  <c r="J35" i="1"/>
  <c r="K35" i="1"/>
  <c r="L35" i="1"/>
  <c r="H36" i="1"/>
  <c r="I36" i="1"/>
  <c r="J36" i="1"/>
  <c r="K36" i="1"/>
  <c r="L36" i="1"/>
  <c r="H37" i="1"/>
  <c r="I37" i="1"/>
  <c r="J37" i="1"/>
  <c r="K37" i="1"/>
  <c r="L37" i="1"/>
  <c r="H38" i="1"/>
  <c r="I38" i="1"/>
  <c r="J38" i="1"/>
  <c r="K38" i="1"/>
  <c r="L38" i="1"/>
  <c r="H39" i="1"/>
  <c r="I39" i="1"/>
  <c r="J39" i="1"/>
  <c r="K39" i="1"/>
  <c r="L39" i="1"/>
  <c r="H40" i="1"/>
  <c r="I40" i="1"/>
  <c r="J40" i="1"/>
  <c r="K40" i="1"/>
  <c r="L40" i="1"/>
  <c r="H41" i="1"/>
  <c r="I41" i="1"/>
  <c r="J41" i="1"/>
  <c r="K41" i="1"/>
  <c r="L41" i="1"/>
  <c r="H42" i="1"/>
  <c r="I42" i="1"/>
  <c r="J42" i="1"/>
  <c r="K42" i="1"/>
  <c r="L42" i="1"/>
  <c r="H43" i="1"/>
  <c r="I43" i="1"/>
  <c r="J43" i="1"/>
  <c r="K43" i="1"/>
  <c r="L43" i="1"/>
  <c r="H44" i="1"/>
  <c r="I44" i="1"/>
  <c r="J44" i="1"/>
  <c r="K44" i="1"/>
  <c r="L44" i="1"/>
  <c r="H45" i="1"/>
  <c r="I45" i="1"/>
  <c r="J45" i="1"/>
  <c r="K45" i="1"/>
  <c r="L45" i="1"/>
  <c r="H46" i="1"/>
  <c r="I46" i="1"/>
  <c r="J46" i="1"/>
  <c r="K46" i="1"/>
  <c r="L46" i="1"/>
  <c r="H47" i="1"/>
  <c r="I47" i="1"/>
  <c r="J47" i="1"/>
  <c r="K47" i="1"/>
  <c r="L47" i="1"/>
  <c r="H48" i="1"/>
  <c r="I48" i="1"/>
  <c r="J48" i="1"/>
  <c r="K48" i="1"/>
  <c r="L48" i="1"/>
  <c r="H49" i="1"/>
  <c r="I49" i="1"/>
  <c r="J49" i="1"/>
  <c r="K49" i="1"/>
  <c r="L49" i="1"/>
  <c r="H50" i="1"/>
  <c r="I50" i="1"/>
  <c r="J50" i="1"/>
  <c r="K50" i="1"/>
  <c r="L50" i="1"/>
  <c r="H51" i="1"/>
  <c r="I51" i="1"/>
  <c r="J51" i="1"/>
  <c r="K51" i="1"/>
  <c r="L51" i="1"/>
  <c r="H52" i="1"/>
  <c r="I52" i="1"/>
  <c r="J52" i="1"/>
  <c r="K52" i="1"/>
  <c r="L52" i="1"/>
  <c r="H53" i="1"/>
  <c r="I53" i="1"/>
  <c r="J53" i="1"/>
  <c r="K53" i="1"/>
  <c r="L53" i="1"/>
  <c r="H54" i="1"/>
  <c r="I54" i="1"/>
  <c r="J54" i="1"/>
  <c r="K54" i="1"/>
  <c r="L54" i="1"/>
  <c r="H55" i="1"/>
  <c r="I55" i="1"/>
  <c r="J55" i="1"/>
  <c r="K55" i="1"/>
  <c r="L55" i="1"/>
  <c r="H56" i="1"/>
  <c r="I56" i="1"/>
  <c r="J56" i="1"/>
  <c r="K56" i="1"/>
  <c r="L56" i="1"/>
  <c r="H57" i="1"/>
  <c r="I57" i="1"/>
  <c r="J57" i="1"/>
  <c r="K57" i="1"/>
  <c r="L57" i="1"/>
  <c r="H58" i="1"/>
  <c r="I58" i="1"/>
  <c r="J58" i="1"/>
  <c r="K58" i="1"/>
  <c r="L58" i="1"/>
  <c r="H59" i="1"/>
  <c r="I59" i="1"/>
  <c r="J59" i="1"/>
  <c r="K59" i="1"/>
  <c r="L59" i="1"/>
  <c r="H60" i="1"/>
  <c r="I60" i="1"/>
  <c r="J60" i="1"/>
  <c r="K60" i="1"/>
  <c r="L60" i="1"/>
  <c r="H61" i="1"/>
  <c r="I61" i="1"/>
  <c r="J61" i="1"/>
  <c r="K61" i="1"/>
  <c r="L61" i="1"/>
  <c r="H62" i="1"/>
  <c r="I62" i="1"/>
  <c r="J62" i="1"/>
  <c r="K62" i="1"/>
  <c r="L62" i="1"/>
  <c r="H63" i="1"/>
  <c r="I63" i="1"/>
  <c r="J63" i="1"/>
  <c r="K63" i="1"/>
  <c r="L63" i="1"/>
  <c r="H64" i="1"/>
  <c r="I64" i="1"/>
  <c r="J64" i="1"/>
  <c r="K64" i="1"/>
  <c r="L64" i="1"/>
  <c r="H65" i="1"/>
  <c r="I65" i="1"/>
  <c r="J65" i="1"/>
  <c r="K65" i="1"/>
  <c r="L65" i="1"/>
  <c r="H66" i="1"/>
  <c r="I66" i="1"/>
  <c r="J66" i="1"/>
  <c r="K66" i="1"/>
  <c r="L66" i="1"/>
  <c r="H67" i="1"/>
  <c r="I67" i="1"/>
  <c r="J67" i="1"/>
  <c r="K67" i="1"/>
  <c r="L67" i="1"/>
  <c r="H68" i="1"/>
  <c r="I68" i="1"/>
  <c r="J68" i="1"/>
  <c r="K68" i="1"/>
  <c r="L68" i="1"/>
  <c r="H69" i="1"/>
  <c r="I69" i="1"/>
  <c r="J69" i="1"/>
  <c r="K69" i="1"/>
  <c r="L69" i="1"/>
  <c r="H70" i="1"/>
  <c r="I70" i="1"/>
  <c r="J70" i="1"/>
  <c r="K70" i="1"/>
  <c r="L70" i="1"/>
  <c r="H71" i="1"/>
  <c r="I71" i="1"/>
  <c r="J71" i="1"/>
  <c r="K71" i="1"/>
  <c r="L71" i="1"/>
  <c r="H72" i="1"/>
  <c r="I72" i="1"/>
  <c r="J72" i="1"/>
  <c r="K72" i="1"/>
  <c r="L72" i="1"/>
  <c r="H73" i="1"/>
  <c r="I73" i="1"/>
  <c r="J73" i="1"/>
  <c r="K73" i="1"/>
  <c r="L73" i="1"/>
  <c r="H74" i="1"/>
  <c r="I74" i="1"/>
  <c r="J74" i="1"/>
  <c r="K74" i="1"/>
  <c r="L74" i="1"/>
  <c r="H75" i="1"/>
  <c r="I75" i="1"/>
  <c r="J75" i="1"/>
  <c r="K75" i="1"/>
  <c r="L75" i="1"/>
  <c r="H76" i="1"/>
  <c r="I76" i="1"/>
  <c r="J76" i="1"/>
  <c r="K76" i="1"/>
  <c r="L76" i="1"/>
  <c r="H77" i="1"/>
  <c r="I77" i="1"/>
  <c r="J77" i="1"/>
  <c r="K77" i="1"/>
  <c r="L77" i="1"/>
  <c r="H78" i="1"/>
  <c r="I78" i="1"/>
  <c r="J78" i="1"/>
  <c r="K78" i="1"/>
  <c r="L78" i="1"/>
  <c r="H79" i="1"/>
  <c r="I79" i="1"/>
  <c r="J79" i="1"/>
  <c r="K79" i="1"/>
  <c r="L79" i="1"/>
  <c r="H80" i="1"/>
  <c r="I80" i="1"/>
  <c r="J80" i="1"/>
  <c r="K80" i="1"/>
  <c r="L80" i="1"/>
  <c r="H81" i="1"/>
  <c r="I81" i="1"/>
  <c r="J81" i="1"/>
  <c r="K81" i="1"/>
  <c r="L81" i="1"/>
  <c r="H82" i="1"/>
  <c r="I82" i="1"/>
  <c r="J82" i="1"/>
  <c r="K82" i="1"/>
  <c r="L82" i="1"/>
  <c r="H83" i="1"/>
  <c r="I83" i="1"/>
  <c r="J83" i="1"/>
  <c r="K83" i="1"/>
  <c r="L83" i="1"/>
  <c r="H84" i="1"/>
  <c r="I84" i="1"/>
  <c r="J84" i="1"/>
  <c r="K84" i="1"/>
  <c r="L84" i="1"/>
  <c r="H85" i="1"/>
  <c r="I85" i="1"/>
  <c r="J85" i="1"/>
  <c r="K85" i="1"/>
  <c r="L85" i="1"/>
  <c r="H86" i="1"/>
  <c r="I86" i="1"/>
  <c r="J86" i="1"/>
  <c r="K86" i="1"/>
  <c r="L86" i="1"/>
  <c r="H87" i="1"/>
  <c r="I87" i="1"/>
  <c r="J87" i="1"/>
  <c r="K87" i="1"/>
  <c r="L87" i="1"/>
  <c r="H88" i="1"/>
  <c r="I88" i="1"/>
  <c r="J88" i="1"/>
  <c r="K88" i="1"/>
  <c r="L88" i="1"/>
  <c r="H89" i="1"/>
  <c r="I89" i="1"/>
  <c r="J89" i="1"/>
  <c r="K89" i="1"/>
  <c r="L89" i="1"/>
  <c r="H90" i="1"/>
  <c r="I90" i="1"/>
  <c r="J90" i="1"/>
  <c r="K90" i="1"/>
  <c r="L90" i="1"/>
  <c r="H91" i="1"/>
  <c r="I91" i="1"/>
  <c r="J91" i="1"/>
  <c r="K91" i="1"/>
  <c r="L91" i="1"/>
  <c r="H92" i="1"/>
  <c r="I92" i="1"/>
  <c r="J92" i="1"/>
  <c r="K92" i="1"/>
  <c r="L92" i="1"/>
  <c r="H93" i="1"/>
  <c r="I93" i="1"/>
  <c r="J93" i="1"/>
  <c r="K93" i="1"/>
  <c r="L93" i="1"/>
  <c r="H94" i="1"/>
  <c r="I94" i="1"/>
  <c r="J94" i="1"/>
  <c r="K94" i="1"/>
  <c r="L94" i="1"/>
  <c r="H95" i="1"/>
  <c r="I95" i="1"/>
  <c r="J95" i="1"/>
  <c r="K95" i="1"/>
  <c r="L95" i="1"/>
  <c r="H96" i="1"/>
  <c r="I96" i="1"/>
  <c r="J96" i="1"/>
  <c r="K96" i="1"/>
  <c r="L96" i="1"/>
  <c r="H97" i="1"/>
  <c r="I97" i="1"/>
  <c r="J97" i="1"/>
  <c r="K97" i="1"/>
  <c r="L97" i="1"/>
  <c r="H98" i="1"/>
  <c r="I98" i="1"/>
  <c r="J98" i="1"/>
  <c r="K98" i="1"/>
  <c r="L98" i="1"/>
  <c r="H99" i="1"/>
  <c r="I99" i="1"/>
  <c r="J99" i="1"/>
  <c r="K99" i="1"/>
  <c r="L99" i="1"/>
  <c r="H100" i="1"/>
  <c r="I100" i="1"/>
  <c r="J100" i="1"/>
  <c r="K100" i="1"/>
  <c r="L100" i="1"/>
  <c r="H101" i="1"/>
  <c r="I101" i="1"/>
  <c r="J101" i="1"/>
  <c r="K101" i="1"/>
  <c r="L101" i="1"/>
  <c r="H102" i="1"/>
  <c r="I102" i="1"/>
  <c r="J102" i="1"/>
  <c r="K102" i="1"/>
  <c r="L102" i="1"/>
  <c r="H103" i="1"/>
  <c r="I103" i="1"/>
  <c r="J103" i="1"/>
  <c r="K103" i="1"/>
  <c r="L103" i="1"/>
  <c r="H104" i="1"/>
  <c r="I104" i="1"/>
  <c r="J104" i="1"/>
  <c r="K104" i="1"/>
  <c r="L104" i="1"/>
  <c r="H105" i="1"/>
  <c r="I105" i="1"/>
  <c r="J105" i="1"/>
  <c r="K105" i="1"/>
  <c r="L105" i="1"/>
  <c r="H106" i="1"/>
  <c r="I106" i="1"/>
  <c r="J106" i="1"/>
  <c r="K106" i="1"/>
  <c r="L106" i="1"/>
  <c r="H107" i="1"/>
  <c r="I107" i="1"/>
  <c r="J107" i="1"/>
  <c r="K107" i="1"/>
  <c r="L107" i="1"/>
  <c r="H108" i="1"/>
  <c r="I108" i="1"/>
  <c r="J108" i="1"/>
  <c r="K108" i="1"/>
  <c r="L108" i="1"/>
  <c r="H109" i="1"/>
  <c r="I109" i="1"/>
  <c r="J109" i="1"/>
  <c r="K109" i="1"/>
  <c r="L109" i="1"/>
  <c r="H110" i="1"/>
  <c r="I110" i="1"/>
  <c r="J110" i="1"/>
  <c r="K110" i="1"/>
  <c r="L110" i="1"/>
  <c r="H111" i="1"/>
  <c r="I111" i="1"/>
  <c r="J111" i="1"/>
  <c r="K111" i="1"/>
  <c r="L111" i="1"/>
  <c r="H112" i="1"/>
  <c r="I112" i="1"/>
  <c r="J112" i="1"/>
  <c r="K112" i="1"/>
  <c r="L112" i="1"/>
  <c r="H113" i="1"/>
  <c r="I113" i="1"/>
  <c r="J113" i="1"/>
  <c r="K113" i="1"/>
  <c r="L113" i="1"/>
  <c r="H114" i="1"/>
  <c r="I114" i="1"/>
  <c r="J114" i="1"/>
  <c r="K114" i="1"/>
  <c r="L114" i="1"/>
  <c r="H115" i="1"/>
  <c r="I115" i="1"/>
  <c r="J115" i="1"/>
  <c r="K115" i="1"/>
  <c r="L115" i="1"/>
  <c r="H116" i="1"/>
  <c r="I116" i="1"/>
  <c r="J116" i="1"/>
  <c r="K116" i="1"/>
  <c r="L116" i="1"/>
  <c r="H117" i="1"/>
  <c r="I117" i="1"/>
  <c r="J117" i="1"/>
  <c r="K117" i="1"/>
  <c r="L117" i="1"/>
  <c r="H118" i="1"/>
  <c r="I118" i="1"/>
  <c r="J118" i="1"/>
  <c r="K118" i="1"/>
  <c r="L118" i="1"/>
  <c r="H119" i="1"/>
  <c r="I119" i="1"/>
  <c r="J119" i="1"/>
  <c r="K119" i="1"/>
  <c r="L119" i="1"/>
  <c r="H120" i="1"/>
  <c r="I120" i="1"/>
  <c r="J120" i="1"/>
  <c r="K120" i="1"/>
  <c r="L120" i="1"/>
  <c r="H121" i="1"/>
  <c r="I121" i="1"/>
  <c r="J121" i="1"/>
  <c r="K121" i="1"/>
  <c r="L121" i="1"/>
  <c r="H122" i="1"/>
  <c r="I122" i="1"/>
  <c r="J122" i="1"/>
  <c r="K122" i="1"/>
  <c r="L122" i="1"/>
  <c r="H123" i="1"/>
  <c r="I123" i="1"/>
  <c r="J123" i="1"/>
  <c r="K123" i="1"/>
  <c r="L123" i="1"/>
  <c r="H124" i="1"/>
  <c r="I124" i="1"/>
  <c r="J124" i="1"/>
  <c r="K124" i="1"/>
  <c r="L124" i="1"/>
  <c r="H125" i="1"/>
  <c r="I125" i="1"/>
  <c r="J125" i="1"/>
  <c r="K125" i="1"/>
  <c r="L125" i="1"/>
  <c r="H126" i="1"/>
  <c r="I126" i="1"/>
  <c r="J126" i="1"/>
  <c r="K126" i="1"/>
  <c r="L126" i="1"/>
  <c r="H127" i="1"/>
  <c r="I127" i="1"/>
  <c r="J127" i="1"/>
  <c r="K127" i="1"/>
  <c r="L127" i="1"/>
  <c r="H128" i="1"/>
  <c r="I128" i="1"/>
  <c r="J128" i="1"/>
  <c r="K128" i="1"/>
  <c r="L128" i="1"/>
  <c r="H129" i="1"/>
  <c r="I129" i="1"/>
  <c r="J129" i="1"/>
  <c r="K129" i="1"/>
  <c r="L129" i="1"/>
  <c r="H130" i="1"/>
  <c r="I130" i="1"/>
  <c r="J130" i="1"/>
  <c r="K130" i="1"/>
  <c r="L130" i="1"/>
  <c r="H131" i="1"/>
  <c r="I131" i="1"/>
  <c r="J131" i="1"/>
  <c r="K131" i="1"/>
  <c r="L131" i="1"/>
  <c r="H132" i="1"/>
  <c r="I132" i="1"/>
  <c r="J132" i="1"/>
  <c r="K132" i="1"/>
  <c r="L132" i="1"/>
  <c r="H133" i="1"/>
  <c r="I133" i="1"/>
  <c r="J133" i="1"/>
  <c r="K133" i="1"/>
  <c r="L133" i="1"/>
  <c r="H134" i="1"/>
  <c r="I134" i="1"/>
  <c r="J134" i="1"/>
  <c r="K134" i="1"/>
  <c r="L134" i="1"/>
  <c r="H135" i="1"/>
  <c r="I135" i="1"/>
  <c r="J135" i="1"/>
  <c r="K135" i="1"/>
  <c r="L135" i="1"/>
  <c r="H136" i="1"/>
  <c r="I136" i="1"/>
  <c r="J136" i="1"/>
  <c r="K136" i="1"/>
  <c r="L136" i="1"/>
  <c r="H137" i="1"/>
  <c r="I137" i="1"/>
  <c r="J137" i="1"/>
  <c r="K137" i="1"/>
  <c r="L137" i="1"/>
  <c r="H138" i="1"/>
  <c r="I138" i="1"/>
  <c r="J138" i="1"/>
  <c r="K138" i="1"/>
  <c r="L138" i="1"/>
  <c r="H139" i="1"/>
  <c r="I139" i="1"/>
  <c r="J139" i="1"/>
  <c r="K139" i="1"/>
  <c r="L139" i="1"/>
  <c r="H140" i="1"/>
  <c r="I140" i="1"/>
  <c r="J140" i="1"/>
  <c r="K140" i="1"/>
  <c r="L140" i="1"/>
  <c r="H141" i="1"/>
  <c r="I141" i="1"/>
  <c r="J141" i="1"/>
  <c r="K141" i="1"/>
  <c r="L141" i="1"/>
  <c r="H142" i="1"/>
  <c r="I142" i="1"/>
  <c r="J142" i="1"/>
  <c r="K142" i="1"/>
  <c r="L142" i="1"/>
  <c r="H143" i="1"/>
  <c r="I143" i="1"/>
  <c r="J143" i="1"/>
  <c r="K143" i="1"/>
  <c r="L143" i="1"/>
  <c r="H144" i="1"/>
  <c r="I144" i="1"/>
  <c r="J144" i="1"/>
  <c r="K144" i="1"/>
  <c r="L144" i="1"/>
  <c r="H145" i="1"/>
  <c r="I145" i="1"/>
  <c r="J145" i="1"/>
  <c r="K145" i="1"/>
  <c r="L145" i="1"/>
  <c r="H146" i="1"/>
  <c r="I146" i="1"/>
  <c r="J146" i="1"/>
  <c r="K146" i="1"/>
  <c r="L146" i="1"/>
  <c r="H147" i="1"/>
  <c r="I147" i="1"/>
  <c r="J147" i="1"/>
  <c r="K147" i="1"/>
  <c r="L147" i="1"/>
  <c r="H148" i="1"/>
  <c r="I148" i="1"/>
  <c r="J148" i="1"/>
  <c r="K148" i="1"/>
  <c r="L148" i="1"/>
  <c r="H149" i="1"/>
  <c r="I149" i="1"/>
  <c r="J149" i="1"/>
  <c r="K149" i="1"/>
  <c r="L149" i="1"/>
  <c r="H150" i="1"/>
  <c r="I150" i="1"/>
  <c r="J150" i="1"/>
  <c r="K150" i="1"/>
  <c r="L150" i="1"/>
  <c r="H151" i="1"/>
  <c r="I151" i="1"/>
  <c r="J151" i="1"/>
  <c r="K151" i="1"/>
  <c r="L151" i="1"/>
  <c r="H152" i="1"/>
  <c r="I152" i="1"/>
  <c r="J152" i="1"/>
  <c r="K152" i="1"/>
  <c r="L152" i="1"/>
  <c r="H153" i="1"/>
  <c r="I153" i="1"/>
  <c r="J153" i="1"/>
  <c r="K153" i="1"/>
  <c r="L153" i="1"/>
  <c r="H154" i="1"/>
  <c r="I154" i="1"/>
  <c r="J154" i="1"/>
  <c r="K154" i="1"/>
  <c r="L154" i="1"/>
  <c r="H155" i="1"/>
  <c r="I155" i="1"/>
  <c r="J155" i="1"/>
  <c r="K155" i="1"/>
  <c r="L155" i="1"/>
  <c r="H156" i="1"/>
  <c r="I156" i="1"/>
  <c r="J156" i="1"/>
  <c r="K156" i="1"/>
  <c r="L156" i="1"/>
  <c r="H157" i="1"/>
  <c r="I157" i="1"/>
  <c r="J157" i="1"/>
  <c r="K157" i="1"/>
  <c r="L157" i="1"/>
  <c r="H158" i="1"/>
  <c r="I158" i="1"/>
  <c r="J158" i="1"/>
  <c r="K158" i="1"/>
  <c r="L158" i="1"/>
  <c r="H159" i="1"/>
  <c r="I159" i="1"/>
  <c r="J159" i="1"/>
  <c r="K159" i="1"/>
  <c r="L159" i="1"/>
  <c r="H160" i="1"/>
  <c r="I160" i="1"/>
  <c r="J160" i="1"/>
  <c r="K160" i="1"/>
  <c r="L160" i="1"/>
  <c r="H161" i="1"/>
  <c r="I161" i="1"/>
  <c r="J161" i="1"/>
  <c r="K161" i="1"/>
  <c r="L161" i="1"/>
  <c r="H162" i="1"/>
  <c r="I162" i="1"/>
  <c r="J162" i="1"/>
  <c r="K162" i="1"/>
  <c r="L162" i="1"/>
  <c r="H163" i="1"/>
  <c r="I163" i="1"/>
  <c r="J163" i="1"/>
  <c r="K163" i="1"/>
  <c r="L163" i="1"/>
  <c r="H164" i="1"/>
  <c r="I164" i="1"/>
  <c r="J164" i="1"/>
  <c r="K164" i="1"/>
  <c r="L164" i="1"/>
  <c r="H165" i="1"/>
  <c r="I165" i="1"/>
  <c r="J165" i="1"/>
  <c r="K165" i="1"/>
  <c r="L165" i="1"/>
  <c r="H166" i="1"/>
  <c r="I166" i="1"/>
  <c r="J166" i="1"/>
  <c r="K166" i="1"/>
  <c r="L166" i="1"/>
  <c r="H167" i="1"/>
  <c r="I167" i="1"/>
  <c r="J167" i="1"/>
  <c r="K167" i="1"/>
  <c r="L167" i="1"/>
  <c r="H168" i="1"/>
  <c r="I168" i="1"/>
  <c r="J168" i="1"/>
  <c r="K168" i="1"/>
  <c r="L168" i="1"/>
  <c r="H169" i="1"/>
  <c r="I169" i="1"/>
  <c r="J169" i="1"/>
  <c r="K169" i="1"/>
  <c r="L169" i="1"/>
  <c r="H170" i="1"/>
  <c r="I170" i="1"/>
  <c r="J170" i="1"/>
  <c r="K170" i="1"/>
  <c r="L170" i="1"/>
  <c r="H171" i="1"/>
  <c r="I171" i="1"/>
  <c r="J171" i="1"/>
  <c r="K171" i="1"/>
  <c r="L171" i="1"/>
  <c r="H172" i="1"/>
  <c r="I172" i="1"/>
  <c r="J172" i="1"/>
  <c r="K172" i="1"/>
  <c r="L172" i="1"/>
  <c r="H173" i="1"/>
  <c r="I173" i="1"/>
  <c r="J173" i="1"/>
  <c r="K173" i="1"/>
  <c r="L173" i="1"/>
  <c r="H174" i="1"/>
  <c r="I174" i="1"/>
  <c r="J174" i="1"/>
  <c r="K174" i="1"/>
  <c r="L174" i="1"/>
  <c r="H175" i="1"/>
  <c r="I175" i="1"/>
  <c r="J175" i="1"/>
  <c r="K175" i="1"/>
  <c r="L175" i="1"/>
  <c r="H176" i="1"/>
  <c r="I176" i="1"/>
  <c r="J176" i="1"/>
  <c r="K176" i="1"/>
  <c r="L176" i="1"/>
  <c r="H177" i="1"/>
  <c r="I177" i="1"/>
  <c r="J177" i="1"/>
  <c r="K177" i="1"/>
  <c r="L177" i="1"/>
  <c r="H178" i="1"/>
  <c r="I178" i="1"/>
  <c r="J178" i="1"/>
  <c r="K178" i="1"/>
  <c r="L178" i="1"/>
  <c r="H179" i="1"/>
  <c r="I179" i="1"/>
  <c r="J179" i="1"/>
  <c r="K179" i="1"/>
  <c r="L179" i="1"/>
  <c r="H180" i="1"/>
  <c r="I180" i="1"/>
  <c r="J180" i="1"/>
  <c r="K180" i="1"/>
  <c r="L180" i="1"/>
  <c r="H181" i="1"/>
  <c r="I181" i="1"/>
  <c r="J181" i="1"/>
  <c r="K181" i="1"/>
  <c r="L181" i="1"/>
  <c r="H182" i="1"/>
  <c r="I182" i="1"/>
  <c r="J182" i="1"/>
  <c r="K182" i="1"/>
  <c r="L182" i="1"/>
  <c r="H183" i="1"/>
  <c r="I183" i="1"/>
  <c r="J183" i="1"/>
  <c r="K183" i="1"/>
  <c r="L183" i="1"/>
  <c r="H184" i="1"/>
  <c r="I184" i="1"/>
  <c r="J184" i="1"/>
  <c r="K184" i="1"/>
  <c r="L184" i="1"/>
  <c r="H185" i="1"/>
  <c r="I185" i="1"/>
  <c r="J185" i="1"/>
  <c r="K185" i="1"/>
  <c r="L185" i="1"/>
  <c r="H186" i="1"/>
  <c r="I186" i="1"/>
  <c r="J186" i="1"/>
  <c r="K186" i="1"/>
  <c r="L186" i="1"/>
  <c r="H187" i="1"/>
  <c r="I187" i="1"/>
  <c r="J187" i="1"/>
  <c r="K187" i="1"/>
  <c r="L187" i="1"/>
  <c r="H188" i="1"/>
  <c r="I188" i="1"/>
  <c r="J188" i="1"/>
  <c r="K188" i="1"/>
  <c r="L188" i="1"/>
  <c r="H189" i="1"/>
  <c r="I189" i="1"/>
  <c r="J189" i="1"/>
  <c r="K189" i="1"/>
  <c r="L189" i="1"/>
  <c r="H190" i="1"/>
  <c r="I190" i="1"/>
  <c r="J190" i="1"/>
  <c r="K190" i="1"/>
  <c r="L190" i="1"/>
  <c r="H191" i="1"/>
  <c r="I191" i="1"/>
  <c r="J191" i="1"/>
  <c r="K191" i="1"/>
  <c r="L191" i="1"/>
  <c r="H192" i="1"/>
  <c r="I192" i="1"/>
  <c r="J192" i="1"/>
  <c r="K192" i="1"/>
  <c r="L192" i="1"/>
  <c r="H193" i="1"/>
  <c r="I193" i="1"/>
  <c r="J193" i="1"/>
  <c r="K193" i="1"/>
  <c r="L193" i="1"/>
  <c r="H194" i="1"/>
  <c r="I194" i="1"/>
  <c r="J194" i="1"/>
  <c r="K194" i="1"/>
  <c r="L194" i="1"/>
  <c r="H195" i="1"/>
  <c r="I195" i="1"/>
  <c r="J195" i="1"/>
  <c r="K195" i="1"/>
  <c r="L195" i="1"/>
  <c r="H196" i="1"/>
  <c r="I196" i="1"/>
  <c r="J196" i="1"/>
  <c r="K196" i="1"/>
  <c r="L196" i="1"/>
  <c r="H197" i="1"/>
  <c r="I197" i="1"/>
  <c r="J197" i="1"/>
  <c r="K197" i="1"/>
  <c r="L197" i="1"/>
  <c r="H198" i="1"/>
  <c r="I198" i="1"/>
  <c r="J198" i="1"/>
  <c r="K198" i="1"/>
  <c r="L198" i="1"/>
  <c r="H199" i="1"/>
  <c r="I199" i="1"/>
  <c r="J199" i="1"/>
  <c r="K199" i="1"/>
  <c r="L199" i="1"/>
  <c r="H200" i="1"/>
  <c r="I200" i="1"/>
  <c r="J200" i="1"/>
  <c r="K200" i="1"/>
  <c r="L200" i="1"/>
  <c r="H201" i="1"/>
  <c r="I201" i="1"/>
  <c r="J201" i="1"/>
  <c r="K201" i="1"/>
  <c r="L201" i="1"/>
  <c r="H202" i="1"/>
  <c r="I202" i="1"/>
  <c r="J202" i="1"/>
  <c r="K202" i="1"/>
  <c r="L202" i="1"/>
  <c r="H203" i="1"/>
  <c r="I203" i="1"/>
  <c r="J203" i="1"/>
  <c r="K203" i="1"/>
  <c r="L203" i="1"/>
  <c r="H204" i="1"/>
  <c r="I204" i="1"/>
  <c r="J204" i="1"/>
  <c r="K204" i="1"/>
  <c r="L204" i="1"/>
  <c r="H205" i="1"/>
  <c r="I205" i="1"/>
  <c r="J205" i="1"/>
  <c r="K205" i="1"/>
  <c r="L205" i="1"/>
  <c r="H206" i="1"/>
  <c r="I206" i="1"/>
  <c r="J206" i="1"/>
  <c r="K206" i="1"/>
  <c r="L206" i="1"/>
  <c r="H207" i="1"/>
  <c r="I207" i="1"/>
  <c r="J207" i="1"/>
  <c r="K207" i="1"/>
  <c r="L207" i="1"/>
  <c r="H208" i="1"/>
  <c r="I208" i="1"/>
  <c r="J208" i="1"/>
  <c r="K208" i="1"/>
  <c r="L208" i="1"/>
  <c r="H209" i="1"/>
  <c r="I209" i="1"/>
  <c r="J209" i="1"/>
  <c r="K209" i="1"/>
  <c r="L209" i="1"/>
  <c r="H210" i="1"/>
  <c r="I210" i="1"/>
  <c r="J210" i="1"/>
  <c r="K210" i="1"/>
  <c r="L210" i="1"/>
  <c r="H211" i="1"/>
  <c r="I211" i="1"/>
  <c r="J211" i="1"/>
  <c r="K211" i="1"/>
  <c r="L211" i="1"/>
  <c r="H212" i="1"/>
  <c r="I212" i="1"/>
  <c r="J212" i="1"/>
  <c r="K212" i="1"/>
  <c r="L212" i="1"/>
  <c r="H213" i="1"/>
  <c r="I213" i="1"/>
  <c r="J213" i="1"/>
  <c r="K213" i="1"/>
  <c r="L213" i="1"/>
  <c r="H214" i="1"/>
  <c r="I214" i="1"/>
  <c r="J214" i="1"/>
  <c r="K214" i="1"/>
  <c r="L214" i="1"/>
  <c r="H215" i="1"/>
  <c r="I215" i="1"/>
  <c r="J215" i="1"/>
  <c r="K215" i="1"/>
  <c r="L215" i="1"/>
  <c r="H216" i="1"/>
  <c r="I216" i="1"/>
  <c r="J216" i="1"/>
  <c r="K216" i="1"/>
  <c r="L216" i="1"/>
  <c r="H217" i="1"/>
  <c r="I217" i="1"/>
  <c r="J217" i="1"/>
  <c r="K217" i="1"/>
  <c r="L217" i="1"/>
  <c r="H218" i="1"/>
  <c r="I218" i="1"/>
  <c r="J218" i="1"/>
  <c r="K218" i="1"/>
  <c r="L218" i="1"/>
  <c r="H219" i="1"/>
  <c r="I219" i="1"/>
  <c r="J219" i="1"/>
  <c r="K219" i="1"/>
  <c r="L219" i="1"/>
  <c r="H220" i="1"/>
  <c r="I220" i="1"/>
  <c r="J220" i="1"/>
  <c r="K220" i="1"/>
  <c r="L220" i="1"/>
  <c r="H221" i="1"/>
  <c r="I221" i="1"/>
  <c r="J221" i="1"/>
  <c r="K221" i="1"/>
  <c r="L221" i="1"/>
  <c r="H222" i="1"/>
  <c r="I222" i="1"/>
  <c r="J222" i="1"/>
  <c r="K222" i="1"/>
  <c r="L222" i="1"/>
  <c r="H223" i="1"/>
  <c r="I223" i="1"/>
  <c r="J223" i="1"/>
  <c r="K223" i="1"/>
  <c r="L223" i="1"/>
  <c r="H224" i="1"/>
  <c r="I224" i="1"/>
  <c r="J224" i="1"/>
  <c r="K224" i="1"/>
  <c r="L224" i="1"/>
  <c r="H225" i="1"/>
  <c r="I225" i="1"/>
  <c r="J225" i="1"/>
  <c r="K225" i="1"/>
  <c r="L225" i="1"/>
  <c r="H226" i="1"/>
  <c r="I226" i="1"/>
  <c r="J226" i="1"/>
  <c r="K226" i="1"/>
  <c r="L226" i="1"/>
  <c r="H227" i="1"/>
  <c r="I227" i="1"/>
  <c r="J227" i="1"/>
  <c r="K227" i="1"/>
  <c r="L227" i="1"/>
  <c r="H228" i="1"/>
  <c r="I228" i="1"/>
  <c r="J228" i="1"/>
  <c r="K228" i="1"/>
  <c r="L228" i="1"/>
  <c r="H229" i="1"/>
  <c r="I229" i="1"/>
  <c r="J229" i="1"/>
  <c r="K229" i="1"/>
  <c r="L229" i="1"/>
  <c r="H230" i="1"/>
  <c r="I230" i="1"/>
  <c r="J230" i="1"/>
  <c r="K230" i="1"/>
  <c r="L230" i="1"/>
  <c r="H231" i="1"/>
  <c r="I231" i="1"/>
  <c r="J231" i="1"/>
  <c r="K231" i="1"/>
  <c r="L231" i="1"/>
  <c r="H232" i="1"/>
  <c r="I232" i="1"/>
  <c r="J232" i="1"/>
  <c r="K232" i="1"/>
  <c r="L232" i="1"/>
  <c r="H233" i="1"/>
  <c r="I233" i="1"/>
  <c r="J233" i="1"/>
  <c r="K233" i="1"/>
  <c r="L233" i="1"/>
  <c r="H234" i="1"/>
  <c r="I234" i="1"/>
  <c r="J234" i="1"/>
  <c r="K234" i="1"/>
  <c r="L234" i="1"/>
  <c r="H235" i="1"/>
  <c r="I235" i="1"/>
  <c r="J235" i="1"/>
  <c r="K235" i="1"/>
  <c r="L235" i="1"/>
  <c r="H236" i="1"/>
  <c r="I236" i="1"/>
  <c r="J236" i="1"/>
  <c r="K236" i="1"/>
  <c r="L236" i="1"/>
  <c r="H237" i="1"/>
  <c r="I237" i="1"/>
  <c r="J237" i="1"/>
  <c r="K237" i="1"/>
  <c r="L237" i="1"/>
  <c r="H238" i="1"/>
  <c r="I238" i="1"/>
  <c r="J238" i="1"/>
  <c r="K238" i="1"/>
  <c r="L238" i="1"/>
  <c r="H239" i="1"/>
  <c r="I239" i="1"/>
  <c r="J239" i="1"/>
  <c r="K239" i="1"/>
  <c r="L239" i="1"/>
  <c r="H240" i="1"/>
  <c r="I240" i="1"/>
  <c r="J240" i="1"/>
  <c r="K240" i="1"/>
  <c r="L240" i="1"/>
  <c r="H241" i="1"/>
  <c r="I241" i="1"/>
  <c r="J241" i="1"/>
  <c r="K241" i="1"/>
  <c r="L241" i="1"/>
  <c r="H242" i="1"/>
  <c r="I242" i="1"/>
  <c r="J242" i="1"/>
  <c r="K242" i="1"/>
  <c r="L242" i="1"/>
  <c r="H243" i="1"/>
  <c r="I243" i="1"/>
  <c r="J243" i="1"/>
  <c r="K243" i="1"/>
  <c r="L243" i="1"/>
  <c r="H244" i="1"/>
  <c r="I244" i="1"/>
  <c r="J244" i="1"/>
  <c r="K244" i="1"/>
  <c r="L244" i="1"/>
  <c r="H245" i="1"/>
  <c r="I245" i="1"/>
  <c r="J245" i="1"/>
  <c r="K245" i="1"/>
  <c r="L245" i="1"/>
  <c r="H246" i="1"/>
  <c r="I246" i="1"/>
  <c r="J246" i="1"/>
  <c r="K246" i="1"/>
  <c r="L246" i="1"/>
  <c r="H247" i="1"/>
  <c r="I247" i="1"/>
  <c r="J247" i="1"/>
  <c r="K247" i="1"/>
  <c r="L247" i="1"/>
  <c r="H248" i="1"/>
  <c r="I248" i="1"/>
  <c r="J248" i="1"/>
  <c r="K248" i="1"/>
  <c r="L248" i="1"/>
  <c r="H249" i="1"/>
  <c r="I249" i="1"/>
  <c r="J249" i="1"/>
  <c r="K249" i="1"/>
  <c r="L249" i="1"/>
  <c r="H250" i="1"/>
  <c r="I250" i="1"/>
  <c r="J250" i="1"/>
  <c r="K250" i="1"/>
  <c r="L250" i="1"/>
  <c r="H251" i="1"/>
  <c r="I251" i="1"/>
  <c r="J251" i="1"/>
  <c r="K251" i="1"/>
  <c r="L251" i="1"/>
  <c r="H252" i="1"/>
  <c r="I252" i="1"/>
  <c r="J252" i="1"/>
  <c r="K252" i="1"/>
  <c r="L252" i="1"/>
  <c r="H253" i="1"/>
  <c r="I253" i="1"/>
  <c r="J253" i="1"/>
  <c r="K253" i="1"/>
  <c r="L253" i="1"/>
  <c r="H254" i="1"/>
  <c r="I254" i="1"/>
  <c r="J254" i="1"/>
  <c r="K254" i="1"/>
  <c r="L254" i="1"/>
  <c r="H255" i="1"/>
  <c r="I255" i="1"/>
  <c r="J255" i="1"/>
  <c r="K255" i="1"/>
  <c r="L255" i="1"/>
  <c r="H256" i="1"/>
  <c r="I256" i="1"/>
  <c r="J256" i="1"/>
  <c r="K256" i="1"/>
  <c r="L256" i="1"/>
  <c r="H257" i="1"/>
  <c r="I257" i="1"/>
  <c r="J257" i="1"/>
  <c r="K257" i="1"/>
  <c r="L257" i="1"/>
  <c r="H258" i="1"/>
  <c r="I258" i="1"/>
  <c r="J258" i="1"/>
  <c r="K258" i="1"/>
  <c r="L258" i="1"/>
  <c r="H259" i="1"/>
  <c r="I259" i="1"/>
  <c r="J259" i="1"/>
  <c r="K259" i="1"/>
  <c r="L259" i="1"/>
  <c r="H260" i="1"/>
  <c r="I260" i="1"/>
  <c r="J260" i="1"/>
  <c r="K260" i="1"/>
  <c r="L260" i="1"/>
  <c r="H261" i="1"/>
  <c r="I261" i="1"/>
  <c r="J261" i="1"/>
  <c r="K261" i="1"/>
  <c r="L261" i="1"/>
  <c r="H262" i="1"/>
  <c r="I262" i="1"/>
  <c r="J262" i="1"/>
  <c r="K262" i="1"/>
  <c r="L262" i="1"/>
  <c r="H263" i="1"/>
  <c r="I263" i="1"/>
  <c r="J263" i="1"/>
  <c r="K263" i="1"/>
  <c r="L263" i="1"/>
  <c r="H264" i="1"/>
  <c r="I264" i="1"/>
  <c r="J264" i="1"/>
  <c r="K264" i="1"/>
  <c r="L264" i="1"/>
  <c r="H265" i="1"/>
  <c r="I265" i="1"/>
  <c r="J265" i="1"/>
  <c r="K265" i="1"/>
  <c r="L265" i="1"/>
  <c r="H266" i="1"/>
  <c r="I266" i="1"/>
  <c r="J266" i="1"/>
  <c r="K266" i="1"/>
  <c r="L266" i="1"/>
  <c r="H267" i="1"/>
  <c r="I267" i="1"/>
  <c r="J267" i="1"/>
  <c r="K267" i="1"/>
  <c r="L267" i="1"/>
  <c r="H268" i="1"/>
  <c r="I268" i="1"/>
  <c r="J268" i="1"/>
  <c r="K268" i="1"/>
  <c r="L268" i="1"/>
  <c r="H269" i="1"/>
  <c r="I269" i="1"/>
  <c r="J269" i="1"/>
  <c r="K269" i="1"/>
  <c r="L269" i="1"/>
  <c r="H270" i="1"/>
  <c r="I270" i="1"/>
  <c r="J270" i="1"/>
  <c r="K270" i="1"/>
  <c r="L270" i="1"/>
  <c r="H271" i="1"/>
  <c r="I271" i="1"/>
  <c r="J271" i="1"/>
  <c r="K271" i="1"/>
  <c r="L271" i="1"/>
  <c r="H272" i="1"/>
  <c r="I272" i="1"/>
  <c r="J272" i="1"/>
  <c r="K272" i="1"/>
  <c r="L272" i="1"/>
  <c r="H273" i="1"/>
  <c r="I273" i="1"/>
  <c r="J273" i="1"/>
  <c r="K273" i="1"/>
  <c r="L273" i="1"/>
  <c r="H3" i="1"/>
  <c r="I3" i="1"/>
  <c r="J3" i="1"/>
  <c r="K3" i="1"/>
  <c r="L3" i="1"/>
  <c r="H4" i="1"/>
  <c r="I4" i="1"/>
  <c r="J4" i="1"/>
  <c r="K4" i="1"/>
  <c r="L4" i="1"/>
  <c r="H5" i="1"/>
  <c r="I5" i="1"/>
  <c r="J5" i="1"/>
  <c r="K5" i="1"/>
  <c r="L5" i="1"/>
  <c r="H6" i="1"/>
  <c r="I6" i="1"/>
  <c r="J6" i="1"/>
  <c r="K6" i="1"/>
  <c r="L6" i="1"/>
  <c r="H2" i="1"/>
  <c r="I2" i="1"/>
  <c r="J2" i="1"/>
  <c r="K2" i="1"/>
  <c r="L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 i="1"/>
</calcChain>
</file>

<file path=xl/sharedStrings.xml><?xml version="1.0" encoding="utf-8"?>
<sst xmlns="http://schemas.openxmlformats.org/spreadsheetml/2006/main" count="2590" uniqueCount="1101">
  <si>
    <t>Product_URL</t>
  </si>
  <si>
    <t>Name</t>
  </si>
  <si>
    <t>Overview</t>
  </si>
  <si>
    <t>302710IVCO</t>
  </si>
  <si>
    <t>302710IVCR</t>
  </si>
  <si>
    <t>302706IVFB</t>
  </si>
  <si>
    <t>406713ER5</t>
  </si>
  <si>
    <t>406717ER5</t>
  </si>
  <si>
    <t>406221ER5</t>
  </si>
  <si>
    <t>406610ER5</t>
  </si>
  <si>
    <t>406613ER5</t>
  </si>
  <si>
    <t>406121ER5</t>
  </si>
  <si>
    <t>407113BK</t>
  </si>
  <si>
    <t>407117BK</t>
  </si>
  <si>
    <t>407121BK</t>
  </si>
  <si>
    <t>502411IV</t>
  </si>
  <si>
    <t>11100EIV</t>
  </si>
  <si>
    <t>540511TR</t>
  </si>
  <si>
    <t>540512TR</t>
  </si>
  <si>
    <t>540513TR</t>
  </si>
  <si>
    <t>https://store.siahuat.com/product/10921476875#rt</t>
  </si>
  <si>
    <t>Efay Melamine 13" Mini Round Pan , Black, Little Chef</t>
  </si>
  <si>
    <t>530413BK</t>
  </si>
  <si>
    <t>https://store.siahuat.com/image-proxy/ASP/SIAHUAT/NORMAL/Shell/picture/384EF-530413BK.jpg</t>
  </si>
  <si>
    <t>https://store.siahuat.com/product/10921476876#rt</t>
  </si>
  <si>
    <t>Efay Melamine 15" Salad Wok , Black, Little Chef</t>
  </si>
  <si>
    <t>530415BK</t>
  </si>
  <si>
    <t>https://store.siahuat.com/image-proxy/ASP/SIAHUAT/NORMAL/Shell/picture/384EF-530415BK.jpg</t>
  </si>
  <si>
    <t>https://store.siahuat.com/product/10921476877#rt</t>
  </si>
  <si>
    <t>Efay Melamine 17" Salad Wok , Black, Little Chef</t>
  </si>
  <si>
    <t>530417BK</t>
  </si>
  <si>
    <t>https://store.siahuat.com/image-proxy/ASP/SIAHUAT/NORMAL/Shell/picture/384EF-530417BK.jpg</t>
  </si>
  <si>
    <t>3226TBK1</t>
  </si>
  <si>
    <t>https://store.siahuat.com/product/10921476854#rt</t>
  </si>
  <si>
    <t>Efay Melamine GN 1/2 Platter , Jean, Baker, Mela</t>
  </si>
  <si>
    <t>407812IV47</t>
  </si>
  <si>
    <t>https://store.siahuat.com/image-proxy/ASP/SIAHUAT/NORMAL/Shell/picture/384EF-407812IV47.jpg</t>
  </si>
  <si>
    <t>https://store.siahuat.com/product/10921476826#rt</t>
  </si>
  <si>
    <t>Efay Melamine GN 1/2 Slim Tray , Black With White Rim, Enamel</t>
  </si>
  <si>
    <t>https://store.siahuat.com/image-proxy/ASP/SIAHUAT/NORMAL/Shell/picture/384EF-2214123.jpg</t>
  </si>
  <si>
    <t>https://store.siahuat.com/product/10921476825#rt</t>
  </si>
  <si>
    <t>Efay Melamine GN 1/2 Slim Tray , Grey With White Rim, Enamel</t>
  </si>
  <si>
    <t>https://store.siahuat.com/image-proxy/ASP/SIAHUAT/NORMAL/Shell/picture/384EF-2214122.jpg</t>
  </si>
  <si>
    <t>https://store.siahuat.com/product/10921476824#rt</t>
  </si>
  <si>
    <t>Efay Melamine GN 1/2 Slim Tray , White With Blue Rim, Enamel</t>
  </si>
  <si>
    <t>https://store.siahuat.com/image-proxy/ASP/SIAHUAT/NORMAL/Shell/picture/384EF-2214121.jpg</t>
  </si>
  <si>
    <t>3217TBK1</t>
  </si>
  <si>
    <t>https://store.siahuat.com/product/10921476830#rt</t>
  </si>
  <si>
    <t>Efay Melamine GN 1/3 Slim Tray , Black With White Rim, Enamel</t>
  </si>
  <si>
    <t>https://store.siahuat.com/image-proxy/ASP/SIAHUAT/NORMAL/Shell/picture/384EF-2215133.jpg</t>
  </si>
  <si>
    <t>https://store.siahuat.com/product/10921476829#rt</t>
  </si>
  <si>
    <t>Efay Melamine GN 1/3 Slim Tray , Grey With White Rim, Enamel</t>
  </si>
  <si>
    <t>https://store.siahuat.com/image-proxy/ASP/SIAHUAT/NORMAL/Shell/picture/384EF-2215132.jpg</t>
  </si>
  <si>
    <t>https://store.siahuat.com/product/10921476828#rt</t>
  </si>
  <si>
    <t>Efay Melamine GN 1/3 Slim Tray , White With Blue Rim, Enamel</t>
  </si>
  <si>
    <t>https://store.siahuat.com/image-proxy/ASP/SIAHUAT/NORMAL/Shell/picture/384EF-2215131.jpg</t>
  </si>
  <si>
    <t>100324IV</t>
  </si>
  <si>
    <t>https://store.siahuat.com/product/10921476791#rt</t>
  </si>
  <si>
    <t>Efay Melamine Rectangle GN 1/1 Curved Plate , Ivory, Luna</t>
  </si>
  <si>
    <t>1140LIV</t>
  </si>
  <si>
    <t>https://store.siahuat.com/image-proxy/ASP/SIAHUAT/NORMAL/Shell/picture/384EF-1140LIV.jpg</t>
  </si>
  <si>
    <t>https://store.siahuat.com/product/10921476798#rt</t>
  </si>
  <si>
    <t>Efay Melamine Rectangle GN 1/2 Curved Plate , White, Luna</t>
  </si>
  <si>
    <t>1240LIV</t>
  </si>
  <si>
    <t>https://store.siahuat.com/image-proxy/ASP/SIAHUAT/NORMAL/Shell/picture/384EF-1240LIV.jpg</t>
  </si>
  <si>
    <t>https://store.siahuat.com/product/10921476803#rt</t>
  </si>
  <si>
    <t>Efay Melamine Rectangle GN 1/3 Curved Plate , White, Luna</t>
  </si>
  <si>
    <t>1340LIV</t>
  </si>
  <si>
    <t>https://store.siahuat.com/image-proxy/ASP/SIAHUAT/NORMAL/Shell/picture/384EF-1340LIV.jpg</t>
  </si>
  <si>
    <t>https://store.siahuat.com/product/10921476862#rt</t>
  </si>
  <si>
    <t>Efay Melamine Round 11" Board , (Carrara) White, Mela</t>
  </si>
  <si>
    <t>409311PW9</t>
  </si>
  <si>
    <t>https://store.siahuat.com/image-proxy/ASP/SIAHUAT/NORMAL/Shell/picture/384EF-409311PW9.jpg</t>
  </si>
  <si>
    <t>https://store.siahuat.com/product/10921476861#rt</t>
  </si>
  <si>
    <t>Efay Melamine Round 11" Board , (Oak) Earth, Mela</t>
  </si>
  <si>
    <t>409311ER5</t>
  </si>
  <si>
    <t>https://store.siahuat.com/image-proxy/ASP/SIAHUAT/NORMAL/Shell/picture/384EF-409311ER5.jpg</t>
  </si>
  <si>
    <t>https://store.siahuat.com/product/10921476858#rt</t>
  </si>
  <si>
    <t>Efay Melamine Round 7" Board , (Carrara) White, Mela</t>
  </si>
  <si>
    <t>409307PW9</t>
  </si>
  <si>
    <t>https://store.siahuat.com/image-proxy/ASP/SIAHUAT/NORMAL/Shell/picture/384EF-409307PW9.jpg</t>
  </si>
  <si>
    <t>https://store.siahuat.com/product/10921476857#rt</t>
  </si>
  <si>
    <t>Efay Melamine Round 7" Board , (Oak) Earth, Mela</t>
  </si>
  <si>
    <t>409307ER5</t>
  </si>
  <si>
    <t>https://store.siahuat.com/image-proxy/ASP/SIAHUAT/NORMAL/Shell/picture/384EF-409307ER5.jpg</t>
  </si>
  <si>
    <t>https://store.siahuat.com/product/10921476860#rt</t>
  </si>
  <si>
    <t>Efay Melamine Round 9" Board , (Carrara) White, Mela</t>
  </si>
  <si>
    <t>409309PW9</t>
  </si>
  <si>
    <t>https://store.siahuat.com/image-proxy/ASP/SIAHUAT/NORMAL/Shell/picture/384EF-409309PW9.jpg</t>
  </si>
  <si>
    <t>https://store.siahuat.com/product/10921476859#rt</t>
  </si>
  <si>
    <t>Efay Melamine Round 9" Board , (Oak) Earth, Mela</t>
  </si>
  <si>
    <t>409309ER5</t>
  </si>
  <si>
    <t>https://store.siahuat.com/image-proxy/ASP/SIAHUAT/NORMAL/Shell/picture/384EF-409309ER5.jpg</t>
  </si>
  <si>
    <t>416813PW9</t>
  </si>
  <si>
    <t>520105BK</t>
  </si>
  <si>
    <t>https://store.siahuat.com/product/10921476917#rt</t>
  </si>
  <si>
    <t>Efay Metal 5" Cube Display Stand , Black, Gamma</t>
  </si>
  <si>
    <t>904905BK</t>
  </si>
  <si>
    <t>https://store.siahuat.com/image-proxy/ASP/SIAHUAT/NORMAL/Shell/picture/384EF-904905BK.jpg</t>
  </si>
  <si>
    <t>https://store.siahuat.com/product/11041310276#rt</t>
  </si>
  <si>
    <t>Efay Metal 8.5" Cube Display Stand , Black, Gamma</t>
  </si>
  <si>
    <t>904911BK</t>
  </si>
  <si>
    <t>https://store.siahuat.com/image-proxy/ASP/SIAHUAT/NORMAL/Shell/picture/384EF-904911BK.jpg</t>
  </si>
  <si>
    <t>https://store.siahuat.com/product/8667989304#rt</t>
  </si>
  <si>
    <t>PC ROUND COVER</t>
  </si>
  <si>
    <t>https://store.siahuat.com/image-proxy/ASP/SIAHUAT/NORMAL/Shell/picture/384EF-530207.jpg</t>
  </si>
  <si>
    <t>https://store.siahuat.com/product/8667989305#rt</t>
  </si>
  <si>
    <t>https://store.siahuat.com/image-proxy/ASP/SIAHUAT/NORMAL/Shell/picture/384EF-530209.jpg</t>
  </si>
  <si>
    <t>https://store.siahuat.com/product/8667989306#rt</t>
  </si>
  <si>
    <t>https://store.siahuat.com/image-proxy/ASP/SIAHUAT/NORMAL/Shell/picture/384EF-530211.jpg</t>
  </si>
  <si>
    <t>https://irvix.com.ec/3309-tapa-corrediza-plastica-para-gn12-4710578842068.html</t>
  </si>
  <si>
    <t>TAPA CORREDIZA PLASTICA PARA GN1/2</t>
  </si>
  <si>
    <t>https://irvix.com.ec/4073-thickbox_default/tapa-corrediza-plastica-para-gn12.jpg</t>
  </si>
  <si>
    <t>2515WER5</t>
  </si>
  <si>
    <t>5025WER5</t>
  </si>
  <si>
    <t>1120AIV</t>
  </si>
  <si>
    <t>416813IV</t>
  </si>
  <si>
    <t>16100AIV</t>
  </si>
  <si>
    <t>406117ER5</t>
  </si>
  <si>
    <t>406111ER5</t>
  </si>
  <si>
    <t>1210WER5</t>
  </si>
  <si>
    <t>1165AIV</t>
  </si>
  <si>
    <t>https://dimlajemirates.com/products/efay-diamond-crown-stand-crown-12-red-copper?_pos=32&amp;_sid=e0688ddb5&amp;_ss=r</t>
  </si>
  <si>
    <t>Efay Diamond Crown Stand 12" Red Copper</t>
  </si>
  <si>
    <t>921112RC</t>
  </si>
  <si>
    <t>https://dimlajemirates.com/cdn/shop/files/921112RC.jpg?v=1769686807&amp;width=1080</t>
  </si>
  <si>
    <t>"CROWN STAND" A glorious celebration for display Match a outstanding display with two different colors! Not just a stand but also a basket to create more fun for display</t>
  </si>
  <si>
    <t>https://dimlajemirates.com/products/efay-diamond-crown-stand-crown-4-red-copper?_pos=33&amp;_sid=e0688ddb5&amp;_ss=r</t>
  </si>
  <si>
    <t>Efay Diamond Crown Stand 4" Red Copper</t>
  </si>
  <si>
    <t>921104RC</t>
  </si>
  <si>
    <t>https://dimlajemirates.com/cdn/shop/files/921104RC.jpg?v=1769686806&amp;width=1080</t>
  </si>
  <si>
    <t>1365AIV</t>
  </si>
  <si>
    <t>1465AIV</t>
  </si>
  <si>
    <t>1310WER5</t>
  </si>
  <si>
    <t>901610BK</t>
  </si>
  <si>
    <t>920708BK</t>
  </si>
  <si>
    <t>https://dimlajemirates.com/products/efay-diamond-crown-stand-crown-mini-4-red-copper?_pos=41&amp;_sid=e0688ddb5&amp;_ss=r</t>
  </si>
  <si>
    <t>Efay Diamond Crown Stand Mini 4" Red Copper</t>
  </si>
  <si>
    <t>921100RC</t>
  </si>
  <si>
    <t>https://dimlajemirates.com/cdn/shop/files/921100RC.jpg?v=1769686806&amp;width=1080</t>
  </si>
  <si>
    <t>901706BK</t>
  </si>
  <si>
    <t>920604BK</t>
  </si>
  <si>
    <t>13100AIV</t>
  </si>
  <si>
    <t>5332TBK1</t>
  </si>
  <si>
    <t>2410WER5</t>
  </si>
  <si>
    <t>520605BK</t>
  </si>
  <si>
    <t>"LITTLE CHEF" Our Time with Bistro Skewered dishes display and used in cafe. Dark wood grains and stone veins present you decent taste. Mix and Match , as you wish. From buffet display to semi-buffet / table display.</t>
  </si>
  <si>
    <t>520406BK</t>
  </si>
  <si>
    <t>520404BK</t>
  </si>
  <si>
    <t>520204BK</t>
  </si>
  <si>
    <t>2465AIV</t>
  </si>
  <si>
    <t>520685BK</t>
  </si>
  <si>
    <t>https://dimlajemirates.com/products/efay-little-chef-mini-round-pan-8-pan-black?_pos=83&amp;_sid=e0688ddb5&amp;_ss=r</t>
  </si>
  <si>
    <t>Efay Melamine Little Chef Mini Round Pan 8" Pan Black</t>
  </si>
  <si>
    <t>520208BK</t>
  </si>
  <si>
    <t>https://dimlajemirates.com/cdn/shop/files/520208BK.webp?v=1769686769&amp;width=1080</t>
  </si>
  <si>
    <t>https://dimlajemirates.com/products/efay-rocky-bowl-7l-grey?_pos=95&amp;_sid=e0688ddb5&amp;_ss=r</t>
  </si>
  <si>
    <t>Efay Melamine Rocky Bowl 7L Grey</t>
  </si>
  <si>
    <t>222414GS</t>
  </si>
  <si>
    <t>https://dimlajemirates.com/cdn/shop/files/Efay_ROCKY_222414GS.jpg?v=1769686825&amp;width=1080</t>
  </si>
  <si>
    <t>"ROCKY"</t>
  </si>
  <si>
    <t>https://dimlajemirates.com/products/efay-rocky-bowl-3-6l-white?_pos=96&amp;_sid=e0688ddb5&amp;_ss=r</t>
  </si>
  <si>
    <t>Efay Melamine Rocky Bowl 3.6L White</t>
  </si>
  <si>
    <t>222411WS</t>
  </si>
  <si>
    <t>https://dimlajemirates.com/cdn/shop/files/222411WS.jpg?v=1769686818&amp;width=1080</t>
  </si>
  <si>
    <t>1665AIV</t>
  </si>
  <si>
    <t>206507IV</t>
  </si>
  <si>
    <t>https://dimlajemirates.com/products/efay-petit-do-4-ivory?_pos=106&amp;_sid=e0688ddb5&amp;_ss=r</t>
  </si>
  <si>
    <t>Efay Melamine Petit Do 4" Ivory</t>
  </si>
  <si>
    <t>517904IV</t>
  </si>
  <si>
    <t>https://dimlajemirates.com/cdn/shop/files/EFAY_BUFFETDIISPLAY_PETIT_517904IV-05.jpg?v=1769686733&amp;width=1080</t>
  </si>
  <si>
    <t>Thousands of small kisses for your taste Small size and large amount, dazzling the show Great for food portion control</t>
  </si>
  <si>
    <t>https://dimlajemirates.com/products/efay-petit-venus-4-ivory?_pos=108&amp;_sid=e0688ddb5&amp;_ss=r</t>
  </si>
  <si>
    <t>Efay Melamine Petit Venus 4" Ivory</t>
  </si>
  <si>
    <t>516104IV</t>
  </si>
  <si>
    <t>https://dimlajemirates.com/cdn/shop/files/EFAY_BUFFETDIISPLAY_PETIT_516104IV-02.jpg?v=1769686721&amp;width=1080</t>
  </si>
  <si>
    <t>https://dimlajemirates.com/products/efay-terracotta-dish-5-red?_pos=120&amp;_sid=e0688ddb5&amp;_ss=r</t>
  </si>
  <si>
    <t>Efay Melamine Terracotta Dish 5" Red</t>
  </si>
  <si>
    <t>520505TI</t>
  </si>
  <si>
    <t>https://dimlajemirates.com/cdn/shop/files/EFAY_TERRACOTTA_520505TI-01.jpg?v=1769686827&amp;width=1080</t>
  </si>
  <si>
    <t>"TERRACOTTA" Salutes to the Classics! Perfect for Appetizer / Tapas Display</t>
  </si>
  <si>
    <t>https://dimlajemirates.com/products/efay-terra-cotta-tiles-3-red?_pos=121&amp;_sid=e0688ddb5&amp;_ss=r</t>
  </si>
  <si>
    <t>Efay Melamine TerraCotta Tiles 3" Red</t>
  </si>
  <si>
    <t>520503TI</t>
  </si>
  <si>
    <t>https://dimlajemirates.com/cdn/shop/files/EFAY_TERRACOTTA_520503TI-01.jpg?v=1769686825&amp;width=1080</t>
  </si>
  <si>
    <t>"TERRACOTTA" Salutes to the Classics! Perfect for Appetizer</t>
  </si>
  <si>
    <t>https://dimlajemirates.com/products/efay-petit-drop-4-ivory?_pos=124&amp;_sid=e0688ddb5&amp;_ss=r</t>
  </si>
  <si>
    <t>Efay Melamine Petit Drop 4" Ivory</t>
  </si>
  <si>
    <t>516404IV</t>
  </si>
  <si>
    <t>https://dimlajemirates.com/cdn/shop/files/EFAY_BUFFETDIISPLAY_PETIT_516404IV-01.jpg?v=1769686715&amp;width=1080</t>
  </si>
  <si>
    <t>https://dimlajemirates.com/products/efay-rocky-ramekin-2oz-grey?_pos=132&amp;_sid=e0688ddb5&amp;_ss=r</t>
  </si>
  <si>
    <t>Efay Melamine Rocky Ramekin 2oz Grey</t>
  </si>
  <si>
    <t>526002GS</t>
  </si>
  <si>
    <t>https://dimlajemirates.com/cdn/shop/files/526002GS.jpg?v=1769686822&amp;width=1080</t>
  </si>
  <si>
    <t>https://dimlajemirates.com/products/efay-petit-royal-ascot-5-ivory?_pos=136&amp;_sid=e0688ddb5&amp;_ss=r</t>
  </si>
  <si>
    <t>Efay Melamine Petit Royal Ascot 5" Ivory</t>
  </si>
  <si>
    <t>516205IV</t>
  </si>
  <si>
    <t>https://dimlajemirates.com/cdn/shop/files/EFAY_BUFFETDIISPLAY_PETIT_516205IV-01.jpg?v=1769686717&amp;width=1080</t>
  </si>
  <si>
    <t>960303BK</t>
  </si>
  <si>
    <t>https://dimlajemirates.com/products/efay-rocky-bowl-2-5l-white?_pos=145&amp;_sid=e0688ddb5&amp;_ss=r</t>
  </si>
  <si>
    <t>Efay Melamine Rocky Bowl 2.5L White</t>
  </si>
  <si>
    <t>222410WS</t>
  </si>
  <si>
    <t>https://dimlajemirates.com/cdn/shop/files/222411WS_222ee433-b44c-42f0-bc9c-30a0efe0f72b.jpg?v=1769686882&amp;width=1080</t>
  </si>
  <si>
    <t>https://dimlajemirates.com/products/efay-rocky-bowl-3-6l-grey?_pos=147&amp;_sid=e0688ddb5&amp;_ss=r</t>
  </si>
  <si>
    <t>Efay Melamine Rocky Bowl 3.6L Grey</t>
  </si>
  <si>
    <t>222411GS</t>
  </si>
  <si>
    <t>https://dimlajemirates.com/cdn/shop/files/Efay_ROCKY_222411GS.jpg?v=1769686823&amp;width=1080</t>
  </si>
  <si>
    <t>1110WER5</t>
  </si>
  <si>
    <t>407512BK</t>
  </si>
  <si>
    <t>407412BK</t>
  </si>
  <si>
    <t>https://dimlajemirates.com/products/efay-rocky-bowl-2-5l-grey?_pos=162&amp;_sid=e0688ddb5&amp;_ss=r</t>
  </si>
  <si>
    <t>Efay Melamine Rocky Bowl 2.5L Grey</t>
  </si>
  <si>
    <t>222410GS</t>
  </si>
  <si>
    <t>https://dimlajemirates.com/cdn/shop/files/222410GS.jpg?v=1769686818&amp;width=1080</t>
  </si>
  <si>
    <t>https://dimlajemirates.com/products/efay-gastronorm-terrazzo-platter-corrase-1-2-baker?_pos=178&amp;_sid=e0688ddb5&amp;_ss=r</t>
  </si>
  <si>
    <t>Efay Melamine Terrazzo Platter Corrase 1/2 Baker</t>
  </si>
  <si>
    <t>407812CG40</t>
  </si>
  <si>
    <t>https://dimlajemirates.com/cdn/shop/files/407812CG40.jpg?v=1769686770&amp;width=1080</t>
  </si>
  <si>
    <t>"GN BAKER-MELA PRINT"</t>
  </si>
  <si>
    <t>https://dimlajemirates.com/products/efay-gastronorm-terrazzo-platter-thin-1-1-baker?_pos=180&amp;_sid=e0688ddb5&amp;_ss=r</t>
  </si>
  <si>
    <t>Efay Melamine Terrazzo Platter Thin 1/1 Baker</t>
  </si>
  <si>
    <t>407811CG39</t>
  </si>
  <si>
    <t>https://dimlajemirates.com/cdn/shop/files/407811CG39.jpg?v=1769686768&amp;width=1080</t>
  </si>
  <si>
    <t>5332FPW9</t>
  </si>
  <si>
    <t>407312ER5</t>
  </si>
  <si>
    <t>https://dimlajemirates.com/products/efay-terracotta-rd-dish-5-4?_pos=201&amp;_sid=e0688ddb5&amp;_ss=r</t>
  </si>
  <si>
    <t>Efay Melamine Terracotta Round Dish 5.4" Red</t>
  </si>
  <si>
    <t>520554TI</t>
  </si>
  <si>
    <t>https://dimlajemirates.com/cdn/shop/files/520554TI.jpg?v=1769686840&amp;width=1080</t>
  </si>
  <si>
    <t>"TERRACOTTA" Salute to the classics! Perfect for appetizer / tapas display</t>
  </si>
  <si>
    <t>https://dimlajemirates.com/products/efay-petit-drop-dish-4-ivory?_pos=203&amp;_sid=e0688ddb5&amp;_ss=r</t>
  </si>
  <si>
    <t>Efay Melamine Petit Drop Dish 4" Ivory</t>
  </si>
  <si>
    <t>515904IV</t>
  </si>
  <si>
    <t>https://dimlajemirates.com/cdn/shop/files/EFAY_BUFFETDIISPLAY_PETIT_515904IV-01.jpg?v=1769686718&amp;width=1080</t>
  </si>
  <si>
    <t>2420AIV</t>
  </si>
  <si>
    <t>1240AIV</t>
  </si>
  <si>
    <t>1220AIV</t>
  </si>
  <si>
    <t>https://dimlajemirates.com/products/efay-crystal-box-gastronorm-1-2-150mm-white?_pos=214&amp;_sid=e0688ddb5&amp;_ss=r</t>
  </si>
  <si>
    <t>Efay Crystal Box Gastronorm 1/2 150mm White</t>
  </si>
  <si>
    <t>https://dimlajemirates.com/cdn/shop/files/803206.jpg?v=1769686769&amp;width=1080</t>
  </si>
  <si>
    <t>"CLOUD BOX" Great Buffet settings ideas Are you looking for elegant and unique looks! Cloud box is made of premium quality of resin, every piece is unique. Its in semi transparent marble pattern that allows light to pass throughout the surface. Designed for double side and use , its GN compatible and its giving you a lot of inspiration.</t>
  </si>
  <si>
    <t>1410WER5</t>
  </si>
  <si>
    <t>https://dimlajemirates.com/products/efay-crystal-box-gastronorm-1-3-100mm-white?_pos=223&amp;_sid=e0688ddb5&amp;_ss=r</t>
  </si>
  <si>
    <t>Efay Crystal Box Gastronorm 1/3 100mm White</t>
  </si>
  <si>
    <t>https://dimlajemirates.com/cdn/shop/files/803304.jpg?v=1769686769&amp;width=1080</t>
  </si>
  <si>
    <t>https://dimlajemirates.com/products/efay-crystal-box-gastronorm-1-2-100mm-white?_pos=224&amp;_sid=e0688ddb5&amp;_ss=r</t>
  </si>
  <si>
    <t>Efay Crystal Box Gastronorm 1/2 100mm White</t>
  </si>
  <si>
    <t>https://dimlajemirates.com/cdn/shop/files/803204.jpg?v=1769686769&amp;width=1080</t>
  </si>
  <si>
    <t>https://dimlajemirates.com/products/efay-gastronorm-candy-floss-platter-1-1-baker?_pos=245&amp;_sid=e0688ddb5&amp;_ss=r</t>
  </si>
  <si>
    <t>Efay Melamine Gastronorm Candy Floss Platter 1/1 Baker</t>
  </si>
  <si>
    <t>407811CP48</t>
  </si>
  <si>
    <t>https://dimlajemirates.com/cdn/shop/files/407811CP48.jpg?v=1769686769&amp;width=1080</t>
  </si>
  <si>
    <t>https://dimlajemirates.com/products/efay-gastronorm-terrazzo-platter-thin-1-2-baker?_pos=247&amp;_sid=e0688ddb5&amp;_ss=r</t>
  </si>
  <si>
    <t>Efay Melamine Gastronorm Terrazzo Platter Thin 1/2 Baker</t>
  </si>
  <si>
    <t>407812CG39</t>
  </si>
  <si>
    <t>https://dimlajemirates.com/cdn/shop/files/407812CG39.jpg?v=1769686767&amp;width=1080</t>
  </si>
  <si>
    <t>407212ER5</t>
  </si>
  <si>
    <t>407716ER5</t>
  </si>
  <si>
    <t>https://dimlajemirates.com/products/efay-crystal-box-gastronorm-2-4-150mm-white?_pos=251&amp;_sid=e0688ddb5&amp;_ss=r</t>
  </si>
  <si>
    <t>Efay Crystal Box Gastronorm 2/4 150mm White</t>
  </si>
  <si>
    <t>https://dimlajemirates.com/cdn/shop/files/803406.jpg?v=1769686769&amp;width=1080</t>
  </si>
  <si>
    <t>407412ER5</t>
  </si>
  <si>
    <t>406224ER5</t>
  </si>
  <si>
    <t>3217FPW9</t>
  </si>
  <si>
    <t>407512ER5</t>
  </si>
  <si>
    <t>920602RD</t>
  </si>
  <si>
    <t>3226FPW9</t>
  </si>
  <si>
    <t>https://www.kkh.biz/products/woody-board-platter-assorted-efay-5025wer5?variant=26955609997412</t>
  </si>
  <si>
    <t>WOODY BOARD PLATTER - ASSORTED - EFAY # 5025WER5</t>
  </si>
  <si>
    <t>https://www.kkh.biz/cdn/shop/products/5025WER5.jpg?v=1561435254&amp;width=1946</t>
  </si>
  <si>
    <t>Material: Melamine Width:250mm Height:100mm Length:500mm Packaging:12pcs</t>
  </si>
  <si>
    <t>https://www.kkh.biz/products/woody-board-platter-assorted-efay-2515wer5?variant=26955608359012</t>
  </si>
  <si>
    <t>WOODY BOARD PLATTER - ASSORTED - EFAY # 2515WER5</t>
  </si>
  <si>
    <t>https://www.kkh.biz/cdn/shop/products/2515WER5.jpg?v=1561434860&amp;width=1946</t>
  </si>
  <si>
    <t>Material: Melamine Width:150mm Height:10mm Length:250mm Packaging:36pcs</t>
  </si>
  <si>
    <t>https://www.kkh.biz/products/geometry-10-cone-ivory-efay-515510iv?variant=26955354636388</t>
  </si>
  <si>
    <t>GEOMETRY 10" CONE - IVORY - EFAY # 515510IV</t>
  </si>
  <si>
    <t>515510IV</t>
  </si>
  <si>
    <t>https://www.kkh.biz/cdn/shop/products/MEDA-515510IV.jpg?v=1561628672&amp;width=1946</t>
  </si>
  <si>
    <t>Width:140mm Height:200mm Length:140mm Packaging:48pcs</t>
  </si>
  <si>
    <t>https://www.kkh.biz/products/geometry-8-cone-ivory-efay-515508iv?variant=26955354472548</t>
  </si>
  <si>
    <t>GEOMETRY 8" CONE - IVORY - EFAY # 515508IV</t>
  </si>
  <si>
    <t>515508IV</t>
  </si>
  <si>
    <t>https://www.kkh.biz/cdn/shop/products/MEDA-515508IV.jpg?v=1561628649&amp;width=1946</t>
  </si>
  <si>
    <t>Width:130mm Height:150mm Length:130mm Packaging:72pcs</t>
  </si>
  <si>
    <t>https://www.kkh.biz/products/oval-stick-6pcs-bag-black-efay-590706bk?variant=26955539710052</t>
  </si>
  <si>
    <t>OVAL STICK(6PCS/BAG) - BLACK - EFAY # 590706BK</t>
  </si>
  <si>
    <t>590706BK</t>
  </si>
  <si>
    <t>https://www.kkh.biz/cdn/shop/products/590706BK.jpg?v=1561435559&amp;width=1946</t>
  </si>
  <si>
    <t>Width: 160mm Length: 78mm Packaging: 96pcs</t>
  </si>
  <si>
    <t>https://www.kkh.biz/products/rectangle-stick-6pcs-bag-black-efay-590606bk?variant=26955539546212</t>
  </si>
  <si>
    <t>RECTANGLE STICK(6PCS/BAG) - BLACK - EFAY # 590606BK</t>
  </si>
  <si>
    <t>590606BK</t>
  </si>
  <si>
    <t>https://www.kkh.biz/cdn/shop/products/590606BK.jpg?v=1561435557&amp;width=1946</t>
  </si>
  <si>
    <t>Material: Melamine Width:400mm Height:18mm Length:300mm Packaging:24pcs</t>
  </si>
  <si>
    <t>Material: Melamine Width:200mm Height:18mm Length:300mm Packaging:48pcs</t>
  </si>
  <si>
    <t>Material: Melamine Width:150mm Height:18mm Length:300mm Packaging:48pcs</t>
  </si>
  <si>
    <t>https://www.kkh.biz/products/woody-baker-rectangular-platter-black-efay-407716bk?variant=26955601313892</t>
  </si>
  <si>
    <t>WOODY BAKER RECTANGULAR PLATTER - BLACK - EFAY # 407716BK</t>
  </si>
  <si>
    <t>407716BK</t>
  </si>
  <si>
    <t>https://www.kkh.biz/cdn/shop/products/407716BK.jpg?v=1561435087&amp;width=1946</t>
  </si>
  <si>
    <t>https://www.kkh.biz/products/woody-baker-rectangular-platter-black-efay-407512bk?variant=26955601018980</t>
  </si>
  <si>
    <t>WOODY BAKER RECTANGULAR PLATTER - BLACK - EFAY # 407512BK</t>
  </si>
  <si>
    <t>https://www.kkh.biz/cdn/shop/products/407512BK.jpg?v=1561435078&amp;width=1946</t>
  </si>
  <si>
    <t>https://www.kkh.biz/products/woody-baker-rectangular-platter-black-efay-407412bk?variant=26955600724068</t>
  </si>
  <si>
    <t>WOODY BAKER RECTANGULAR PLATTER - BLACK - EFAY # 407412BK</t>
  </si>
  <si>
    <t>https://www.kkh.biz/cdn/shop/products/407412BK.jpg?v=1561435071&amp;width=1946</t>
  </si>
  <si>
    <t>Width:130mm Height:150mm Length:130mm Packaging:48pcs</t>
  </si>
  <si>
    <t>Width:400mm Height:18mm Length:300mm Packaging:6pcs</t>
  </si>
  <si>
    <t>Width:300mm Height:18mm Length:300mm Packaging:6pcs</t>
  </si>
  <si>
    <t>Width:200mm Height:18mm Length:300mm Packaging:12pcs</t>
  </si>
  <si>
    <t>Width:150mm Height:18mm Length:300mm Packaging:12pcs</t>
  </si>
  <si>
    <t>https://www.kkh.biz/products/crystal-pastry-rectangular-tray-orange-efay-408717or?variant=26955523031140</t>
  </si>
  <si>
    <t>CRYSTAL PASTRY RECTANGULAR TRAY - ORANGE - EFAY # 408717OR</t>
  </si>
  <si>
    <t>408717OR</t>
  </si>
  <si>
    <t>https://www.kkh.biz/cdn/shop/products/408717OR.jpg?v=1561435183&amp;width=1946</t>
  </si>
  <si>
    <t>https://www.kkh.biz/products/crystal-pastry-square-tray-orange-efay-408612or?variant=26955522801764</t>
  </si>
  <si>
    <t>CRYSTAL PASTRY SQUARE TRAY - ORANGE - EFAY # 408612OR</t>
  </si>
  <si>
    <t>408612OR</t>
  </si>
  <si>
    <t>https://www.kkh.biz/cdn/shop/products/408612OR.jpg?v=1561435168&amp;width=1946</t>
  </si>
  <si>
    <t>https://www.kkh.biz/products/crystal-pastry-rectangular-tray-orange-efay-408512or?variant=26955522605156</t>
  </si>
  <si>
    <t>CRYSTAL PASTRY RECTANGULAR TRAY - ORANGE - EFAY # 408512OR</t>
  </si>
  <si>
    <t>408512OR</t>
  </si>
  <si>
    <t>https://www.kkh.biz/cdn/shop/products/408512OR.jpg?v=1561435155&amp;width=1946</t>
  </si>
  <si>
    <t>https://www.kkh.biz/products/crystal-pastry-rectangular-tray-orange-efay-408412or?variant=26955522408548</t>
  </si>
  <si>
    <t>CRYSTAL PASTRY RECTANGULAR TRAY - ORANGE - EFAY # 408412OR</t>
  </si>
  <si>
    <t>408412OR</t>
  </si>
  <si>
    <t>https://www.kkh.biz/cdn/shop/products/408412OR.jpg?v=1561435143&amp;width=1946</t>
  </si>
  <si>
    <t>https://www.kkh.biz/products/mela-13-round-board-assorted-efay-406613er5?variant=26955468472420</t>
  </si>
  <si>
    <t>MELA 13'' ROUND BOARD - ASSORTED - EFAY # 406613ER5</t>
  </si>
  <si>
    <t>https://www.kkh.biz/cdn/shop/products/406613ER5.jpg?v=1561435050&amp;width=1946</t>
  </si>
  <si>
    <t>Material: Melamine Width:325mm Height:15mm Length:325mm Packaging:24pcs</t>
  </si>
  <si>
    <t>https://www.kkh.biz/products/mela-17-rc-board-assorted-efay-406717er5?variant=26955468144740</t>
  </si>
  <si>
    <t>MELA 17'' RC BOARD - ASSORTED - EFAY # 406717ER5</t>
  </si>
  <si>
    <t>https://www.kkh.biz/cdn/shop/products/406717ER5.jpg?v=1561435055&amp;width=1946</t>
  </si>
  <si>
    <t>Material: Melamine Width:325mm Height:15mm Length:440mm Packaging:12pcs</t>
  </si>
  <si>
    <t>https://www.kkh.biz/products/mela-10-round-board-assorted-efay-406610er5?variant=26955466080356</t>
  </si>
  <si>
    <t>MELA 10'' ROUND BOARD - ASSORTED - EFAY # 406610ER5</t>
  </si>
  <si>
    <t>https://www.kkh.biz/cdn/shop/products/406610ER5.jpg?v=1561435047&amp;width=1946</t>
  </si>
  <si>
    <t>Material: Melamine Width:265mm Height:15mm Length:265mm Packaging:24pcs</t>
  </si>
  <si>
    <t>https://www.kkh.biz/products/mela-13-rc-board-assorted-efay-406713er5?variant=26955465719908</t>
  </si>
  <si>
    <t>MELA 13'' RC BOARD - ASSORTED - EFAY # 406713ER5</t>
  </si>
  <si>
    <t>https://www.kkh.biz/cdn/shop/products/406713ER5.jpg?v=1561435052&amp;width=1946</t>
  </si>
  <si>
    <t>Material: Melamine Width:200mm Height:15mm Length:325mm Packaging:24pcs</t>
  </si>
  <si>
    <t>Material: Melamine Width:64mm Height:35mm Length:64mm Packaging:144pcs</t>
  </si>
  <si>
    <t>Width:80mm Height:94mm Length:80mm Packaging:96pcs</t>
  </si>
  <si>
    <t>https://www.kkh.biz/products/canon-4-square-bowl-ivory-efay-206504iv?variant=26955224940644</t>
  </si>
  <si>
    <t>CANON 4" SQUARE BOWL - IVORY - EFAY # 206504IV</t>
  </si>
  <si>
    <t>206504IV</t>
  </si>
  <si>
    <t>https://www.kkh.biz/cdn/shop/products/MEDB-206504IV.jpg?v=1561434470&amp;width=1946</t>
  </si>
  <si>
    <t>Material: Melamine Width:90mm Height:55mm Length:90mm Packaging:96pcs</t>
  </si>
  <si>
    <t>https://www.kkh.biz/products/canon-3-square-bowl-ivory-efay-206503iv?variant=26955224580196</t>
  </si>
  <si>
    <t>CANON 3" SQUARE BOWL - IVORY - EFAY # 206503IV</t>
  </si>
  <si>
    <t>206503IV</t>
  </si>
  <si>
    <t>https://www.kkh.biz/cdn/shop/products/MEDB-206503IV.jpg?v=1561434468&amp;width=1946</t>
  </si>
  <si>
    <t>Material: Melamine Width:70mm Height:42mm Length:70mm Packaging:96pcs</t>
  </si>
  <si>
    <t>https://www.kkh.biz/products/canon-12-square-bowl-ivory-efay-206512iv?variant=26955224285284</t>
  </si>
  <si>
    <t>CANON 12" SQUARE BOWL - IVORY - EFAY # 206512IV</t>
  </si>
  <si>
    <t>206512IV</t>
  </si>
  <si>
    <t>https://www.kkh.biz/cdn/shop/products/MEDB-206512IV.jpg?v=1561434477&amp;width=1946</t>
  </si>
  <si>
    <t>Material: Melamine Width:300mm Height:115mm Length:300mm Packaging:12pcs</t>
  </si>
  <si>
    <t>https://www.kkh.biz/products/canon-10-square-bowl-ivory-efay-206510iv?variant=26955224055908</t>
  </si>
  <si>
    <t>CANON 10" SQUARE BOWL - IVORY - EFAY # 206510IV</t>
  </si>
  <si>
    <t>206510IV</t>
  </si>
  <si>
    <t>https://www.kkh.biz/cdn/shop/products/MEDB-206510IV.jpg?v=1561434476&amp;width=1946</t>
  </si>
  <si>
    <t>Material: Melamine Width:240mm Height:100mm Length:240mm Packaging:12pcs</t>
  </si>
  <si>
    <t>https://www.kkh.biz/products/canon-7-square-bowl-ivory-efay-206507iv?variant=26955222679652</t>
  </si>
  <si>
    <t>CANON 7" SQUARE BOWL - IVORY - EFAY # 206507IV</t>
  </si>
  <si>
    <t>https://www.kkh.biz/cdn/shop/products/MEDB-206507IV.jpg?v=1561434474&amp;width=1946</t>
  </si>
  <si>
    <t>Material: Melamine Width:180mm Height:85mm Length:180mm Packaging:12pcs</t>
  </si>
  <si>
    <t>https://www.kkh.biz/products/canon-5-square-bowl-ivory-efay-206505iv?variant=26955221106788</t>
  </si>
  <si>
    <t>CANON 5" SQUARE BOWL - IVORY - EFAY # 206505IV</t>
  </si>
  <si>
    <t>206505IV</t>
  </si>
  <si>
    <t>https://www.kkh.biz/cdn/shop/products/MEDB-206505IV.jpg?v=1561434472&amp;width=1946</t>
  </si>
  <si>
    <t>Material: Melamine Width:130mm Height:70mm Length:130mm Packaging:24pcs</t>
  </si>
  <si>
    <t>https://www.kkh.biz/products/luna-16-curved-plate-ivory-efay-100316iv?variant=26955171364964</t>
  </si>
  <si>
    <t>LUNA 16" CURVED PLATE - IVORY - EFAY # 100316IV</t>
  </si>
  <si>
    <t>100316IV</t>
  </si>
  <si>
    <t>https://www.kkh.biz/cdn/shop/products/MEDP-100316IV.jpg?v=1561433721&amp;width=1946</t>
  </si>
  <si>
    <t>Width:420mm Height:50mm Length:420mm Packaging:6pcs</t>
  </si>
  <si>
    <t>https://www.kkh.biz/products/luna-14-curved-plate-ivory-efay-100314iv?variant=26955170906212</t>
  </si>
  <si>
    <t>LUNA 14" CURVED PLATE - IVORY - EFAY # 100314IV</t>
  </si>
  <si>
    <t>100314IV</t>
  </si>
  <si>
    <t>https://www.kkh.biz/cdn/shop/products/MEDP-100314IV.jpg?v=1561433719&amp;width=1946</t>
  </si>
  <si>
    <t>Width:355mm Height:40mm Length:355mm Packaging:12pcs</t>
  </si>
  <si>
    <t>https://www.kkh.biz/products/luna-24-curved-plate-ivory-efay-100324iv?variant=26955169628260</t>
  </si>
  <si>
    <t>LUNA 24" CURVED PLATE - IVORY - EFAY # 100324IV</t>
  </si>
  <si>
    <t>https://www.kkh.biz/cdn/shop/products/MEDP-100324IV.jpg?v=1561433723&amp;width=1946</t>
  </si>
  <si>
    <t>Width:310mm Height:40mm Length:615mm Packaging:6pcs</t>
  </si>
  <si>
    <t>https://www.kkh.biz/products/macaron-10oz-tumbler-ivory-cocoa-efay-302710ivco?variant=26955447664740</t>
  </si>
  <si>
    <t>MACARON 10OZ TUMBLER - IVORY - COCOA - EFAY # 302710IVCO</t>
  </si>
  <si>
    <t>https://www.kkh.biz/cdn/shop/products/302710IVCO.jpg?v=1561434910&amp;width=1946</t>
  </si>
  <si>
    <t>Material: Melamine Width:88mm Height:90mm Length:88mm Packaging:60pcs</t>
  </si>
  <si>
    <t>https://www.kkh.biz/products/macaron-10oz-tumbler-ivory-green-efay-302710ivgr?variant=26955447140452</t>
  </si>
  <si>
    <t>MACARON 10OZ TUMBLER - IVORY - GREEN - EFAY # 302710IVGR</t>
  </si>
  <si>
    <t>302710IVGR</t>
  </si>
  <si>
    <t>https://www.kkh.biz/cdn/shop/products/302710IVGR.jpg?v=1561434922&amp;width=1946</t>
  </si>
  <si>
    <t>https://www.kkh.biz/products/macaron-10oz-tumbler-ivory-blue-efay-302710ivfb?variant=26955445502052</t>
  </si>
  <si>
    <t>MACARON 10OZ TUMBLER - IVORY - BLUE - EFAY # 302710IVFB</t>
  </si>
  <si>
    <t>302710IVFB</t>
  </si>
  <si>
    <t>https://www.kkh.biz/cdn/shop/products/302710IVFB.jpg?v=1561434920&amp;width=1946</t>
  </si>
  <si>
    <t>https://www.kkh.biz/products/macaron-6oz-tumbler-ivory-cocoa-efay-302706ivco?variant=26955443896420</t>
  </si>
  <si>
    <t>MACARON 6OZ TUMBLER - IVORY - COCOA - EFAY # 302706IVCO</t>
  </si>
  <si>
    <t>302706IVCO</t>
  </si>
  <si>
    <t>https://www.kkh.biz/cdn/shop/products/302706IVCO.jpg?v=1561434887&amp;width=1946</t>
  </si>
  <si>
    <t>Material: Melamine Width:76mm Height:76mm Length:75mm Packaging:120pcs</t>
  </si>
  <si>
    <t>https://www.kkh.biz/products/macaron-6oz-tumbler-ivory-green-efay-302706ivgr?variant=26955443437668</t>
  </si>
  <si>
    <t>MACARON 6OZ TUMBLER - IVORY - GREEN - EFAY # 302706IVGR</t>
  </si>
  <si>
    <t>302706IVGR</t>
  </si>
  <si>
    <t>https://www.kkh.biz/cdn/shop/products/302706IVGR.jpg?v=1561434900&amp;width=1946</t>
  </si>
  <si>
    <t>https://www.kkh.biz/products/macaron-6oz-tumbler-ivory-blue-efay-302706ivfb?variant=26955439997028</t>
  </si>
  <si>
    <t>MACARON 6OZ TUMBLER - IVORY - BLUE - EFAY # 302706IVFB</t>
  </si>
  <si>
    <t>https://www.kkh.biz/cdn/shop/products/302706IVFB.jpg?v=1561434898&amp;width=1946</t>
  </si>
  <si>
    <t>https://www.kkh.biz/products/woody-board-1-1-platter-assorted-efay-1110wer5?variant=26955610947684</t>
  </si>
  <si>
    <t>WOODY BOARD 1/1 PLATTER - ASSORTED - EFAY # 1110WER5</t>
  </si>
  <si>
    <t>https://www.kkh.biz/cdn/shop/products/1110WER5.jpg?v=1561433835&amp;width=1946</t>
  </si>
  <si>
    <t>Material: Melamine Width:325mm Height:10mm Length:530mm Packaging:6pcs</t>
  </si>
  <si>
    <t>https://www.kkh.biz/products/woody-board-1-2-platter-assorted-efay-1210wer5?variant=26955610259556</t>
  </si>
  <si>
    <t>WOODY BOARD 1/2 PLATTER - ASSORTED - EFAY # 1210WER5</t>
  </si>
  <si>
    <t>https://www.kkh.biz/cdn/shop/products/1210WER5.jpg?v=1561434153&amp;width=1946</t>
  </si>
  <si>
    <t>Material: Melamine Width:265mm Height:10mm Length:325mm Packaging:24pcs</t>
  </si>
  <si>
    <t>https://www.kkh.biz/products/woody-board-2-4-platter-assorted-efay-2410wer5?variant=26955609145444</t>
  </si>
  <si>
    <t>WOODY BOARD 2/4 PLATTER - ASSORTED - EFAY # 2410WER5</t>
  </si>
  <si>
    <t>https://www.kkh.biz/cdn/shop/products/2410WER5.jpg?v=1561434848&amp;width=1946</t>
  </si>
  <si>
    <t>Material: Melamine Width:162mm Height:10mm Length:530mm Packaging:12pcs</t>
  </si>
  <si>
    <t>https://www.kkh.biz/products/woody-board-1-4-platter-assorted-efay-1410wer5?variant=26955608621156</t>
  </si>
  <si>
    <t>WOODY BOARD 1/4 PLATTER - ASSORTED - EFAY # 1410WER5</t>
  </si>
  <si>
    <t>https://www.kkh.biz/cdn/shop/products/1410WER5.jpg?v=1561434287&amp;width=1946</t>
  </si>
  <si>
    <t>Material: Melamine Width:162mm Height:10mm Length:265mm Packaging:24pcs</t>
  </si>
  <si>
    <t>https://www.kkh.biz/products/woody-board-1-3-platter-assorted-efay-1310wer5?variant=26955607474276</t>
  </si>
  <si>
    <t>WOODY BOARD 1/3 PLATTER - ASSORTED - EFAY # 1310WER5</t>
  </si>
  <si>
    <t>https://www.kkh.biz/cdn/shop/products/1310WER5.jpg?v=1561434254&amp;width=1946</t>
  </si>
  <si>
    <t>Material: Melamine Width:176mm Height:10mm Length:325mm Packaging:24pcs</t>
  </si>
  <si>
    <t>https://www.kkh.biz/products/tower-1-1-display-stand-black-efay-960103bk?variant=26955581685860</t>
  </si>
  <si>
    <t>TOWER 1/1 DISPLAY STAND - BLACK - EFAY # 960103BK</t>
  </si>
  <si>
    <t>960103BK</t>
  </si>
  <si>
    <t>https://www.kkh.biz/cdn/shop/products/960103BK.jpg?v=1561435757&amp;width=1946</t>
  </si>
  <si>
    <t>Width:315mm Height:80mm Length:520mm Packaging:12pcs</t>
  </si>
  <si>
    <t>https://www.kkh.biz/products/tower-1-1-display-stand-black-efay-960106bk?variant=26955581194340</t>
  </si>
  <si>
    <t>TOWER 1/1 DISPLAY STAND - BLACK - EFAY # 960106BK</t>
  </si>
  <si>
    <t>960106BK</t>
  </si>
  <si>
    <t>https://www.kkh.biz/cdn/shop/products/960106BK.jpg?v=1561435762&amp;width=1946</t>
  </si>
  <si>
    <t>Width:315mm Height:160mm Length:520mm Packaging:6pcs</t>
  </si>
  <si>
    <t>https://www.kkh.biz/products/tower-1-2-display-stand-black-efay-960203bk?variant=26955579687012</t>
  </si>
  <si>
    <t>TOWER 1/2 DISPLAY STAND - BLACK - EFAY # 960203BK</t>
  </si>
  <si>
    <t>960203BK</t>
  </si>
  <si>
    <t>https://www.kkh.biz/cdn/shop/products/960203BK.jpg?v=1561435764&amp;width=1946</t>
  </si>
  <si>
    <t>Width:255mm Height:80mm Length:315mm Packaging:12pcs</t>
  </si>
  <si>
    <t>https://www.kkh.biz/products/tower-1-2-display-stand-black-efay-960206bk?variant=26955579326564</t>
  </si>
  <si>
    <t>TOWER 1/2 DISPLAY STAND - BLACK - EFAY # 960206BK</t>
  </si>
  <si>
    <t>960206BK</t>
  </si>
  <si>
    <t>https://www.kkh.biz/cdn/shop/products/960206BK.jpg?v=1561435769&amp;width=1946</t>
  </si>
  <si>
    <t>Width:255mm Height:160mm Length:315mm Packaging:6pcs</t>
  </si>
  <si>
    <t>https://www.kkh.biz/products/tower-1-3-display-stand-black-efay-960303bk?variant=26955578802276</t>
  </si>
  <si>
    <t>TOWER 1/3 DISPLAY STAND - BLACK - EFAY # 960303BK</t>
  </si>
  <si>
    <t>https://www.kkh.biz/cdn/shop/products/960303BK.jpg?v=1561435772&amp;width=1946</t>
  </si>
  <si>
    <t>Width:120mm Height:80mm Length:315mm Packaging:12pcs</t>
  </si>
  <si>
    <t>https://www.kkh.biz/products/tower-1-3-display-stand-black-efay-960306bk?variant=26955578605668</t>
  </si>
  <si>
    <t>TOWER 1/3 DISPLAY STAND - BLACK - EFAY # 960306BK</t>
  </si>
  <si>
    <t>960306BK</t>
  </si>
  <si>
    <t>https://www.kkh.biz/cdn/shop/products/960306BK.jpg?v=1561435777&amp;width=1946</t>
  </si>
  <si>
    <t>Width:120mm Height:160mm Length:315mm Packaging:6pcs</t>
  </si>
  <si>
    <t>https://www.kkh.biz/products/gn-1-1-cork-basket-assorted-efay-219611?variant=26955265933412</t>
  </si>
  <si>
    <t>GN 1/1 CORK BASKET - ASSORTED - EFAY # 219611</t>
  </si>
  <si>
    <t>https://www.kkh.biz/cdn/shop/products/219611.jpg?v=1561434654&amp;width=1946</t>
  </si>
  <si>
    <t>Width: 325mm Length: 530mm Packaging: 36pcs</t>
  </si>
  <si>
    <t>https://www.kkh.biz/products/gn-1-2-cork-basket-assorted-efay-219612?variant=26955263541348</t>
  </si>
  <si>
    <t>GN 1/2 CORK BASKET - ASSORTED - EFAY # 219612</t>
  </si>
  <si>
    <t>https://www.kkh.biz/cdn/shop/products/219612.jpg?v=1561434656&amp;width=1946</t>
  </si>
  <si>
    <t>Width: 265mm Length: 325mm Packaging: 36pcs</t>
  </si>
  <si>
    <t>https://www.kkh.biz/products/woody-baker-16-rec-platter-assorted-efay-407716er5?variant=26955605180516</t>
  </si>
  <si>
    <t>WOODY BAKER 16'' REC PLATTER - ASSORTED - EFAY # 407716ER5</t>
  </si>
  <si>
    <t>https://www.kkh.biz/cdn/shop/products/407716ER5.jpg?v=1561435090&amp;width=1946</t>
  </si>
  <si>
    <t>Material: Melamine Width:300mm Height:18mm Length:400mm Packaging:24pcs</t>
  </si>
  <si>
    <t>https://www.kkh.biz/products/woody-baker-8-rec-platter-assorted-efay-407512er5?variant=26955603312740</t>
  </si>
  <si>
    <t>WOODY BAKER 8'' REC PLATTER - ASSORTED - EFAY # 407512ER5</t>
  </si>
  <si>
    <t>https://www.kkh.biz/cdn/shop/products/407512ER5.jpg?v=1561435081&amp;width=1946</t>
  </si>
  <si>
    <t>https://www.kkh.biz/products/woody-baker-6-rec-platter-assorted-efay-407412er5?variant=26955603017828</t>
  </si>
  <si>
    <t>WOODY BAKER 6'' REC PLATTER - ASSORTED - EFAY # 407412ER5</t>
  </si>
  <si>
    <t>https://www.kkh.biz/cdn/shop/products/407412ER5.jpg?v=1561435074&amp;width=1946</t>
  </si>
  <si>
    <t>https://www.kkh.biz/products/13-tablet-round-footed-platter-ivory-efay-416813iv?variant=26955560058980</t>
  </si>
  <si>
    <t>13" TABLET ROUND FOOTED PLATTER - IVORY - EFAY # 416813IV</t>
  </si>
  <si>
    <t>https://www.kkh.biz/cdn/shop/products/MEDT-416813IV.jpg?v=1561435210&amp;width=1946</t>
  </si>
  <si>
    <t>Material: Melamine Width:330mm Height:20mm Length:330mm Packaging:12pcs</t>
  </si>
  <si>
    <t>https://www.kkh.biz/products/helper-7-deli-asauce-ladle-ivory-efay-502411iv?variant=26955399069796</t>
  </si>
  <si>
    <t>HELPER 7" DELI ASAUCE LADLE - IVORY - EFAY # 502411IV</t>
  </si>
  <si>
    <t>https://www.kkh.biz/cdn/shop/products/502411IV.jpg?v=1561435250&amp;width=1946</t>
  </si>
  <si>
    <t>Width: 18mm Length: 170mm Packaging: 144pcs</t>
  </si>
  <si>
    <t>https://www.kkh.biz/products/enamel-look-2oz-ramekin-navy-blue-efay-2211021?variant=26955346804836</t>
  </si>
  <si>
    <t>ENAMEL LOOK 2OZ RAMEKIN - NAVY BLUE - EFAY # 2211021</t>
  </si>
  <si>
    <t>https://www.kkh.biz/cdn/shop/products/2211021.jpg?v=1561434780&amp;width=1946</t>
  </si>
  <si>
    <t>https://www.kkh.biz/products/enamel-look-3-tumbler-navy-blue-efay-2210031?variant=26955344445540</t>
  </si>
  <si>
    <t>ENAMEL LOOK 3" TUMBLER - NAVY BLUE - EFAY # 2210031</t>
  </si>
  <si>
    <t>https://www.kkh.biz/cdn/shop/products/2210031.jpg?v=1561434768&amp;width=1946</t>
  </si>
  <si>
    <t>Width:200mm Height:32mm Length:200mm Packaging:96pcs</t>
  </si>
  <si>
    <t>Width:145mm Height:42mm Length:200mm Packaging:96pcs</t>
  </si>
  <si>
    <t>Width:126mm Height:42mm Length:230mm Packaging:96pcs</t>
  </si>
  <si>
    <t>Width:220mm Height:20mm Length:220mm Packaging:96pcs</t>
  </si>
  <si>
    <t>Material: Melamine Width:125mm Height:67mm Length:125mm Packaging:96pcs</t>
  </si>
  <si>
    <t>https://www.kkh.biz/products/cork-basket-130x130x150mm-cylinder-basket-assorted-efay-219405?variant=26955259969636</t>
  </si>
  <si>
    <t>CORK BASKET 130X130X150MM CYLINDER BASKET - ASSORTED - EFAY # 219405</t>
  </si>
  <si>
    <t>https://www.kkh.biz/cdn/shop/products/219405.jpg?v=1561434643&amp;width=1946</t>
  </si>
  <si>
    <t>https://www.kkh.biz/products/gn-cover-1-1-pc-transparent-lid-efay-540511tr?variant=26955378851940</t>
  </si>
  <si>
    <t>GN COVER 1/1 PC TRANSPARENT LID - EFAY # 540511TR</t>
  </si>
  <si>
    <t>https://www.kkh.biz/cdn/shop/products/540511TR.jpg?v=1561435498&amp;width=1946</t>
  </si>
  <si>
    <t>Material: Melamine Width:330mm Height:100mm Length:530mm Packaging:6pcs</t>
  </si>
  <si>
    <t>https://www.kkh.biz/products/gn-cover-1-2-pc-transparent-lid-efay-540512tr?variant=26955377115236</t>
  </si>
  <si>
    <t>GN COVER 1/2 PC TRANSPARENT LID - EFAY # 540512TR</t>
  </si>
  <si>
    <t>https://www.kkh.biz/cdn/shop/products/540512TR.jpg?v=1561435500&amp;width=1946</t>
  </si>
  <si>
    <t>Material: Melamine Width:270mm Height:100mm Length:330mm Packaging:12pcs</t>
  </si>
  <si>
    <t>https://www.kkh.biz/products/gn-cover-1-3-pc-transparent-lid-efay-540513tr?variant=26955376820324</t>
  </si>
  <si>
    <t>GN COVER 1/3 PC TRANSPARENT LID - EFAY # 540513TR</t>
  </si>
  <si>
    <t>https://www.kkh.biz/cdn/shop/products/540513TR.jpg?v=1561435502&amp;width=1946</t>
  </si>
  <si>
    <t>Width:183mm Height:100mm Length:330mm Packaging:18pcs</t>
  </si>
  <si>
    <t>https://www.kkh.biz/products/macaron-10oz-tumbler-ivory-cutie-red-efay-302710ivcr?variant=26955447435364</t>
  </si>
  <si>
    <t>MACARON 10OZ TUMBLER - IVORY - CUTIE RED - EFAY # 302710IVCR</t>
  </si>
  <si>
    <t>https://www.kkh.biz/cdn/shop/products/302710IVCR.jpg?v=1561434914&amp;width=1946</t>
  </si>
  <si>
    <t>https://www.kkh.biz/products/macaron-10oz-tumbler-ivory-cherry-pink-efay-302710ivcp?variant=26955446780004</t>
  </si>
  <si>
    <t>MACARON 10OZ TUMBLER - IVORY - CHERRY PINK - EFAY # 302710IVCP</t>
  </si>
  <si>
    <t>302710IVCP</t>
  </si>
  <si>
    <t>https://www.kkh.biz/cdn/shop/products/302710IVCP.jpg?v=1561434912&amp;width=1946</t>
  </si>
  <si>
    <t>https://www.kkh.biz/products/macaron-6oz-tumbler-ivory-cutie-red-efay-302706ivcr?variant=26955443667044</t>
  </si>
  <si>
    <t>MACARON 6OZ TUMBLER - IVORY - CUTIE RED - EFAY # 302706IVCR</t>
  </si>
  <si>
    <t>302706IVCR</t>
  </si>
  <si>
    <t>https://www.kkh.biz/cdn/shop/products/302706IVCR.jpg?v=1561434892&amp;width=1946</t>
  </si>
  <si>
    <t>https://www.kkh.biz/products/macaron-6oz-tumbler-ivory-cherry-pink-efay-302706ivcp?variant=26955443142756</t>
  </si>
  <si>
    <t>MACARON 6OZ TUMBLER - IVORY - CHERRY PINK - EFAY # 302706IVCP</t>
  </si>
  <si>
    <t>302706IVCP</t>
  </si>
  <si>
    <t>https://www.kkh.biz/cdn/shop/products/302706IVCP.jpg?v=1561434890&amp;width=1946</t>
  </si>
  <si>
    <t>Width:126mm Height:20mm Length:325mm Packaging:24pcs</t>
  </si>
  <si>
    <t>Width:325mm Height:20mm Length:530mm Packaging:9pcs</t>
  </si>
  <si>
    <t>https://www.kkh.biz/products/marble-1-1-footed-platter-white-carrara-efay-5332fpw9?variant=26955453890660</t>
  </si>
  <si>
    <t>MARBLE 1/1 FOOTED PLATTER - WHITE CARRARA - EFAY # 5332FPW9</t>
  </si>
  <si>
    <t>https://www.kkh.biz/cdn/shop/products/5332FPW9.jpg?v=1561435486&amp;width=1946</t>
  </si>
  <si>
    <t>Width:265mm Height:20mm Length:325mm Packaging:12pcs</t>
  </si>
  <si>
    <t>https://www.kkh.biz/products/marble-1-2-footed-platter-white-carrara-efay-3226fpw9?variant=26955453202532</t>
  </si>
  <si>
    <t>MARBLE 1/2 FOOTED PLATTER - WHITE CARRARA - EFAY # 3226FPW9</t>
  </si>
  <si>
    <t>https://www.kkh.biz/cdn/shop/products/3226FPW9.jpg?v=1561434953&amp;width=1946</t>
  </si>
  <si>
    <t>https://www.kkh.biz/products/marble-1-3-footed-platter-white-carrara-efay-3217fpw9?variant=26955451269220</t>
  </si>
  <si>
    <t>MARBLE 1/3 FOOTED PLATTER - WHITE CARRARA - EFAY # 3217FPW9</t>
  </si>
  <si>
    <t>https://www.kkh.biz/cdn/shop/products/3217FPW9.jpg?v=1561434937&amp;width=1946</t>
  </si>
  <si>
    <t>https://www.kkh.biz/products/marble-1-1-footed-platter-black-xemein-efay-5332fbk11?variant=26955450384484</t>
  </si>
  <si>
    <t>MARBLE 1/1 FOOTED PLATTER - BLACK XEMEIN - EFAY # 5332FBK11</t>
  </si>
  <si>
    <t>5332FBK11</t>
  </si>
  <si>
    <t>https://www.kkh.biz/cdn/shop/products/5332FBK11.jpg?v=1561435480&amp;width=1946</t>
  </si>
  <si>
    <t>https://www.kkh.biz/products/1-1-gn-system-stand-stainless-steel-efay-900911ss?variant=26955390419044</t>
  </si>
  <si>
    <t>1/1 GN SYSTEM STAND - STAINLESS STEEL - EFAY # 900911SS</t>
  </si>
  <si>
    <t>900911SS</t>
  </si>
  <si>
    <t>https://www.kkh.biz/cdn/shop/products/900911SS.jpg?v=1561435610&amp;width=1946</t>
  </si>
  <si>
    <t>Material: Melamine Width:530mm Height:325mm Length:565mm Packaging:6pcs</t>
  </si>
  <si>
    <t>Width:270mm Height:20mm Length:270mm Packaging:48pcs</t>
  </si>
  <si>
    <t>Width:200mm Height:42mm Length:270mm Packaging:48pcs</t>
  </si>
  <si>
    <t>Material: Melamine Width:320mm Height:15mm Length:450mm Packaging:12pcs</t>
  </si>
  <si>
    <t>https://www.kkh.biz/products/explorer-5-multi-angle-ticket-clip-black-efay-519805bk?variant=26955539316836</t>
  </si>
  <si>
    <t>EXPLORER 5" MULTI ANGLE TICKET CLIP - BLACK - EFAY # 519805BK</t>
  </si>
  <si>
    <t>519805BK</t>
  </si>
  <si>
    <t>https://www.kkh.biz/cdn/shop/products/519805BK.jpg?v=1561435389&amp;width=1946</t>
  </si>
  <si>
    <t>Material: Melamine Height: 130mm Length: 35mm Packaging: 1000pcs</t>
  </si>
  <si>
    <t>https://www.kkh.biz/products/mela-11-round-gourmet-board-oak-assorted-efay-406111er5?variant=26955484135524</t>
  </si>
  <si>
    <t>MELA 11" ROUND GOURMET BOARD (OAK) - ASSORTED - EFAY # 406111ER5</t>
  </si>
  <si>
    <t>https://www.kkh.biz/cdn/shop/products/406111ER5.jpg?v=1561435019&amp;width=1946</t>
  </si>
  <si>
    <t>Material: Melamine Width:180mm Height:15mm Length:270mm Packaging:24pcs</t>
  </si>
  <si>
    <t>Material: Melamine Width:380mm Height:15mm Length:530mm Packaging:12pcs</t>
  </si>
  <si>
    <t>https://www.kkh.biz/products/mela-21-round-gourmet-board-oak-assorted-efay-406121er5?variant=26955468636260</t>
  </si>
  <si>
    <t>MELA 21" ROUND GOURMET BOARD (OAK) - ASSORTED - EFAY # 406121ER5</t>
  </si>
  <si>
    <t>https://www.kkh.biz/cdn/shop/products/406121ER5.jpg?v=1561435034&amp;width=1946</t>
  </si>
  <si>
    <t>https://www.kkh.biz/products/mela-18-round-gourmet-board-olivia-assorted-efay-406118ab8?variant=26955467882596</t>
  </si>
  <si>
    <t>MELA 18" ROUND GOURMET BOARD (OLIVIA) - ASSORTED - EFAY # 406118AB8</t>
  </si>
  <si>
    <t>406118AB8</t>
  </si>
  <si>
    <t>https://www.kkh.biz/cdn/shop/products/406118AB8.jpg?v=1561435027&amp;width=1946</t>
  </si>
  <si>
    <t>Material: Melamine Width:300mm Height:15mm Length:425mm Packaging:12pcs</t>
  </si>
  <si>
    <t>https://www.kkh.biz/products/mela-17-round-gourmet-board-oak-assorted-efay-406117er5?variant=26955466834020</t>
  </si>
  <si>
    <t>MELA 17" ROUND GOURMET BOARD (OAK) - ASSORTED - EFAY # 406117ER5</t>
  </si>
  <si>
    <t>https://www.kkh.biz/cdn/shop/products/406117ER5.jpg?v=1561435025&amp;width=1946</t>
  </si>
  <si>
    <t>Material: Melamine Width:200mm Height:15mm Length:610mm Packaging:12pcs</t>
  </si>
  <si>
    <t>https://www.kkh.biz/products/mela-24-rectangular-gourmet-board-oak-assorted-efay-406224er5?variant=26955465195620</t>
  </si>
  <si>
    <t>MELA 24" RECTANGULAR GOURMET BOARD (OAK) - ASSORTED - EFAY # 406224ER5</t>
  </si>
  <si>
    <t>https://www.kkh.biz/cdn/shop/products/406224ER5.jpg?v=1561435045&amp;width=1946</t>
  </si>
  <si>
    <t>https://www.kkh.biz/products/mela-21-rectangular-gourmet-board-olivia-assorted-efay-406221ab8?variant=26955464867940</t>
  </si>
  <si>
    <t>MELA 21" RECTANGULAR GOURMET BOARD (OLIVIA) - ASSORTED - EFAY # 406221AB8</t>
  </si>
  <si>
    <t>406221AB8</t>
  </si>
  <si>
    <t>https://www.kkh.biz/cdn/shop/products/406221AB8.jpg?v=1561435038&amp;width=1946</t>
  </si>
  <si>
    <t>Material: Melamine Width:200mm Height:15mm Length:530mm Packaging:12pcs</t>
  </si>
  <si>
    <t>https://www.kkh.biz/products/mela-21-rectangular-gourmet-board-oak-assorted-efay-406221er5?variant=26955464605796</t>
  </si>
  <si>
    <t>MELA 21" RECTANGULAR GOURMET BOARD (OAK) - ASSORTED - EFAY # 406221ER5</t>
  </si>
  <si>
    <t>https://www.kkh.biz/cdn/shop/products/406221ER5.jpg?v=1561435040&amp;width=1946</t>
  </si>
  <si>
    <t>https://www.kkh.biz/products/mela-11-round-gourmet-board-olivia-assorted-efay-406111ab8?variant=26955464409188</t>
  </si>
  <si>
    <t>MELA 11" ROUND GOURMET BOARD (OLIVIA) - ASSORTED - EFAY # 406111AB8</t>
  </si>
  <si>
    <t>406111AB8</t>
  </si>
  <si>
    <t>https://www.kkh.biz/cdn/shop/products/406111AB8.jpg?v=1561435017&amp;width=1946</t>
  </si>
  <si>
    <t>Width:330mm Height:20mm Length:330mm Packaging:12pcs</t>
  </si>
  <si>
    <t>https://www.kkh.biz/products/marble-13-footed-round-platter-white-carrara-efay-416813pw9?variant=26955454775396</t>
  </si>
  <si>
    <t>MARBLE 13" FOOTED ROUND PLATTER - WHITE CARRARA - EFAY # 416813PW9</t>
  </si>
  <si>
    <t>https://www.kkh.biz/cdn/shop/products/416813PW9.jpg?v=1561435217&amp;width=1946</t>
  </si>
  <si>
    <t>https://www.kkh.biz/products/little-chef-10-rc-pan-black-black-efay-520310bk?variant=26955436228708</t>
  </si>
  <si>
    <t>LITTLE CHEF 10'' RC PAN BLACK - BLACK - EFAY # 520310BK</t>
  </si>
  <si>
    <t>520310BK</t>
  </si>
  <si>
    <t>https://www.kkh.biz/cdn/shop/products/520310BK.jpg?v=1561435406&amp;width=1946</t>
  </si>
  <si>
    <t>Width:162mm Height:20mm Length:320mm Packaging:48pcs</t>
  </si>
  <si>
    <t>Material: Melamine Width:265mm Height:18mm Length:325mm Packaging:24pcs</t>
  </si>
  <si>
    <t>https://www.kkh.biz/products/gn-baker-writing-1-2-platter-black-efay-407812bk16?variant=26955373117540</t>
  </si>
  <si>
    <t>GN BAKER - WRITING 1/2 PLATTER - BLACK - EFAY # 407812BK16</t>
  </si>
  <si>
    <t>407812BK16</t>
  </si>
  <si>
    <t>https://www.kkh.biz/cdn/shop/products/407812BK16.jpg?v=1561435100&amp;width=1946</t>
  </si>
  <si>
    <t>Material: Melamine Width:146mm Height:18mm Length:265mm Packaging:36pcs</t>
  </si>
  <si>
    <t>https://www.kkh.biz/products/gn-baker-writing-1-3-platter-black-efay-407813bk16?variant=26955370987620</t>
  </si>
  <si>
    <t>GN BAKER - WRITING 1/3 PLATTER - BLACK - EFAY # 407813BK16</t>
  </si>
  <si>
    <t>407813BK16</t>
  </si>
  <si>
    <t>https://www.kkh.biz/cdn/shop/products/407813BK16.jpg?v=1561435105&amp;width=1946</t>
  </si>
  <si>
    <t>https://www.kkh.biz/products/enamel-8-rectangular-pie-dish-navy-blue-efay-2213081?variant=26955326324836</t>
  </si>
  <si>
    <t>ENAMEL 8" RECTANGULAR PIE DISH - NAVY BLUE - EFAY # 2213081</t>
  </si>
  <si>
    <t>https://www.kkh.biz/cdn/shop/products/2213081.jpg?v=1561434803&amp;width=1946</t>
  </si>
  <si>
    <t>https://www.kkh.biz/products/enamel-9-rectangular-pie-dish-navy-blue-efay-2212091?variant=26955326128228</t>
  </si>
  <si>
    <t>ENAMEL 9" RECTANGULAR PIE DISH - NAVY BLUE - EFAY # 2212091</t>
  </si>
  <si>
    <t>https://www.kkh.biz/cdn/shop/products/2212091.jpg?v=1561434793&amp;width=1946</t>
  </si>
  <si>
    <t>https://www.kkh.biz/products/gn-1-3-cork-basket-1-3-assorted-efay-219613?variant=26955260723300</t>
  </si>
  <si>
    <t>GN 1/3 CORK BASKET 1/3 - ASSORTED - EFAY # 219613</t>
  </si>
  <si>
    <t>https://www.kkh.biz/cdn/shop/products/219613.jpg?v=1561434659&amp;width=1946</t>
  </si>
  <si>
    <t>Width: 176mm Length: 325mm Packaging: 36pcs</t>
  </si>
  <si>
    <t>Width:325mm Height:7mm Length:530mm Packaging:6pcs</t>
  </si>
  <si>
    <t>https://www.kkh.biz/products/taroko-grantie-slate-1-1-platter-black-slate-efay-5332tbk1?variant=26955569102948</t>
  </si>
  <si>
    <t>TAROKO GRANTIE SLATE 1/1 PLATTER - BLACK SLATE - EFAY # 5332TBK1</t>
  </si>
  <si>
    <t>https://www.kkh.biz/cdn/shop/products/5332TBK1.jpg?v=1561435489&amp;width=1946</t>
  </si>
  <si>
    <t>Width:265mm Height:7mm Length:325mm Packaging:12pcs</t>
  </si>
  <si>
    <t>https://www.kkh.biz/products/taroko-grantie-slate-1-2-platter-black-slate-efay-3226tbk1?variant=26955567890532</t>
  </si>
  <si>
    <t>TAROKO GRANTIE SLATE 1/2 PLATTER - BLACK SLATE - EFAY # 3226TBK1</t>
  </si>
  <si>
    <t>https://www.kkh.biz/cdn/shop/products/3226TBK1.jpg?v=1561434955&amp;width=1946</t>
  </si>
  <si>
    <t>Width:176mm Height:7mm Length:325mm Packaging:24pcs</t>
  </si>
  <si>
    <t>https://www.kkh.biz/products/taroko-grantie-slate-1-3-platter-black-slate-efay-3217tbk1?variant=26955560910948</t>
  </si>
  <si>
    <t>TAROKO GRANTIE SLATE 1/3 PLATTER - BLACK SLATE - EFAY # 3217TBK1</t>
  </si>
  <si>
    <t>https://www.kkh.biz/cdn/shop/products/3217TBK1.jpg?v=1561434940&amp;width=1946</t>
  </si>
  <si>
    <t>https://www.kkh.biz/products/explorer-2-5-multi-angle-ticket-clip-black-efay-519803bk?variant=26955541315684</t>
  </si>
  <si>
    <t>EXPLORER 2.5" MULTI ANGLE TICKET CLIP - BLACK - EFAY # 519803BK</t>
  </si>
  <si>
    <t>519803BK</t>
  </si>
  <si>
    <t>https://www.kkh.biz/cdn/shop/products/519803BK.jpg?v=1561435375&amp;width=1946</t>
  </si>
  <si>
    <t>Material: Melamine Height: 65mm Length: 35mm Packaging: 1000pcs</t>
  </si>
  <si>
    <t>https://www.kkh.biz/products/enamel-10-5-rectangular-pie-dish-navy-blue-efay-2205111?variant=26955326554212</t>
  </si>
  <si>
    <t>ENAMEL 10.5" RECTANGULAR PIE DISH - NAVY BLUE - EFAY # 2205111</t>
  </si>
  <si>
    <t>https://www.kkh.biz/cdn/shop/products/2205111.jpg?v=1561434714&amp;width=1946</t>
  </si>
  <si>
    <t>Material: Melamine Width:325mm Height:65mm Length:530mm Packaging:6pcs</t>
  </si>
  <si>
    <t>https://www.kkh.biz/products/classic-gn-pan-1-1-65mm-america-ivory-efay-1165aiv?variant=26955240439908</t>
  </si>
  <si>
    <t>CLASSIC GN PAN 1/1 65MM AMERICA - IVORY - EFAY # 1165AIV</t>
  </si>
  <si>
    <t>https://www.kkh.biz/cdn/shop/products/MEDP-1165AIV.jpg?v=1561434012&amp;width=1946</t>
  </si>
  <si>
    <t>https://www.kkh.biz/products/classic-gn-pan-2-3-65mm-america-ivory-efay-2365aiv?variant=26955238867044</t>
  </si>
  <si>
    <t>CLASSIC GN PAN 2/3 65MM AMERICA - IVORY - EFAY # 2365AIV</t>
  </si>
  <si>
    <t>2365AIV</t>
  </si>
  <si>
    <t>https://www.kkh.biz/cdn/shop/products/MEDP-2365AIV.jpg?v=1561434843&amp;width=1946</t>
  </si>
  <si>
    <t>Material: Melamine Width:325mm Height:65mm Length:353mm Packaging:6pcs</t>
  </si>
  <si>
    <t>Material: Melamine Width:325mm Height:40mm Length:530mm Packaging:6pcs</t>
  </si>
  <si>
    <t>https://www.kkh.biz/products/classic-gn-pan-1-1-40mm-america-ivory-efay-1140aiv?variant=26955238473828</t>
  </si>
  <si>
    <t>CLASSIC GN PAN 1/1 40MM AMERICA - IVORY - EFAY # 1140AIV</t>
  </si>
  <si>
    <t>1140AIV</t>
  </si>
  <si>
    <t>https://www.kkh.biz/cdn/shop/products/MEDP-1140AIV.jpg?v=1561433988&amp;width=1946</t>
  </si>
  <si>
    <t>Material: Melamine Width:325mm Height:20mm Length:530mm Packaging:12pcs</t>
  </si>
  <si>
    <t>https://www.kkh.biz/products/classic-gn-pan-1-1-20mm-american-ivory-efay-1120aiv?variant=26955237818468</t>
  </si>
  <si>
    <t>CLASSIC GN PAN 1/1 20MM AMERICAN - IVORY - EFAY # 1120AIV</t>
  </si>
  <si>
    <t>https://www.kkh.biz/cdn/shop/products/112013IV.jpg?v=1561433863&amp;width=1946</t>
  </si>
  <si>
    <t>https://www.kkh.biz/products/classic-gn-pan-1-1-100mm-europe-ivory-efay-11100eiv?variant=26955237687396</t>
  </si>
  <si>
    <t>CLASSIC GN PAN 1/1 100MM EUROPE - IVORY - EFAY # 11100EIV</t>
  </si>
  <si>
    <t>https://www.kkh.biz/cdn/shop/products/MEDP-11100EIV.jpg?v=1561433831&amp;width=1946</t>
  </si>
  <si>
    <t>Material: Melamine Width:325mm Height:100mm Length:530mm Packaging:6pcs</t>
  </si>
  <si>
    <t>Material: Melamine Width:265mm Height:65mm Length:325mm Packaging:12pcs</t>
  </si>
  <si>
    <t>https://www.kkh.biz/products/classic-gn-pan-1-2-65mm-america-ivory-efay-1265aiv?variant=26955237130340</t>
  </si>
  <si>
    <t>CLASSIC GN PAN 1/2 65MM AMERICA - IVORY - EFAY # 1265AIV</t>
  </si>
  <si>
    <t>1265AIV</t>
  </si>
  <si>
    <t>https://www.kkh.biz/cdn/shop/products/MEDP-1265AIV.jpg?v=1561434233&amp;width=1946</t>
  </si>
  <si>
    <t>Material: Melamine Width:265mm Height:40mm Length:325mm Packaging:12pcs</t>
  </si>
  <si>
    <t>https://www.kkh.biz/products/classic-gn-pan-1-2-40mm-america-ivory-efay-1240aiv?variant=26955236507748</t>
  </si>
  <si>
    <t>CLASSIC GN PAN 1/2 40MM AMERICA - IVORY - EFAY # 1240AIV</t>
  </si>
  <si>
    <t>https://www.kkh.biz/cdn/shop/products/MEDP-1240AIV.jpg?v=1561434219&amp;width=1946</t>
  </si>
  <si>
    <t>Material: Melamine Width:265mm Height:20mm Length:325mm Packaging:24pcs</t>
  </si>
  <si>
    <t>https://www.kkh.biz/products/classic-gn-pan-1-2-20mm-america-ivory-efay-1220aiv?variant=26955235852388</t>
  </si>
  <si>
    <t>CLASSIC GN PAN 1/2 20MM AMERICA - IVORY - EFAY # 1220AIV</t>
  </si>
  <si>
    <t>https://www.kkh.biz/cdn/shop/products/MEDP-1220AIV.jpg?v=1561434161&amp;width=1946</t>
  </si>
  <si>
    <t>Material: Melamine Width:265mm Height:100mm Length:325mm Packaging:12pcs</t>
  </si>
  <si>
    <t>https://www.kkh.biz/products/classic-gn-pan-1-2-100mm-america-ivory-efay-12100aiv?variant=26955235197028</t>
  </si>
  <si>
    <t>CLASSIC GN PAN 1/2 100MM AMERICA - IVORY - EFAY # 12100AIV</t>
  </si>
  <si>
    <t>12100AIV</t>
  </si>
  <si>
    <t>https://www.kkh.biz/cdn/shop/products/MEDP-12100AIV.jpg?v=1561434137&amp;width=1946</t>
  </si>
  <si>
    <t>https://www.kkh.biz/products/classic-gn-pan-2-4-65mm-america-ivory-efay-2465aiv?variant=26955235000420</t>
  </si>
  <si>
    <t>CLASSIC GN PAN 2/4 65MM AMERICA - IVORY - EFAY # 2465AIV</t>
  </si>
  <si>
    <t>https://www.kkh.biz/cdn/shop/products/MEDP-2465AIV.jpg?v=1561434856&amp;width=1946</t>
  </si>
  <si>
    <t>Material: Melamine Width:162mm Height:65mm Length:530mm Packaging:12pcs</t>
  </si>
  <si>
    <t>https://www.kkh.biz/products/classic-gn-pan-1-4-65mm-america-ivory-efay-1465aiv?variant=26955234279524</t>
  </si>
  <si>
    <t>CLASSIC GN PAN 1/4 65MM AMERICA - IVORY - EFAY # 1465AIV</t>
  </si>
  <si>
    <t>https://www.kkh.biz/cdn/shop/products/MEDP-1465AIV.jpg?v=1561434296&amp;width=1946</t>
  </si>
  <si>
    <t>Width:162mm Height:65mm Length:176mm Packaging:12pcs</t>
  </si>
  <si>
    <t>https://www.kkh.biz/products/classic-gn-pan-1-6-65mm-america-ivory-efay-1665aiv?variant=26955233591396</t>
  </si>
  <si>
    <t>CLASSIC GN PAN 1/6 65MM AMERICA - IVORY - EFAY # 1665AIV</t>
  </si>
  <si>
    <t>https://www.kkh.biz/cdn/shop/products/MEDP-1665AIV.jpg?v=1561434308&amp;width=1946</t>
  </si>
  <si>
    <t>Material: Melamine Width:162mm Height:65mm Length:126mm Packaging:24pcs</t>
  </si>
  <si>
    <t>https://www.kkh.biz/products/classic-gn-pan-2-4-20mm-america-ivory-efay-2420aiv?variant=26955232837732</t>
  </si>
  <si>
    <t>CLASSIC GN PAN 2/4 20MM AMERICA - IVORY - EFAY # 2420AIV</t>
  </si>
  <si>
    <t>https://www.kkh.biz/cdn/shop/products/MEDP-2420AIV.jpg?v=1561434852&amp;width=1946</t>
  </si>
  <si>
    <t>Material: Melamine Width:162mm Height:20mm Length:530mm Packaging:24pcs</t>
  </si>
  <si>
    <t>Material: Melamine Width:162mm Height:100mm Length:176mm Packaging:12pcs</t>
  </si>
  <si>
    <t>https://www.kkh.biz/products/classic-gn-pan-1-6-100mm-america-ivory-efay-16100aiv?variant=26955231428708</t>
  </si>
  <si>
    <t>CLASSIC GN PAN 1/6 100MM AMERICA - IVORY - EFAY # 16100AIV</t>
  </si>
  <si>
    <t>https://www.kkh.biz/cdn/shop/products/MEDP-16100AIV.jpg?v=1561434302&amp;width=1946</t>
  </si>
  <si>
    <t>Material: Melamine Width:176mm Height:65mm Length:325mm Packaging:12pcs</t>
  </si>
  <si>
    <t>https://www.kkh.biz/products/classic-gn-pan-1-3-65mm-america-ivory-efay-1365aiv?variant=26955230412900</t>
  </si>
  <si>
    <t>CLASSIC GN PAN 1/3 65MM AMERICA - IVORY - EFAY # 1365AIV</t>
  </si>
  <si>
    <t>https://www.kkh.biz/cdn/shop/products/MEDP-1365AIV.jpg?v=1561434269&amp;width=1946</t>
  </si>
  <si>
    <t>Material: Melamine Width:176mm Height:100mm Length:325mm Packaging:12pcs</t>
  </si>
  <si>
    <t>https://www.kkh.biz/products/classic-gn-pan-1-3-100mm-america-ivory-efay-13100aiv?variant=26955229823076</t>
  </si>
  <si>
    <t>CLASSIC GN PAN 1/3 100MM AMERICA - IVORY - EFAY # 13100AIV</t>
  </si>
  <si>
    <t>https://www.kkh.biz/cdn/shop/products/MEDP-13100AIV.jpg?v=1561434239&amp;width=1946</t>
  </si>
  <si>
    <t>https://www.kkh.biz/products/woody-baker-300x50mm-rec-platter-oak-earth-assorted-efay-407212er5?variant=26955605442660</t>
  </si>
  <si>
    <t>WOODY BAKER 300X50MM REC PLATTER (OAK) EARTH - ASSORTED - EFAY # 407212ER5</t>
  </si>
  <si>
    <t>https://www.kkh.biz/cdn/shop/products/407212ER5.jpg?v=1561435063&amp;width=1946</t>
  </si>
  <si>
    <t>Material: Melamine Width:50mm Height:18mm Length:300mm Packaging:192pcs</t>
  </si>
  <si>
    <t>https://www.kkh.biz/products/woody-baker-300x100mm-rec-platter-oak-earth-assorted-efay-407312er5?variant=26955602788452</t>
  </si>
  <si>
    <t>WOODY BAKER 300X100MM REC PLATTER (OAK) EARTH - ASSORTED - EFAY # 407312ER5</t>
  </si>
  <si>
    <t>https://www.kkh.biz/cdn/shop/products/407312ER5.jpg?v=1561435067&amp;width=1946</t>
  </si>
  <si>
    <t>Material: Melamine Width:100mm Height:18mm Length:300mm Packaging:24pcs</t>
  </si>
  <si>
    <t>https://www.kkh.biz/products/3d-nonslip-display-stand-dance-3-h-green-efay-920603gr?variant=26955586306148</t>
  </si>
  <si>
    <t>3D NONSLIP DISPLAY STAND - DANCE 3"H - GREEN - EFAY # 920603GR</t>
  </si>
  <si>
    <t>920603GR</t>
  </si>
  <si>
    <t>https://www.kkh.biz/cdn/shop/products/920603GR.jpg?v=1561435667&amp;width=1946</t>
  </si>
  <si>
    <t>Width:160mm Height:80mm Length:160mm Packaging:6pcs</t>
  </si>
  <si>
    <t>Width:110mm Height:50mm Length:110mm Packaging:6pcs</t>
  </si>
  <si>
    <t>https://www.kkh.biz/products/3d-nonslip-display-stand-dance-3-h-black-efay-920603bk?variant=26955582931044</t>
  </si>
  <si>
    <t>3D NONSLIP DISPLAY STAND - DANCE 3"H - BLACK - EFAY # 920603BK</t>
  </si>
  <si>
    <t>920603BK</t>
  </si>
  <si>
    <t>https://www.kkh.biz/cdn/shop/products/920603BK.jpg?v=1561435665&amp;width=1946</t>
  </si>
  <si>
    <t>https://www.kkh.biz/products/3d-nonslip-display-stand-dance-2-h-black-efay-920602bk?variant=26955581849700</t>
  </si>
  <si>
    <t>3D NONSLIP DISPLAY STAND - DANCE 2"H - BLACK - EFAY # 920602BK</t>
  </si>
  <si>
    <t>920602BK</t>
  </si>
  <si>
    <t>https://www.kkh.biz/cdn/shop/products/920602BK.jpg?v=1561435657&amp;width=1946</t>
  </si>
  <si>
    <t>https://www.kkh.biz/products/mela-slate-21-round-gourmet-board-black-slate-efay-407121bk?variant=26955463950436</t>
  </si>
  <si>
    <t>MELA SLATE 21" ROUND GOURMET BOARD - BLACK SLATE - EFAY # 407121BK</t>
  </si>
  <si>
    <t>https://www.kkh.biz/cdn/shop/products/MEDT-407121BK.jpg?v=1561435060&amp;width=1946</t>
  </si>
  <si>
    <t>https://www.kkh.biz/products/mela-slate-17-round-gourmet-board-black-slate-efay-407117bk?variant=26955463753828</t>
  </si>
  <si>
    <t>MELA SLATE 17" ROUND GOURMET BOARD - BLACK SLATE - EFAY # 407117BK</t>
  </si>
  <si>
    <t>https://www.kkh.biz/cdn/shop/products/MEDT-407117BK.jpg?v=1561435058&amp;width=1946</t>
  </si>
  <si>
    <t>Material: Melamine Width:300mm Height:15mm Length:430mm Packaging:12pcs</t>
  </si>
  <si>
    <t>https://www.kkh.biz/products/mela-slate-13-round-gourmet-board-black-slate-efay-407113bk?variant=26955463655524</t>
  </si>
  <si>
    <t>MELA SLATE 13" ROUND GOURMET BOARD - BLACK SLATE - EFAY # 407113BK</t>
  </si>
  <si>
    <t>https://www.kkh.biz/cdn/shop/products/MEDT-407113BK.jpg?v=1561435056&amp;width=1946</t>
  </si>
  <si>
    <t>Material: Melamine Width:230mm Height:15mm Length:320mm Packaging:24pcs</t>
  </si>
  <si>
    <t>https://www.kkh.biz/products/little-chef-5-mini-ov-pan-black-black-efay-520605bk?variant=26955436490852</t>
  </si>
  <si>
    <t>LITTLE CHEF 5'' MINI OV PAN BLACK - BLACK - EFAY # 520605BK</t>
  </si>
  <si>
    <t>https://www.kkh.biz/cdn/shop/products/520605BK.jpg?v=1561435414&amp;width=1946</t>
  </si>
  <si>
    <t>Width:80mm Height:37mm Length:155mm Packaging:96pcs</t>
  </si>
  <si>
    <t>https://www.kkh.biz/products/little-chef-6-mini-rd-pan-black-black-efay-520406bk?variant=26955435966564</t>
  </si>
  <si>
    <t>LITTLE CHEF 6'' MINI RD PAN BLACK - BLACK - EFAY # 520406BK</t>
  </si>
  <si>
    <t>https://www.kkh.biz/cdn/shop/products/520406BK.jpg?v=1561435411&amp;width=1946</t>
  </si>
  <si>
    <t>Width:147mm Height:37mm Length:189mm Packaging:96pcs</t>
  </si>
  <si>
    <t>https://www.kkh.biz/products/little-chef-8-mini-ov-pan-black-black-efay-520685bk?variant=26955435704420</t>
  </si>
  <si>
    <t>LITTLE CHEF 8'' MINI OV PAN BLACK - BLACK - EFAY # 520685BK</t>
  </si>
  <si>
    <t>https://www.kkh.biz/cdn/shop/products/520685BK.jpg?v=1561435417&amp;width=1946</t>
  </si>
  <si>
    <t>Width:140mm Height:37mm Length:263mm Packaging:96pcs</t>
  </si>
  <si>
    <t>https://www.kkh.biz/products/little-chef-5-mini-sq-pan-black-black-efay-520105bk?variant=26955433345124</t>
  </si>
  <si>
    <t>LITTLE CHEF 5'' MINI SQ PAN BLACK - BLACK - EFAY # 520105BK</t>
  </si>
  <si>
    <t>https://www.kkh.biz/cdn/shop/products/520105BK.jpg?v=1561435401&amp;width=1946</t>
  </si>
  <si>
    <t>Width:125mm Height:30mm Length:160mm Packaging:96pcs</t>
  </si>
  <si>
    <t>https://www.kkh.biz/products/little-chef-5-mini-rd-pan-black-black-efay-520204bk?variant=26955432984676</t>
  </si>
  <si>
    <t>LITTLE CHEF 5'' MINI RD PAN BLACK - BLACK - EFAY # 520204BK</t>
  </si>
  <si>
    <t>https://www.kkh.biz/cdn/shop/products/520204BK.jpg?v=1561435404&amp;width=1946</t>
  </si>
  <si>
    <t>Width:121mm Height:30mm Length:162mm Packaging:96pcs</t>
  </si>
  <si>
    <t>https://www.kkh.biz/products/little-chef-4-mini-rd-pan-black-black-efay-520404bk?variant=26955432722532</t>
  </si>
  <si>
    <t>LITTLE CHEF 4'' MINI RD PAN BLACK - BLACK - EFAY # 520404BK</t>
  </si>
  <si>
    <t>https://www.kkh.biz/cdn/shop/products/520404BK.jpg?v=1561435409&amp;width=1946</t>
  </si>
  <si>
    <t>Width:115mm Height:37mm Length:150mm Packaging:96pcs</t>
  </si>
  <si>
    <t>https://www.kkh.biz/products/enamel-8-round-soup-plate-navy-blue-rim-efay-2208081?variant=26955340775524</t>
  </si>
  <si>
    <t>ENAMEL 8" ROUND SOUP PLATE - NAVY BLUE RIM - EFAY # 2208081</t>
  </si>
  <si>
    <t>https://www.kkh.biz/cdn/shop/products/2208081.jpg?v=1561434749&amp;width=1946</t>
  </si>
  <si>
    <t>https://www.kkh.biz/products/enamel-9-round-side-dish-navy-blue-rim-efay-2207091?variant=26955326816356</t>
  </si>
  <si>
    <t>ENAMEL 9" ROUND SIDE DISH - NAVY BLUE RIM - EFAY # 2207091</t>
  </si>
  <si>
    <t>https://www.kkh.biz/cdn/shop/products/2207091.jpg?v=1561434740&amp;width=1946</t>
  </si>
  <si>
    <t>https://www.kkh.biz/products/enamel-5-round-pudding-bowl-navy-blue-rim-efay-2209051?variant=26955321933924</t>
  </si>
  <si>
    <t>ENAMEL 5" ROUND PUDDING BOWL - NAVY BLUE RIM - EFAY # 2209051</t>
  </si>
  <si>
    <t>https://www.kkh.biz/cdn/shop/products/2209051.jpg?v=1561434758&amp;width=1946</t>
  </si>
  <si>
    <t>https://www.kkh.biz/products/nanto-5pcs-melamine-servingbowl-w-bamboo-tray-set-assorted-efay-70080501iv?variant=26955487805540</t>
  </si>
  <si>
    <t>NANTO 5PCS MELAMINE SERVINGBOWL W/BAMBOO TRAY SET - ASSORTED - EFAY # 70080501IV</t>
  </si>
  <si>
    <t>70080501IV</t>
  </si>
  <si>
    <t>https://www.kkh.biz/cdn/shop/products/70080501IV.jpg?v=1561435567&amp;width=1946</t>
  </si>
  <si>
    <t>Width:130mm Height:60mm Length:400mm Packaging:6pcs</t>
  </si>
  <si>
    <t>https://www.kkh.biz/products/enamel-10-5-round-dinner-plate-navy-blue-rim-efay-2206111?variant=26955341037668</t>
  </si>
  <si>
    <t>ENAMEL 10.5" ROUND DINNER PLATE - NAVY BLUE RIM - EFAY # 2206111</t>
  </si>
  <si>
    <t>https://www.kkh.biz/cdn/shop/products/2206111.jpg?v=1561434731&amp;width=1946</t>
  </si>
  <si>
    <t>https://www.kkh.biz/products/3d-non-slip-display-stand-dance-3-h-red-efay-920603rd?variant=26955586895972</t>
  </si>
  <si>
    <t>3D NON SLIP DISPLAY STAND - DANCE 3"H - RED - EFAY # 920603RD</t>
  </si>
  <si>
    <t>920603RD</t>
  </si>
  <si>
    <t>https://www.kkh.biz/cdn/shop/products/920603RD.jpg?v=1561435669&amp;width=1946</t>
  </si>
  <si>
    <t>https://www.kkh.biz/products/3d-non-slip-display-stand-dance-2-h-red-efay-920602rd?variant=26955586699364</t>
  </si>
  <si>
    <t>3D NON SLIP DISPLAY STAND - DANCE 2"H - RED - EFAY # 920602RD</t>
  </si>
  <si>
    <t>https://www.kkh.biz/cdn/shop/products/920602RD.jpg?v=1561435662&amp;width=1946</t>
  </si>
  <si>
    <t>https://www.kkh.biz/products/3d-non-slip-display-stand-star-8-h-black-efay-920708bk?variant=26955553276004</t>
  </si>
  <si>
    <t>3D NON SLIP DISPLAY STAND - STAR 8''H - BLACK - EFAY # 920708BK</t>
  </si>
  <si>
    <t>https://www.kkh.biz/cdn/shop/products/920708BK.jpg?v=1561435695&amp;width=1946</t>
  </si>
  <si>
    <t>Width:230mm Height:200mm Length:265mm Packaging:6pcs</t>
  </si>
  <si>
    <t>https://www.kkh.biz/products/3d-non-slip-display-stand-star-4-h-black-efay-920704bk?variant=26955553079396</t>
  </si>
  <si>
    <t>3D NON SLIP DISPLAY STAND - STAR 4''H - BLACK - EFAY # 920704BK</t>
  </si>
  <si>
    <t>920704BK</t>
  </si>
  <si>
    <t>https://www.kkh.biz/cdn/shop/products/920704BK.jpg?v=1561435692&amp;width=1946</t>
  </si>
  <si>
    <t>Width:230mm Height:100mm Length:265mm Packaging:6pcs</t>
  </si>
  <si>
    <t>Width:215mm Height:200mm Length:215mm Packaging:6pcs</t>
  </si>
  <si>
    <t>Width:215mm Height:150mm Length:215mm Packaging:6pcs</t>
  </si>
  <si>
    <t>Width:215mm Height:100mm Length:215mm Packaging:6pcs</t>
  </si>
  <si>
    <t>https://www.kkh.biz/products/3d-non-slip-display-stand-dance-8-h-black-efay-920608bk?variant=26955271405668</t>
  </si>
  <si>
    <t>3D NON SLIP DISPLAY STAND - DANCE 8"H - BLACK - EFAY # 920608BK</t>
  </si>
  <si>
    <t>920608BK</t>
  </si>
  <si>
    <t>https://www.kkh.biz/cdn/shop/products/920608BK.jpg?v=1561435685&amp;width=1946</t>
  </si>
  <si>
    <t>https://www.kkh.biz/products/3d-non-slip-display-stand-dance-6-h-black-efay-920606bk?variant=26955269734500</t>
  </si>
  <si>
    <t>3D NON SLIP DISPLAY STAND - DANCE 6"H - BLACK - EFAY # 920606BK</t>
  </si>
  <si>
    <t>920606BK</t>
  </si>
  <si>
    <t>https://www.kkh.biz/cdn/shop/products/920606BK.jpg?v=1561435678&amp;width=1946</t>
  </si>
  <si>
    <t>https://www.kkh.biz/products/3d-non-slip-display-stand-dance-4-h-black-efay-920604bk?variant=26955269111908</t>
  </si>
  <si>
    <t>3D NON SLIP DISPLAY STAND - DANCE 4"H - BLACK - EFAY # 920604BK</t>
  </si>
  <si>
    <t>https://www.kkh.biz/cdn/shop/products/920604BK.jpg?v=1561435671&amp;width=1946</t>
  </si>
  <si>
    <t>https://www.kkh.biz/products/non-slip-display-stand-gn-element-10-h-1-1-1-2-black-efay-901610bk?variant=26955380621412</t>
  </si>
  <si>
    <t>NON SLIP DISPLAY STAND - GN ELEMENT 10"H (1/1+1/2) - BLACK - EFAY # 901610BK</t>
  </si>
  <si>
    <t>https://www.kkh.biz/cdn/shop/products/901610BK.jpg?v=1561435626&amp;width=1946</t>
  </si>
  <si>
    <t>Width:313mm Height:253mm Length:518mm Packaging:1pc</t>
  </si>
  <si>
    <t>https://www.kkh.biz/products/non-slip-display-stand-gn-element-6-h-1-1-2-4-black-efay-901706bk?variant=26955380162660</t>
  </si>
  <si>
    <t>NON SLIP DISPLAY STAND - GN ELEMENT 6"H (1/1+2/4) - BLACK - EFAY # 901706BK</t>
  </si>
  <si>
    <t>https://www.kkh.biz/cdn/shop/products/901706BK.jpg?v=1561435628&amp;width=1946</t>
  </si>
  <si>
    <t>Width:313mm Height:158mm Length:518mm Packaging:1pc</t>
  </si>
  <si>
    <t>https://www.kkh.biz/products/non-slip-display-stand-gn-element-6-h-1-2-1-4-black-efay-901806bk?variant=26955379802212</t>
  </si>
  <si>
    <t>NON SLIP DISPLAY STAND - GN ELEMENT 6"H (1/2+1/4) - BLACK - EFAY # 901806BK</t>
  </si>
  <si>
    <t>901806BK</t>
  </si>
  <si>
    <t>https://www.kkh.biz/cdn/shop/products/901806BK.jpg?v=1561435631&amp;width=1946</t>
  </si>
  <si>
    <t>Width:253mm Height:258mm Length:313mm Packaging:1pc</t>
  </si>
  <si>
    <t>https://www.kkh.biz/products/non-slip-display-stand-gn-element-6-h-1-3-1-6-black-efay-901906bk?variant=26955379048548</t>
  </si>
  <si>
    <t>NON SLIP DISPLAY STAND - GN ELEMENT 6"H (1/3+1/6) - BLACK - EFAY # 901906BK</t>
  </si>
  <si>
    <t>901906BK</t>
  </si>
  <si>
    <t>https://www.kkh.biz/cdn/shop/products/901906BK.jpg?v=1561435634&amp;width=1946</t>
  </si>
  <si>
    <t>Width:170mm Height:158mm Length:313mm Packaging:1pc</t>
  </si>
  <si>
    <t>https://store.siahuat.com/product/8667989337</t>
  </si>
  <si>
    <t>3D NON SLIP DISPLAY STAND-CROWN</t>
  </si>
  <si>
    <t>921108RC</t>
  </si>
  <si>
    <t>https://www.clover.lk/cdn/shop/products/PhotoRoom-20210714_114843_540x.png?v=1626243890</t>
  </si>
  <si>
    <t>Inheriting the over 4 decades melamine production technique and craftsmanship, Efay continues to create attractive &amp; practical solutions for HORECA business with dynamic passion and commercial knowledge.</t>
  </si>
  <si>
    <t>https://shop.tottstore.com/wp-content/uploads/2021/03/2-133-600x600.jpeg</t>
  </si>
  <si>
    <t>L17.6xH15cm Round Cylinder Cork Bag/Basket Beige for Buffet/Display</t>
  </si>
  <si>
    <t>L26.5xH12cm Round Cylinder Cork Bag/Basket Beige for Buffet/Display</t>
  </si>
  <si>
    <t>L32.5xH12cm Round Cylinder Cork Bag/Basket Beige for Buffet/Display</t>
  </si>
  <si>
    <t>L32.5xW17.5cm GN 1/3 Size Cork Bag/Basket Beige for Buffet/Display</t>
  </si>
  <si>
    <t>https://shop.tottstore.com/product/efay-gn-1-3-cork-bag-l32-5xw17-6cm/?srsltid=AfmBOorR7WcP9txiD-3rEy6iffdStQR2HbtImKn_2HX0kWrQoxf5E7mJ</t>
  </si>
  <si>
    <t>Suitable For Contact With Food And Dishwasher Safe. Great For Buffet To Table Display Made Of Food-Safe Melamine</t>
  </si>
  <si>
    <t>https://static.wixstatic.com/media/06a9bf_4174f098209946a79329b428b3cd9e37~mv2.jpg/v1/fill/w_500,h_500,q_70,enc_avif,quality_auto/06a9bf_4174f098209946a79329b428b3cd9e37~mv2.jpg</t>
  </si>
  <si>
    <t>407612BK</t>
  </si>
  <si>
    <t>L30xW30cm Square Woody Baker Pastry Tray Black</t>
  </si>
  <si>
    <t>https://www.efaygroup.com/efay-barware-counter-service/woody-baker</t>
  </si>
  <si>
    <t>902725BK</t>
  </si>
  <si>
    <t>https://store.siahuat.com/product/10921476830</t>
  </si>
  <si>
    <t>The Efay Enamel melamine GN 1/3 slim tray is ideal for serving hors d'oeuvres, shareable sides,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</si>
  <si>
    <t>706008CG</t>
  </si>
  <si>
    <t>706010CG</t>
  </si>
  <si>
    <t>706012CG</t>
  </si>
  <si>
    <t>516004IV</t>
  </si>
  <si>
    <t>206131IV</t>
  </si>
  <si>
    <t>206231IV</t>
  </si>
  <si>
    <t>207204IV</t>
  </si>
  <si>
    <t>207205IV</t>
  </si>
  <si>
    <t>207206IV</t>
  </si>
  <si>
    <t>224310IV</t>
  </si>
  <si>
    <t>224414IV</t>
  </si>
  <si>
    <t>224521IV</t>
  </si>
  <si>
    <t>100122BK</t>
  </si>
  <si>
    <t>2420ABK</t>
  </si>
  <si>
    <t>2420ARD</t>
  </si>
  <si>
    <t>1440LIV</t>
  </si>
  <si>
    <t>5316BK1</t>
  </si>
  <si>
    <t>904611BK</t>
  </si>
  <si>
    <t>904614BK</t>
  </si>
  <si>
    <t>904912BK</t>
  </si>
  <si>
    <t>407811CG40</t>
  </si>
  <si>
    <t>407811CG46</t>
  </si>
  <si>
    <t>407811IV47</t>
  </si>
  <si>
    <t>407812CG46</t>
  </si>
  <si>
    <t>407812CP48</t>
  </si>
  <si>
    <t>903411SL</t>
  </si>
  <si>
    <t>903412SL</t>
  </si>
  <si>
    <t>WIDS-9002</t>
  </si>
  <si>
    <t>222414WS</t>
  </si>
  <si>
    <t>226003ST</t>
  </si>
  <si>
    <t>226008ST</t>
  </si>
  <si>
    <t>226010ST</t>
  </si>
  <si>
    <t>226012ST</t>
  </si>
  <si>
    <t>226025ST</t>
  </si>
  <si>
    <t>226028ST</t>
  </si>
  <si>
    <t>226055ST</t>
  </si>
  <si>
    <t>525901GS</t>
  </si>
  <si>
    <t>525901WS</t>
  </si>
  <si>
    <t>526002WS</t>
  </si>
  <si>
    <t>526103GS</t>
  </si>
  <si>
    <t>526104GS</t>
  </si>
  <si>
    <t>224606CH</t>
  </si>
  <si>
    <t>224606PO</t>
  </si>
  <si>
    <t>224607CH</t>
  </si>
  <si>
    <t>224607PO</t>
  </si>
  <si>
    <t>224608CH</t>
  </si>
  <si>
    <t>224608PO</t>
  </si>
  <si>
    <t>226108CH</t>
  </si>
  <si>
    <t>226108PO</t>
  </si>
  <si>
    <t>226112CH</t>
  </si>
  <si>
    <t>226112PO</t>
  </si>
  <si>
    <t>226204CH</t>
  </si>
  <si>
    <t>226204DP</t>
  </si>
  <si>
    <t>226204LV</t>
  </si>
  <si>
    <t>226212CH</t>
  </si>
  <si>
    <t>226212LV</t>
  </si>
  <si>
    <t>226214CH</t>
  </si>
  <si>
    <t>226214LV</t>
  </si>
  <si>
    <t>226222CH</t>
  </si>
  <si>
    <t>226222DP</t>
  </si>
  <si>
    <t>226222LV</t>
  </si>
  <si>
    <t>226228CH</t>
  </si>
  <si>
    <t>226228DP</t>
  </si>
  <si>
    <t>226228LV</t>
  </si>
  <si>
    <t>226235CH</t>
  </si>
  <si>
    <t>226235DP</t>
  </si>
  <si>
    <t>226235LV</t>
  </si>
  <si>
    <t>226285CH</t>
  </si>
  <si>
    <t>226285LV</t>
  </si>
  <si>
    <t>532304DP</t>
  </si>
  <si>
    <t>532304LV</t>
  </si>
  <si>
    <t>532307LV</t>
  </si>
  <si>
    <t>520504TI</t>
  </si>
  <si>
    <t>4076512ER5</t>
  </si>
  <si>
    <t>#706008CG Ø20.3x4.2cm 8" Round Deep Plate Dark Grey with Stand</t>
  </si>
  <si>
    <t>#706010CG Ø25.2x5.1cm 10" Round Deep Plate Dark Grey with Stand</t>
  </si>
  <si>
    <t>#706012CG Ø30.4x6cm 12" Round Deep Plate Dark Grey with Stand</t>
  </si>
  <si>
    <t>#705908 PC Ø20xH35cm Display Tube Clear with Black Base</t>
  </si>
  <si>
    <t>#705910 PC Ø25xH45cm 10" Display Tube Clear with 3-Tier White Platter and Black Base</t>
  </si>
  <si>
    <t>#516004 Melamine 4" Petit Wan Wan Dish Ivory</t>
  </si>
  <si>
    <t>#206131 Melamine 31" Mehndi Oval Bowl Ivory</t>
  </si>
  <si>
    <t>#206231 Melamine 31" Mehndi Round Bowl Ivory</t>
  </si>
  <si>
    <t>#207204 Melamine 4"/8.5cm V Shape Bowl Ivory</t>
  </si>
  <si>
    <t>#207205 Melamine 5"/13cm 'V' Shape Bowl Ivory</t>
  </si>
  <si>
    <t>#207206 Melamine 6"/16cm 'V' Shape Bowl Ivory</t>
  </si>
  <si>
    <t>#224310 Melamine 10" Mehndi Bowl Ivory</t>
  </si>
  <si>
    <t>#224414 Melamine 14" Mehndi Bowl Ivory</t>
  </si>
  <si>
    <t>#224521 Melamine 21" Mehndi Bowl Ivory</t>
  </si>
  <si>
    <t>#10012 56x32cm Dido Rectangular Deep Buffet Plate Black</t>
  </si>
  <si>
    <t>#2420  Melamine 2/4x20mm/1" 525x160mm GN Food Insert Pan Black</t>
  </si>
  <si>
    <t>#2420 Melamine 2/4x20mm/1" 525x160mm GN Food Insert Pan Red</t>
  </si>
  <si>
    <t>#1440L GN 1/4  Melamine 40mm LunaCurve Plate Ivory</t>
  </si>
  <si>
    <t>#5316BK1 2/4 Size 520x160mm Taroko Granite Slate Black Marble Decal</t>
  </si>
  <si>
    <t>Gamma 1/1 Size Metal+Acrylic 55x34xH44cm 3 Tier Bread Case</t>
  </si>
  <si>
    <t>Gamma 1/4 Size Metal + Acrylic 27x16xH44cm 3 Tier Bread Case with Drawer</t>
  </si>
  <si>
    <t>Gamma 1/2 Size Metal+Acrylic 34.3x28.3xH43.5cm 3 Tier Bread Case</t>
  </si>
  <si>
    <t>#407811-CG40 1/1 GN Baker Tray   Corrase Terrazzo</t>
  </si>
  <si>
    <t>#407811-CG46 1/1 GN Baker Tray Rust</t>
  </si>
  <si>
    <t>#407811-IV47 1/1 GN Baker Tray Jean</t>
  </si>
  <si>
    <t>#407812-CG46 1/2 GN Baker Tray Rust</t>
  </si>
  <si>
    <t>#407812-CP48 1/2 GN Baker Tray Candy Floss</t>
  </si>
  <si>
    <t>#803202 1/2 Size 325x253x50mm GN Rect Cloud Box White</t>
  </si>
  <si>
    <t>#803302 1/3 Size 325x173x50mm GN Rect Cloud Box White</t>
  </si>
  <si>
    <t>#803306 1/3 Size 325x173x150mm GN Rect Cloud Box White</t>
  </si>
  <si>
    <t>#803402 2/4 Size 530x150x50mm GN Rect Cloud Box White</t>
  </si>
  <si>
    <t>#803404 2/4 Size 530x150x100mm GN Rect Cloud Box White</t>
  </si>
  <si>
    <t>#903411SL 53x32.5x15cm 1/1 Size GN Non-Slip Buffet Display Riser Silver</t>
  </si>
  <si>
    <t>#903412SL 32.5x26.5x15cm 1/2 Size GN Non-Slip Buffet Display Riser Silver</t>
  </si>
  <si>
    <t>#9002 10" Geometry Cone Cup Stand Black</t>
  </si>
  <si>
    <t>1/1 PC 53x33xH10cm Roll Top Cover Transparent</t>
  </si>
  <si>
    <t>222414WS Melamine Ø34.5cm 7L Rocky Triangle Bowl White</t>
  </si>
  <si>
    <t>#226003ST Melamine Ø7.8x4.3cm 4oz Round Ramekin Terracotta Sand</t>
  </si>
  <si>
    <t>#226008ST Ø20x7cm 8" Round Low Bowl Terracota Sand</t>
  </si>
  <si>
    <t>#226010ST Ø25x15cm 10" Round Ripple Deep Bowl Terracota Sand</t>
  </si>
  <si>
    <t>#226012ST Ø30.5x13cm 12" Round Ripple Salad Bowl Terracota Sand</t>
  </si>
  <si>
    <t>#226025ST Melamine Ø6.2x3.5cm 2oz Round Ramekin Terracotta Sand</t>
  </si>
  <si>
    <t>#226028ST Melamine Ø6.7xH3.6cm 2.4oz Round Ramekin Terracotta Sand</t>
  </si>
  <si>
    <t>#226055ST Ø14x9cm 5.5" Round Deep Bowl Terracota Sand</t>
  </si>
  <si>
    <t>#525901-GS Melamine 1 oz Rocky Triangular Ramekin Stone Grey</t>
  </si>
  <si>
    <t>#525901-WS Melamine 1 oz Rocky Triangular Ramekin White Stone</t>
  </si>
  <si>
    <t>#526002-W Melamine 2 oz Rocky Triangular Ramekin White Stone</t>
  </si>
  <si>
    <t>#526103-GS Melamine 3 oz Rocky Triangular Ramekin Stone Grey</t>
  </si>
  <si>
    <t>#526104-G Melamine 4 oz Rocky Triangular Ramekin Stone Grey</t>
  </si>
  <si>
    <t>Solar 16.9x10.3cm 6.5" Swing Bowl Champagne</t>
  </si>
  <si>
    <t>Solar 16.9x10.3cm 6.5" Swing Bowl P.Orange</t>
  </si>
  <si>
    <t>Solar L17.9xW13.3cm 7" Swing Bowl Champagne</t>
  </si>
  <si>
    <t>Solar L17.9xW13.3cm 7" Swing Bowl P.Orange</t>
  </si>
  <si>
    <t>Solar 21.5x11.3cm 8.5" Swing Plate Champagne</t>
  </si>
  <si>
    <t>Solar L21.5xW11.3cm 8.5" Swing Plate P. Orange</t>
  </si>
  <si>
    <t>Solar L20xW15.5cm 8" Swing Bowl Champagne</t>
  </si>
  <si>
    <t>Solar L20xW15.5cm 8" Swing Bowl P.Orange</t>
  </si>
  <si>
    <t>Solar L32.5xW26.5cm 13" Swing Bowl Champagne</t>
  </si>
  <si>
    <t>Solar L32.5xW26.5cm 13" Swing Bowl Pink Orange</t>
  </si>
  <si>
    <t>Solar 10xH10cm Round Snack Bowl Champagne</t>
  </si>
  <si>
    <t>Solar 10xH10cm 4" Round Snack Bowl Dusty Pink</t>
  </si>
  <si>
    <t>Solar 10xH10cm Round Snack Bowl Lava Grey</t>
  </si>
  <si>
    <t>Solar 29xH10cm 11.5" Salad Bowl Champagne</t>
  </si>
  <si>
    <t>Solar 29xH10cm 11.5" Salad Bowl Lava Grey</t>
  </si>
  <si>
    <t>Solar 35xH7cm 14" Salad Bowl Champagne</t>
  </si>
  <si>
    <t>Solar Ø35xH7cm 14" Lava Gray Salad Bowl</t>
  </si>
  <si>
    <t>Solar Ø5.5xH5.5cm 2.2" Round Sauce Bowl Champagne</t>
  </si>
  <si>
    <t>Solar Ø5.5xH5.5cm 2.2" Round Sauce Bowl Dusty Pink</t>
  </si>
  <si>
    <t>Solar Ø5.5xH5.5cm 2.2"  Round Sauce Bowl Lava Grey</t>
  </si>
  <si>
    <t>Solar Ø7xH7cm 2.8" Round Snack Bowl Champagne</t>
  </si>
  <si>
    <t>Solar Ø7xH7cm 2.8" Round Snack Bowl Dusty Pink</t>
  </si>
  <si>
    <t>Solar Ø7xH7cm 2.8" Round Snack Bowl Lava Grey</t>
  </si>
  <si>
    <t>Solar Ø8.5xH8.5cm 3.5" Round Snack Bowl Champagne</t>
  </si>
  <si>
    <t>Solar Ø8.5xH8.5cm 3.5" Round Snack Bowl Dusty Pink</t>
  </si>
  <si>
    <t>Solar Ø8.5xH8.5cm 3.5" Round Snack Bowl Lava Grey</t>
  </si>
  <si>
    <t>Solar Ø22.5xH7.1cm 8.5" Salad Bowl Champagne</t>
  </si>
  <si>
    <t>Solar Ø22.5xH7.1cm 8.5" Salad Bowl Lava Grey</t>
  </si>
  <si>
    <t>Solar Ø16.5xH10cm Round Tall Base Stand Dusty Pink</t>
  </si>
  <si>
    <t>Solar Ø16.5xH10cm Round Tall Base Stand Lava Grey</t>
  </si>
  <si>
    <t>Solar Ø16.5xH18cm Round Tall Base Stand Lava Grey</t>
  </si>
  <si>
    <t>Terracotta 10x10x3cm Round Dish Red</t>
  </si>
  <si>
    <t>#407612 L30xW30cm Woody Square Pastry Tray</t>
  </si>
  <si>
    <t>https://cdn1.cybassets.com/media/W1siZiIsIjIzMTc4L3Byb2R1Y3RzLzQzNTA2NzQxLzE3MDE0MDEwMDFfNzcxZWVlMzdhOGU2OWVmZDI1MDQucG5nIl0sWyJwIiwidGh1bWIiLCI2MDB4NjAwIl1d.png?sha=9f4819686c198cf9</t>
  </si>
  <si>
    <t>https://www.efay.com.tw/products/%E9%AB%98%E8%85%B3%E7%9B%A4%E5%90%AB%E5%BA%95%E5%BA%A7</t>
  </si>
  <si>
    <t>Material: Melamine dish, suitable for buffets, bakeries, cafes, Chinese restaurants, etc. The base is detachable, and the mortise and tenon design makes it easy to use. The dish is deep enough to hold small amounts of soup or liquid. Do not use over an open flame, do not microwave, but dishwasher safe.</t>
  </si>
  <si>
    <t>https://cdn1.cybassets.com/media/W1siZiIsIjIzMTc4L3Byb2R1Y3RzLzUwMzY4MzQxLzE3MjkwNjc0NzlfZDEyNTJkMDFhYjQ4ZjEwNmJmYjAuanBlZyJdLFsicCIsInRodW1iIiwiNjAweDYwMCJdXQ.jpeg?sha=ad27bb9fa168b258</t>
  </si>
  <si>
    <t>https://www.efay.com.tw/products/%E9%9B%B6%E4%BF%83%E8%B3%BD%E5%8D%9A%E9%80%8F%E6%98%8E%E8%93%8B?srsltid=AfmBOorEbieLuHXKwfLGgdXm1ETKiLoFIYJ3yWY8dFME8l6yMjeKLw6X</t>
  </si>
  <si>
    <t>https://ilsa-italy.co.uk/media/catalog/product/cache/0ab5976dabc53fb2485bd6b5724ee02a/e/5/e516004iv00.jpg</t>
  </si>
  <si>
    <t>https://ilsa-italy.co.uk/efay-piattino-avorio-le-petit-wan-in-melamina-o-cm-10.html</t>
  </si>
  <si>
    <t>Square appetizer plate with raised corners, made of ivory melamine and measuring 10x10cm and 2.8cm in height. Ideal for serving appetizers and single servings. Melamine is a quality BPA-free thermosetting resin used for tableware such as plates, cups, bowls, tumblers and trays and other kitchenware. Similar in appearance to porcelain, it is extremely lightweight and resistant to cracking, with a smooth shiny surface that is solid and durable. Melamine resists temperatures ranging from -20°C to 70°C, making it suitable for use in refrigerators and freezers. It does not absorb odours and is easy to handle as it is not fragile. Melamine should not be heated directly or used to heat food in conventional or microwave ovens. Easy to wash by hand, using a non-abrasive sponge and neutral dishwashing detergent, and dishwasher safe, the use of chemical products and hot oil is not recommended—if sterilization is required, use hot water for no more than 20 minutes. Quality melamine is fundamental for food safety, which is why EFAY melamine is tested and certified to be food safe.</t>
  </si>
  <si>
    <t>https://horetica.com/pub/media/catalog/product/cache/bd1febdd54e5ca03a76f1c5af9dbb4c8/2/0/206131iv.jpg</t>
  </si>
  <si>
    <t>https://horetica.com/en/mehndi-grande-oval-bowl-31.html?srsltid=AfmBOopfuVJdRVaQV2rGeHYg_-CipFbjIiA_LYazwiuZO26QuAvZ4-A-</t>
  </si>
  <si>
    <t>A moveable feast. Unique visual experience, extreme art deco piece. Suitable for lobby, front entrance...main welcome zone. Good for drink cooler display, seafood or salad display.</t>
  </si>
  <si>
    <t>https://horetica.com/en/velocity-v-shape-bowl-4.html?srsltid=AfmBOorQOrVkqknb-vuwUrLKkPDlo4S9hSmvT3R0ghNU8_7MajmchADa</t>
  </si>
  <si>
    <t>Simple and stylish deli tabletop best choice Great for serving salads, fruit, desserts or snacks. No breakage, no rust Hygienic operation standard Food contact safety and dishwasher safe</t>
  </si>
  <si>
    <t>https://horetica.com/pub/media/catalog/product/cache/bd1febdd54e5ca03a76f1c5af9dbb4c8/m/e/medb-207204iv.jpg</t>
  </si>
  <si>
    <t>https://horetica.com/en/mehndi-oval-bowl-10.html?srsltid=AfmBOoohto_nDbrHp2PpbGv322SQGXh-pwNWBJSyCZpyjswprYEwrYP-</t>
  </si>
  <si>
    <t>A moveable feast. Breakthrough shape, provide good food display area. Fancy feast on table by decent amount of food.</t>
  </si>
  <si>
    <t>https://horetica.com/pub/media/catalog/product/cache/bd1febdd54e5ca03a76f1c5af9dbb4c8/m/e/medb-224310iv_1.jpg</t>
  </si>
  <si>
    <t>https://cdn1.cybassets.com/media/W1siZiIsIjIzMTc4L3Byb2R1Y3RzLzM4NTY3OTc2LzE2NjY5NDgyMDNfNzk2ZWU2MzcwZTA4NzVjYjEyNDcuanBlZyJdLFsicCIsInRodW1iIiwiNjAweDYwMCJdXQ.jpeg?sha=4e216909bc8a776f</t>
  </si>
  <si>
    <t>https://www.efay.com.tw/products/%E7%BE%8E%E5%BC%8F%E4%BB%BD%E6%95%B8%E7%9B%A4-gn24?srsltid=AfmBOopwdVQzCsHzU-poIwonWrP-LtulUCsGs25YzOyN8glm_BuxuWMd</t>
  </si>
  <si>
    <t>Temperature resistant from -2℃ to 120℃, modular design, non-slip, suitable for restaurant and hotel self-service areas , compatible with lids of the same size and various display racks.</t>
  </si>
  <si>
    <t>https://store.siahuat.com/product/10921476826</t>
  </si>
  <si>
    <t>The Efay Enamel melamine GN 1/2 slim tray is ideal for serving hors d'oeuvres, shareable entrees,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</si>
  <si>
    <t>https://dimlajemirates.com/products/efay-taroko-granite-slate-1-1-53x32cm-olive?srsltid=AfmBOoov-UO0p-qRovyQ73YXfljZ4r0g5A1JpdaMFO1w8zVkraeiDW0j</t>
  </si>
  <si>
    <t>https://dimlajemirates.com/cdn/shop/files/EFAY_TAROKOGRANTIESLATE_5332TOL1-02.jpg?v=1769686745&amp;width=1800</t>
  </si>
  <si>
    <t>Length: 530mm Width: 325mm Height: 7mm Item Number: 5332TOL Material: Melamine</t>
  </si>
  <si>
    <t>https://static.wixstatic.com/media/421585_db2e9183f0bc4b3581c8fbd77c31093b~mv2.jpg/v1/fill/w_498,h_498,al_c,q_80,usm_0.66_1.00_0.01,enc_avif,quality_auto/421585_db2e9183f0bc4b3581c8fbd77c31093b~mv2.jpg</t>
  </si>
  <si>
    <t>https://www.efaygroup.com/product-page/gamma-1-1-3-tier-pastry-case-904611bk</t>
  </si>
  <si>
    <t>https://www.hotelservice-hds.com/product/%D7%9E%D7%92%D7%A9-1-3-%D7%92%D7%95%D7%91%D7%94-1-8-%D7%93%D7%92%D7%9D-%D7%A9%D7%91%D7%A8%D7%99-%D7%90%D7%91%D7%A0%D7%99%D7%9D/</t>
  </si>
  <si>
    <t>https://cdn.hotelservice-hds.com/large/4/407813cg40_1.jpg</t>
  </si>
  <si>
    <t>https://www.efaygroup.com/product-page/gn1-2-50mm-crystal-box-white-803202</t>
  </si>
  <si>
    <t>https://static.wixstatic.com/media/421585_418a96cda09c4bfba7c2714490cd5e8f~mv2.jpg/v1/fill/w_498,h_498,al_c,q_80,usm_0.66_1.00_0.01,enc_avif,quality_auto/421585_418a96cda09c4bfba7c2714490cd5e8f~mv2.jpg</t>
  </si>
  <si>
    <t>https://static.wixstatic.com/media/421585_b25b2a7549954e3b988e993382bc5c59~mv2.jpg/v1/fill/w_498,h_498,al_c,q_80,usm_0.66_1.00_0.01,enc_avif,quality_auto/421585_b25b2a7549954e3b988e993382bc5c59~mv2.jpg</t>
  </si>
  <si>
    <t>https://static.wixstatic.com/media/421585_14074bef8e12446e8189afd320bc195c~mv2.jpg/v1/fill/w_498,h_498,al_c,q_80,usm_0.66_1.00_0.01,enc_avif,quality_auto/421585_14074bef8e12446e8189afd320bc195c~mv2.jpg</t>
  </si>
  <si>
    <t>https://static.wixstatic.com/media/421585_bf98bb5a56d64c53adf8d67c4841e5b7~mv2.jpg/v1/fill/w_498,h_498,al_c,q_80,usm_0.66_1.00_0.01,enc_avif,quality_auto/421585_bf98bb5a56d64c53adf8d67c4841e5b7~mv2.jpg</t>
  </si>
  <si>
    <t>https://static.wixstatic.com/media/421585_53f5050f62a34249a18fbccf9c02f89a~mv2.jpg/v1/fill/w_498,h_498,al_c,q_80,usm_0.66_1.00_0.01,enc_avif,quality_auto/421585_53f5050f62a34249a18fbccf9c02f89a~mv2.jpg</t>
  </si>
  <si>
    <t>https://www.efaygroup.com/product-page/3d-non-slip-display-stand-gn-1-1-hairpin-h15cm-sl-903411sl</t>
  </si>
  <si>
    <t>https://static.wixstatic.com/media/421585_793d5b82005648dc858489ce335b5cd0~mv2.jpg/v1/fill/w_498,h_498,al_c,q_80,usm_0.66_1.00_0.01,enc_avif,quality_auto/421585_793d5b82005648dc858489ce335b5cd0~mv2.jpg</t>
  </si>
  <si>
    <t>https://www.kkh.biz/cdn/shop/products/920010BK.jpg?v=1561435651&amp;width=990</t>
  </si>
  <si>
    <t>https://www.kkh.biz/products/geometry-10-cone-stand-black-efay-920010bk?srsltid=AfmBOorLK-YdngmN7bxyJFJlOsdqfGtKQngL_xX78On3V9b7pQ9cgmcx</t>
  </si>
  <si>
    <t>Width:190mmHeight:130mmLength:190mmPackaging:24pcs</t>
  </si>
  <si>
    <t>https://dimlajemirates.com/products/efay-terracotta-rd-dish-5-4?srsltid=AfmBOopjyo1gLk0zcwR0V1SnCjBPXOEsBuGhjWtvL_3VIE9-GgokmrKH</t>
  </si>
  <si>
    <t>https://dimlajemirates.com/cdn/shop/files/520554TI.jpg?v=1769686840&amp;width=1800</t>
  </si>
  <si>
    <t>TERRACOTTA Salute to the classics! Perfect for appetizer / tapas display</t>
  </si>
  <si>
    <t>https://dimlajemirates.com/products/efay-terracotta-rd-dish-4-black?srsltid=AfmBOoo_25yFYxgUsbFWZ0jTuAYkX27lY2mvQSaP_Z6TKXAjDn0vhqtS</t>
  </si>
  <si>
    <t>https://dimlajemirates.com/cdn/shop/files/520504BK.jpg?v=1769688999&amp;width=1800</t>
  </si>
  <si>
    <t>TERRACOTTA Salutes to the Classics! Perfect for Appetizer / Tapas Display</t>
  </si>
  <si>
    <t>https://store.siahuat.com/product/10921476806</t>
  </si>
  <si>
    <t>https://store.siahuat.com/image-proxy/ASP/SIAHUAT/NORMAL/Shell/picture/384EF-201508IV.jpg</t>
  </si>
  <si>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t>
  </si>
  <si>
    <t>https://www.hotelservice-hds.com/product/%d7%a7%d7%a2%d7%a8%d7%99%d7%aa-%d7%90%d7%95%d7%91%d7%9c%d7%99%d7%aa-%d7%a1%d7%95%d7%95%d7%99%d7%a0%d7%92-17-9x13-5x6-3-%d7%9e%d7%9c%d7%9e%d7%99%d7%9f-%d7%90%d7%a4%d7%a8%d7%a4%d7%a8/</t>
  </si>
  <si>
    <t>https://cdn.hotelservice-hds.com/large/2/224607bt_1.jpg</t>
  </si>
  <si>
    <t>https://www.hotelservice-hds.com/product/%d7%a7%d7%a2%d7%a8%d7%99%d7%aa-%d7%90%d7%95%d7%91%d7%9c%d7%99%d7%aa-%d7%a1%d7%95%d7%95%d7%99%d7%a0%d7%92-17x10x5-7-%d7%9e%d7%9c%d7%9e%d7%99%d7%9f-%d7%96%d7%94%d7%91%d7%94%d7%91/</t>
  </si>
  <si>
    <t>https://www.hotelservice-hds.com/product/%d7%a7%d7%a2%d7%a8%d7%99%d7%aa-%d7%90%d7%95%d7%91%d7%9c%d7%99%d7%aa-%d7%a1%d7%95%d7%95%d7%99%d7%a0%d7%92-17x10x5-7-%d7%9e%d7%9c%d7%9e%d7%99%d7%9f-%d7%90%d7%a4%d7%a8%d7%a4%d7%a8/</t>
  </si>
  <si>
    <t>https://www.hotelservice-hds.com/product/%d7%a7%d7%a2%d7%a8%d7%99%d7%aa-%d7%90%d7%95%d7%91%d7%9c%d7%99%d7%aa-%d7%a1%d7%95%d7%95%d7%99%d7%a0%d7%92-21-11-24-5-%d7%9e%d7%9c%d7%9e%d7%99%d7%9f-%d7%96%d7%94%d7%91%d7%94%d7%91/</t>
  </si>
  <si>
    <t>https://www.hotelservice-hds.com/product/%d7%a7%d7%a2%d7%a8%d7%99%d7%aa-%d7%90%d7%95%d7%91%d7%9c%d7%99%d7%aa-%d7%a1%d7%95%d7%95%d7%99%d7%a0%d7%92-21x11-2x4-5-%d7%9e%d7%9c%d7%9e%d7%99%d7%9f-%d7%90%d7%a4%d7%a8%d7%a4%d7%a8/</t>
  </si>
  <si>
    <t>https://www.hotelservice-hds.com/product/%d7%a7%d7%a2%d7%a8%d7%99%d7%aa-%d7%90%d7%95%d7%91%d7%9c%d7%99%d7%aa-%d7%a1%d7%95%d7%95%d7%99%d7%a0%d7%92-17-9x13-5x6-3-%d7%9e%d7%9c%d7%9e%d7%99%d7%9f-%d7%96%d7%94%d7%91%d7%94%d7%91/</t>
  </si>
  <si>
    <t>https://cdn.hotelservice-hds.com/large/2/224606ch_1.jpg</t>
  </si>
  <si>
    <t>https://www.hotelservice-hds.com/product/%d7%a8%d7%91%d7%99%d7%99%d7%a8%d7%94-%d7%a9%d7%98%d7%95%d7%97%d7%94-%d7%9e%d7%a0%d7%93%d7%99-25x12x2-5-%d7%9e%d7%9c%d7%9e%d7%99%d7%9f-%d7%9b%d7%97%d7%95%d7%9c/</t>
  </si>
  <si>
    <t>https://www.hotelservice-hds.com/product/%d7%a8%d7%91%d7%99%d7%99%d7%a8%d7%94-%d7%a9%d7%98%d7%95%d7%97%d7%94-%d7%9e%d7%a0%d7%93%d7%99-25x12x2-5-%d7%9e%d7%9c%d7%9e%d7%99%d7%9f-%d7%90%d7%93%d7%95%d7%9d/</t>
  </si>
  <si>
    <t>https://www.hotelservice-hds.com/product/%d7%a8%d7%91%d7%99%d7%99%d7%a8%d7%94-%d7%a9%d7%98%d7%95%d7%97%d7%94-%d7%9e%d7%a0%d7%93%d7%99-25x12x2-5-%d7%9e%d7%9c%d7%9e%d7%99%d7%9f-%d7%99%d7%a8%d7%95%d7%a7/</t>
  </si>
  <si>
    <t>https://www.hotelservice-hds.com/product/%d7%a8%d7%91%d7%99%d7%99%d7%a8%d7%94-%d7%a9%d7%98%d7%95%d7%97%d7%94-%d7%9e%d7%a0%d7%93%d7%99-25x12x2-5-%d7%9e%d7%9c%d7%9e%d7%99%d7%9f-%d7%a9%d7%97%d7%95%d7%a8/</t>
  </si>
  <si>
    <t>https://www.hotelservice-hds.com/product/%d7%9e%d7%95%d7%9c%d7%98%d7%99-%d7%9b%d7%95%d7%a1-%d7%a1%d7%95%d7%9c%d7%a8-80-%d7%9e%d7%9c-5-5-%d7%a1%d7%9e-%d7%90%d7%a4%d7%a8%d7%a4%d7%a8-%d7%9e%d7%9c%d7%9e%d7%99%d7%9f/</t>
  </si>
  <si>
    <t>https://www.hotelservice-hds.com/product/%d7%9e%d7%95%d7%9c%d7%98%d7%99-%d7%9b%d7%95%d7%a1-%d7%a1%d7%95%d7%9c%d7%a8-80-%d7%9e%d7%9c-5-5-%d7%a1%d7%9e-%d7%95%d7%a8%d7%93%d7%a8%d7%93-%d7%9e%d7%9c%d7%9e%d7%99%d7%9f/</t>
  </si>
  <si>
    <t>https://www.hotelservice-hds.com/product/%d7%9e%d7%95%d7%9c%d7%98%d7%99-%d7%9b%d7%95%d7%a1-%d7%a1%d7%95%d7%9c%d7%a8-160-%d7%9e%d7%9c-7-%d7%a1%d7%9e-%d7%96%d7%94%d7%91%d7%94%d7%91-%d7%9e%d7%9c%d7%9e%d7%99%d7%9f/</t>
  </si>
  <si>
    <t>https://cdn.hotelservice-hds.com/large/2/226222lv_1.jpg</t>
  </si>
  <si>
    <t>https://cdn.hotelservice-hds.com/large/2/226222dp_1.jpg</t>
  </si>
  <si>
    <t>https://cdn.hotelservice-hds.com/large/2/226228ch_1.jpg</t>
  </si>
  <si>
    <t>https://cdn.hotelservice-hds.com/large/1/124310r_1.jpg</t>
  </si>
  <si>
    <t>https://cdn.hotelservice-hds.com/large/1/124310b_1.jpg</t>
  </si>
  <si>
    <t>https://cdn.hotelservice-hds.com/large/1/124310bl_1.jpg</t>
  </si>
  <si>
    <t>https://www.orchiddinex.com/buffet-and-catering/solar-8-5-salad-bowl-champagne-orchid/</t>
  </si>
  <si>
    <t>https://www.orchiddinex.com/wp-content/uploads/2023/03/226285CH.jpg</t>
  </si>
  <si>
    <t>https://www.hotelservice-hds.com/product/%d7%a1%d7%98%d7%a0%d7%93-%d7%a1%d7%95%d7%9c%d7%a8-10-%d7%a1%d7%9e-%d7%95%d7%a8%d7%93%d7%a8%d7%a8-%d7%9e%d7%9c%d7%9e%d7%99%d7%9f/</t>
  </si>
  <si>
    <t>https://cdn.hotelservice-hds.com/large/5/532304dp_1.jpg</t>
  </si>
  <si>
    <t>https://dimlajemirates.com/cdn/shop/files/Efay_TERRACOTTA_520504TI.jpg?v=1769686833&amp;width=1800</t>
  </si>
  <si>
    <t>https://dimlajemirates.com/products/efay-terracotta-rd-dish-4-red?srsltid=AfmBOoqnCGAVRBZUMn4cZFv23Zai6E60x33K7yGNasCLeQbhreJv-vgu</t>
  </si>
  <si>
    <t>https://www.kkh.biz/products/woody-baker-8-rec-platter-assorted-efay-407512er5?srsltid=AfmBOooVtJkUkY3YJSXQGAMtt8tnA5euVM3GgwaJldPQ9-uSNogknHwA</t>
  </si>
  <si>
    <t>https://www.kkh.biz/cdn/shop/products/407512ER5.jpg?v=1561435081&amp;width=990</t>
  </si>
  <si>
    <t>https://www.hotelservice-hds.com/product/%d7%a7%d7%a2%d7%a8%d7%94-%d7%a8%d7%99%d7%91%d7%95%d7%a2%d7%99%d7%aa-%d7%a7%d7%95%d7%a0%d7%99%d7%aa-9-%d7%a1%d7%9e-%d7%9e%d7%9c%d7%9e%d7%99%d7%9f-%d7%9c%d7%91%d7%9f/</t>
  </si>
  <si>
    <t>https://cdn.hotelservice-hds.com/large/2/206504_1.jpg</t>
  </si>
  <si>
    <t>https://www.hotelservice-hds.com/product/%d7%a8%d7%9e%d7%99%d7%a7%d7%99%d7%9f-6-%d7%a1%d7%9c-%d7%93%d7%9e%d7%95%d7%99-%d7%90%d7%9e%d7%99%d7%99%d7%9c-%d7%90%d7%a4%d7%95%d7%a8-%d7%9c%d7%91%d7%9f-%d7%9e%d7%9c%d7%9e%d7%99%d7%9f/</t>
  </si>
  <si>
    <t>https://cdn.hotelservice-hds.com/large/2/2211022_1.jpg</t>
  </si>
  <si>
    <t>Mfr Catalog No.</t>
  </si>
  <si>
    <t>Item No.</t>
  </si>
  <si>
    <t>Group Name</t>
  </si>
  <si>
    <t>EFAY</t>
  </si>
  <si>
    <t>Item Description</t>
  </si>
  <si>
    <t>Stock Description</t>
  </si>
  <si>
    <t>Warranty</t>
  </si>
  <si>
    <t>Serial Managed</t>
  </si>
  <si>
    <t>NO</t>
  </si>
  <si>
    <t>List Price</t>
  </si>
  <si>
    <t>Main Category</t>
  </si>
  <si>
    <t>Sub1 Category</t>
  </si>
  <si>
    <t>Sub2 Category</t>
  </si>
  <si>
    <t>Short Description</t>
  </si>
  <si>
    <t>Image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</si>
</sst>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Open Sans"/>
      <family val="2"/>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0" fillId="0" borderId="1" xfId="0" applyBorder="1"/>
    <xf numFmtId="0" fontId="0" fillId="0" borderId="0" xfId="0" applyFill="1"/>
    <xf numFmtId="0" fontId="0" fillId="0" borderId="0" xfId="0" applyBorder="1"/>
    <xf numFmtId="0" fontId="1" fillId="2" borderId="0" xfId="0" applyFont="1" applyFill="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2" fillId="0" borderId="0" xfId="0" applyFont="1" applyBorder="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LienT/Downloads/EFA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AY"/>
    </sheetNames>
    <sheetDataSet>
      <sheetData sheetId="0">
        <row r="1">
          <cell r="A1" t="str">
            <v>Item No.</v>
          </cell>
          <cell r="B1" t="str">
            <v>Mfr Catalog No.</v>
          </cell>
          <cell r="D1" t="str">
            <v>Item Description</v>
          </cell>
          <cell r="E1" t="str">
            <v>Stock Description</v>
          </cell>
          <cell r="H1" t="str">
            <v>List Price</v>
          </cell>
          <cell r="I1" t="str">
            <v>Main Category</v>
          </cell>
          <cell r="J1" t="str">
            <v>Sub1 Category</v>
          </cell>
          <cell r="K1" t="str">
            <v>Sub2 Category</v>
          </cell>
          <cell r="L1" t="str">
            <v>Short Description</v>
          </cell>
        </row>
        <row r="2">
          <cell r="A2" t="str">
            <v>5712-3217FPW9-WHT</v>
          </cell>
          <cell r="B2" t="str">
            <v>3217FPW9</v>
          </cell>
          <cell r="D2" t="str">
            <v>32.5X17.6X2CM 1/3 SIZE MARBLE FOOTED PLATTER (PURE WHITE CARRARA)</v>
          </cell>
          <cell r="E2" t="str">
            <v>NO TAG</v>
          </cell>
          <cell r="H2">
            <v>14.49</v>
          </cell>
          <cell r="I2" t="str">
            <v>JS-Janitorial and Stewarding</v>
          </cell>
          <cell r="J2" t="str">
            <v>SVW-Serveware</v>
          </cell>
          <cell r="K2" t="str">
            <v>BBC-Bread Boards/Charcuterie Boards</v>
          </cell>
          <cell r="L2" t="str">
            <v>Marble 32.5x17.6cm 1/3 Size Footed Platter Pure White Carrara</v>
          </cell>
        </row>
        <row r="3">
          <cell r="A3" t="str">
            <v>5712-3226FPW9-WHT</v>
          </cell>
          <cell r="B3" t="str">
            <v>3226FPW9</v>
          </cell>
          <cell r="D3" t="str">
            <v>32.5X26.5X2CM 1/2 SIZE MARBLE FOOTED PLATTER (PURE WHITE CARRARA)</v>
          </cell>
          <cell r="E3" t="str">
            <v>NO TAG</v>
          </cell>
          <cell r="H3">
            <v>21.32</v>
          </cell>
          <cell r="I3" t="str">
            <v>JS-Janitorial and Stewarding</v>
          </cell>
          <cell r="J3" t="str">
            <v>SVW-Serveware</v>
          </cell>
          <cell r="K3" t="str">
            <v>BBC-Bread Boards/Charcuterie Boards</v>
          </cell>
          <cell r="L3" t="str">
            <v>Marble 32.5x26.5cm 1/2 Size Footed Platter Pure White Carrara</v>
          </cell>
        </row>
        <row r="4">
          <cell r="A4" t="str">
            <v>5712-416813PW9-WHT</v>
          </cell>
          <cell r="B4" t="str">
            <v>416813PW9</v>
          </cell>
          <cell r="D4" t="str">
            <v>13"  ROUND MARBLE FOOTED PLATTER (PURE WHITE CARRARA)</v>
          </cell>
          <cell r="E4" t="str">
            <v>NO TAG</v>
          </cell>
          <cell r="H4">
            <v>21.58</v>
          </cell>
          <cell r="I4" t="str">
            <v>JS-Janitorial and Stewarding</v>
          </cell>
          <cell r="J4" t="str">
            <v>SVW-Serveware</v>
          </cell>
          <cell r="K4" t="str">
            <v>BBC-Bread Boards/Charcuterie Boards</v>
          </cell>
          <cell r="L4" t="str">
            <v>Marble 13" Round Footed Platter Pure White Carrara</v>
          </cell>
        </row>
        <row r="5">
          <cell r="A5" t="str">
            <v>5712-518903-BK</v>
          </cell>
          <cell r="B5" t="str">
            <v>51890301BK</v>
          </cell>
          <cell r="D5" t="str">
            <v>-SELL BY PC- L:9.5XW:6XHT:2.85cm, RECTANGLE SIGNAGE TICKET STAND W/MAGNET SCREEN (BLACK)</v>
          </cell>
          <cell r="E5" t="str">
            <v>NO TAG</v>
          </cell>
          <cell r="H5">
            <v>3.49</v>
          </cell>
          <cell r="I5" t="str">
            <v>JS-Janitorial and Stewarding</v>
          </cell>
          <cell r="J5" t="str">
            <v>SM-Signage &amp; Miscellaneous</v>
          </cell>
          <cell r="K5" t="str">
            <v>SGN-Signage</v>
          </cell>
          <cell r="L5" t="str">
            <v>L9.5xW6xH2.85cm Rectangle Signage Ticket StandBlack with Magnet Screen</v>
          </cell>
        </row>
        <row r="6">
          <cell r="A6" t="str">
            <v>5712-5332FBK11-BLK</v>
          </cell>
          <cell r="B6" t="str">
            <v>5332FBK11</v>
          </cell>
          <cell r="D6" t="str">
            <v>53X32.5X2cm MELAMINE MARBLE 1/1 FOOTED PLATTER (BLACK XEMEN)</v>
          </cell>
          <cell r="E6" t="str">
            <v>NO TAG</v>
          </cell>
          <cell r="H6">
            <v>38.24</v>
          </cell>
          <cell r="I6" t="str">
            <v>JS-Janitorial and Stewarding</v>
          </cell>
          <cell r="J6" t="str">
            <v>SVW-Serveware</v>
          </cell>
          <cell r="K6" t="str">
            <v>DRA-Display Risers, Stands &amp; Accessories</v>
          </cell>
          <cell r="L6" t="str">
            <v>Melamine Mable Xemen 53x32.5x2cm 1/1 Footed Platter Black</v>
          </cell>
        </row>
        <row r="7">
          <cell r="A7" t="str">
            <v>5712-5332FPW9-WHT</v>
          </cell>
          <cell r="B7" t="str">
            <v>5332FPW9</v>
          </cell>
          <cell r="D7" t="str">
            <v>53X32.5X2cm MELAMINE MARBLE 1/1 FOOTED PLATTER (PURE WHITE CARRARA)</v>
          </cell>
          <cell r="E7" t="str">
            <v>NO TAG</v>
          </cell>
          <cell r="H7">
            <v>38.24</v>
          </cell>
          <cell r="I7" t="str">
            <v>JS-Janitorial and Stewarding</v>
          </cell>
          <cell r="J7" t="str">
            <v>SVW-Serveware</v>
          </cell>
          <cell r="K7" t="str">
            <v>DRA-Display Risers, Stands &amp; Accessories</v>
          </cell>
          <cell r="L7" t="str">
            <v>Melamine Marble 53x32.5x2cm 1/1 Size Footed Platter Pure White Carrara</v>
          </cell>
        </row>
        <row r="8">
          <cell r="A8" t="str">
            <v>5712-590606-BK</v>
          </cell>
          <cell r="B8" t="str">
            <v>590606BK</v>
          </cell>
          <cell r="D8" t="str">
            <v>-MUST SELL BY PKT- L:14XW:7.8XHT:0.085cm, RECTANGLE SIGNAGE STICK (6PCS/PKT)(BLACK) (SELL BY PKT)</v>
          </cell>
          <cell r="E8" t="str">
            <v>NO TAG</v>
          </cell>
          <cell r="H8">
            <v>10.17</v>
          </cell>
          <cell r="I8" t="str">
            <v>JS-Janitorial and Stewarding</v>
          </cell>
          <cell r="J8" t="str">
            <v>SM-Signage &amp; Miscellaneous</v>
          </cell>
          <cell r="K8" t="str">
            <v>SGN-Signage</v>
          </cell>
          <cell r="L8" t="str">
            <v>L14xW7.8xH0.085cm Rectangle Signage Stick Black</v>
          </cell>
        </row>
        <row r="9">
          <cell r="A9" t="str">
            <v>5712-590706-BK</v>
          </cell>
          <cell r="B9" t="str">
            <v>590706BK</v>
          </cell>
          <cell r="D9" t="str">
            <v>-MUST SELL BY PKT- L:14XW:7.8XHT:0.085cm, OVAL SIGNAGE STICK (6PCS/PKT)(BLACK) (SELL BY PKT)</v>
          </cell>
          <cell r="E9" t="str">
            <v>NO TAG</v>
          </cell>
          <cell r="H9">
            <v>10.17</v>
          </cell>
          <cell r="I9" t="str">
            <v>JS-Janitorial and Stewarding</v>
          </cell>
          <cell r="J9" t="str">
            <v>SM-Signage &amp; Miscellaneous</v>
          </cell>
          <cell r="K9" t="str">
            <v>SGN-Signage</v>
          </cell>
          <cell r="L9" t="str">
            <v>L14xW7.8xH0.085cm Oval Signage Stick Black</v>
          </cell>
        </row>
        <row r="10">
          <cell r="A10" t="str">
            <v>5712-590804-BK</v>
          </cell>
          <cell r="B10" t="str">
            <v>590706BK</v>
          </cell>
          <cell r="D10" t="str">
            <v>L:10.8XW:9cm, FOLDABLE SIGNAGE FLAT TAG (6PCS/PKT)(BLACK) (SELL BY PKT)</v>
          </cell>
          <cell r="E10" t="str">
            <v>NO TAG</v>
          </cell>
          <cell r="H10">
            <v>10.17</v>
          </cell>
          <cell r="I10" t="str">
            <v>JS-Janitorial and Stewarding</v>
          </cell>
          <cell r="J10" t="str">
            <v>SM-Signage &amp; Miscellaneous</v>
          </cell>
          <cell r="K10" t="str">
            <v>SGN-Signage</v>
          </cell>
          <cell r="L10" t="str">
            <v>L10.8xW9cm Foldable Signage Flat Tag Black</v>
          </cell>
        </row>
        <row r="11">
          <cell r="A11" t="str">
            <v>5712-920904-RC</v>
          </cell>
          <cell r="B11" t="str">
            <v>921104RC</v>
          </cell>
          <cell r="D11" t="str">
            <v>(CODE:921104RC) D:25XW:21.2XHT:10cm, 3D "CROWN" NON-SLIP DISPLAY STAND</v>
          </cell>
          <cell r="E11" t="str">
            <v>NO TAG</v>
          </cell>
          <cell r="H11">
            <v>9.6999999999999993</v>
          </cell>
          <cell r="I11" t="str">
            <v>JS-Janitorial and Stewarding</v>
          </cell>
          <cell r="J11" t="str">
            <v/>
          </cell>
          <cell r="K11" t="str">
            <v/>
          </cell>
          <cell r="L11" t="str">
            <v>Ø25xW21.2xH10cm 3D Crown Non-Slip Display Stand</v>
          </cell>
        </row>
        <row r="12">
          <cell r="A12" t="str">
            <v>5712-921100-RC</v>
          </cell>
          <cell r="B12" t="str">
            <v>921100RC</v>
          </cell>
          <cell r="D12" t="str">
            <v>D:15XW:10XHT:10cm, 3D "CROWN" NON-SLIP DISPLAY STAND</v>
          </cell>
          <cell r="E12" t="str">
            <v>NO TAG</v>
          </cell>
          <cell r="H12">
            <v>7.33</v>
          </cell>
          <cell r="I12" t="str">
            <v>JS-Janitorial and Stewarding</v>
          </cell>
          <cell r="J12" t="str">
            <v/>
          </cell>
          <cell r="K12" t="str">
            <v/>
          </cell>
          <cell r="L12" t="str">
            <v>Ø15xW10xH10cm 3D Crown Non-Slip Display Stand</v>
          </cell>
        </row>
        <row r="13">
          <cell r="A13" t="str">
            <v>5712-921108-RC</v>
          </cell>
          <cell r="B13" t="str">
            <v>921108RC</v>
          </cell>
          <cell r="D13" t="str">
            <v>D:25XW:21.2XHT:20cm, 3D "CROWN" NON-SLIP DISPLAY STAND</v>
          </cell>
          <cell r="E13" t="str">
            <v>NO TAG</v>
          </cell>
          <cell r="H13">
            <v>12.94</v>
          </cell>
          <cell r="I13" t="str">
            <v>JS-Janitorial and Stewarding</v>
          </cell>
          <cell r="J13" t="str">
            <v/>
          </cell>
          <cell r="K13" t="str">
            <v/>
          </cell>
          <cell r="L13" t="str">
            <v>Ø25xW21.2xH20cm 3D Crown Non-Slip Display Stand</v>
          </cell>
        </row>
        <row r="14">
          <cell r="A14" t="str">
            <v>5712-921112-RC</v>
          </cell>
          <cell r="B14" t="str">
            <v>921112RC</v>
          </cell>
          <cell r="D14" t="str">
            <v>D:25XW:21.2XHT:30cm, 3D "CROWN" NON-SLIP DISPLAY STAND</v>
          </cell>
          <cell r="E14" t="str">
            <v>NO TAG</v>
          </cell>
          <cell r="H14">
            <v>16.170000000000002</v>
          </cell>
          <cell r="I14" t="str">
            <v>JS-Janitorial and Stewarding</v>
          </cell>
          <cell r="J14" t="str">
            <v/>
          </cell>
          <cell r="K14" t="str">
            <v/>
          </cell>
          <cell r="L14" t="str">
            <v>Ø25xW21.2xH30cm 3D Crown Non-Slip Display Stand</v>
          </cell>
        </row>
        <row r="15">
          <cell r="A15" t="str">
            <v>5712-BAG-219405</v>
          </cell>
          <cell r="B15">
            <v>219405</v>
          </cell>
          <cell r="D15" t="str">
            <v>L:13XHT:15cm, RD CYLINDER CORK BAG/BASKET FOR BUFFET/DISPLAY (BEIGE)</v>
          </cell>
          <cell r="E15" t="str">
            <v>NO TAG</v>
          </cell>
          <cell r="H15">
            <v>8.82</v>
          </cell>
          <cell r="I15" t="str">
            <v>JS-Janitorial and Stewarding</v>
          </cell>
          <cell r="J15" t="str">
            <v>SS-Storage Solutions</v>
          </cell>
          <cell r="K15" t="str">
            <v/>
          </cell>
          <cell r="L15" t="str">
            <v>L13xH15cm Round Cylinder Cork Bag/Basket Beige for Buffet/Display</v>
          </cell>
        </row>
        <row r="16">
          <cell r="A16" t="str">
            <v>5712-BAG-219407</v>
          </cell>
          <cell r="B16">
            <v>219613</v>
          </cell>
          <cell r="D16" t="str">
            <v>(WSL19)L:17.6XHT:15cm, RD CYLINDER CORK BAG/BASKET FOR BUFFET/DISPLAY (BEIGE)</v>
          </cell>
          <cell r="E16" t="str">
            <v>WSL WITH STOCK</v>
          </cell>
          <cell r="H16">
            <v>11.49</v>
          </cell>
          <cell r="I16" t="str">
            <v>JS-Janitorial and Stewarding</v>
          </cell>
          <cell r="J16" t="str">
            <v>SS-Storage Solutions</v>
          </cell>
          <cell r="K16" t="str">
            <v/>
          </cell>
          <cell r="L16" t="str">
            <v>L17.6xH15cm Round Cylinder Cork Bag/Basket Beige for Buffet/Display</v>
          </cell>
        </row>
        <row r="17">
          <cell r="A17" t="str">
            <v>5712-BAG-219510-RD</v>
          </cell>
          <cell r="B17">
            <v>219613</v>
          </cell>
          <cell r="D17" t="str">
            <v>(WSL19)L:26.5XHT:12cm, RD CYLINDER CORK BAG/BASKET FOR BUFFET/DISPLAY (BEIGE)</v>
          </cell>
          <cell r="E17" t="str">
            <v>WSL WITH STOCK</v>
          </cell>
          <cell r="H17">
            <v>11.49</v>
          </cell>
          <cell r="I17" t="str">
            <v>JS-Janitorial and Stewarding</v>
          </cell>
          <cell r="J17" t="str">
            <v>SS-Storage Solutions</v>
          </cell>
          <cell r="K17" t="str">
            <v/>
          </cell>
          <cell r="L17" t="str">
            <v>L26.5xH12cm Round Cylinder Cork Bag/Basket Beige for Buffet/Display</v>
          </cell>
        </row>
        <row r="18">
          <cell r="A18" t="str">
            <v>5712-BAG-219513-RD</v>
          </cell>
          <cell r="B18">
            <v>219613</v>
          </cell>
          <cell r="D18" t="str">
            <v>(WSL19)L:32.5XHT:12cm, RD CYLINDER CORK BAG/BASKET FOR BUFFET/DISPLAY (BEIGE)</v>
          </cell>
          <cell r="E18" t="str">
            <v>WSL WITH STOCK</v>
          </cell>
          <cell r="H18">
            <v>11.49</v>
          </cell>
          <cell r="I18" t="str">
            <v>JS-Janitorial and Stewarding</v>
          </cell>
          <cell r="J18" t="str">
            <v>SS-Storage Solutions</v>
          </cell>
          <cell r="K18" t="str">
            <v/>
          </cell>
          <cell r="L18" t="str">
            <v>L32.5xH12cm Round Cylinder Cork Bag/Basket Beige for Buffet/Display</v>
          </cell>
        </row>
        <row r="19">
          <cell r="A19" t="str">
            <v>5712-BAG-219611-1/1</v>
          </cell>
          <cell r="B19">
            <v>219611</v>
          </cell>
          <cell r="D19" t="str">
            <v>(WSL19)L:53XW:32.5cm, GN 1/1 SIZE CORK BAG/BASKET FOR BUFFET/DISPLAY (BEIGE)</v>
          </cell>
          <cell r="E19" t="str">
            <v>WSL WITH STOCK</v>
          </cell>
          <cell r="H19">
            <v>25.7</v>
          </cell>
          <cell r="I19" t="str">
            <v>JS-Janitorial and Stewarding</v>
          </cell>
          <cell r="J19" t="str">
            <v>SS-Storage Solutions</v>
          </cell>
          <cell r="K19" t="str">
            <v/>
          </cell>
          <cell r="L19" t="str">
            <v>L53xW32.5cm GN 1/1 Size Cork Bag/Basket Beige for Buffet/Display</v>
          </cell>
        </row>
        <row r="20">
          <cell r="A20" t="str">
            <v>5712-BAG-219612-1/2</v>
          </cell>
          <cell r="B20">
            <v>219612</v>
          </cell>
          <cell r="D20" t="str">
            <v>(WSL19)L:32.5XW:26.5cm, GN 1/2 SIZE CORK BAG/BASKET FOR BUFFET/DISPLAY (BEIGE)</v>
          </cell>
          <cell r="E20" t="str">
            <v>WSL WITH STOCK</v>
          </cell>
          <cell r="H20">
            <v>16.86</v>
          </cell>
          <cell r="I20" t="str">
            <v>JS-Janitorial and Stewarding</v>
          </cell>
          <cell r="J20" t="str">
            <v>SS-Storage Solutions</v>
          </cell>
          <cell r="K20" t="str">
            <v/>
          </cell>
          <cell r="L20" t="str">
            <v>L32.5xW26.5cm GN 1/2 Size Cork Bag/Basket Beige for Buffet/Display</v>
          </cell>
        </row>
        <row r="21">
          <cell r="A21" t="str">
            <v>5712-BAG-219613-1/3</v>
          </cell>
          <cell r="B21">
            <v>219613</v>
          </cell>
          <cell r="D21" t="str">
            <v>(WSL19)L:32.5XW:17.5cm, GN 1/3 SIZE CORK BAG/BASKET FOR BUFFET/DISPLAY (BEIGE)</v>
          </cell>
          <cell r="E21" t="str">
            <v>WSL WITH STOCK</v>
          </cell>
          <cell r="H21">
            <v>11.49</v>
          </cell>
          <cell r="I21" t="str">
            <v>JS-Janitorial and Stewarding</v>
          </cell>
          <cell r="J21" t="str">
            <v>SS-Storage Solutions</v>
          </cell>
          <cell r="K21" t="str">
            <v/>
          </cell>
          <cell r="L21" t="str">
            <v>L32.5xW17.5cm GN 1/3 Size Cork Bag/Basket Beige for Buffet/Display</v>
          </cell>
        </row>
        <row r="22">
          <cell r="A22" t="str">
            <v>5712-BAK-407512-BK</v>
          </cell>
          <cell r="B22" t="str">
            <v>407512BK</v>
          </cell>
          <cell r="D22" t="e">
            <v>#VALUE!</v>
          </cell>
          <cell r="E22" t="str">
            <v>NO TAG</v>
          </cell>
          <cell r="H22">
            <v>7.44</v>
          </cell>
          <cell r="I22" t="str">
            <v>JS-Janitorial and Stewarding</v>
          </cell>
          <cell r="J22" t="str">
            <v>BW-Bakeware</v>
          </cell>
          <cell r="K22" t="str">
            <v>BPT-Baking Pans &amp; Trays</v>
          </cell>
          <cell r="L22" t="str">
            <v>L30xW20cm Rectangular Woody Baker Pastry Tray Black</v>
          </cell>
        </row>
        <row r="23">
          <cell r="A23" t="str">
            <v>5712-BAK-407612-BK</v>
          </cell>
          <cell r="B23" t="str">
            <v>407612BK</v>
          </cell>
          <cell r="D23" t="e">
            <v>#VALUE!</v>
          </cell>
          <cell r="E23" t="str">
            <v>NO TAG</v>
          </cell>
          <cell r="H23">
            <v>11.08</v>
          </cell>
          <cell r="I23" t="str">
            <v>JS-Janitorial and Stewarding</v>
          </cell>
          <cell r="J23" t="str">
            <v>BW-Bakeware</v>
          </cell>
          <cell r="K23" t="str">
            <v>BPT-Baking Pans &amp; Trays</v>
          </cell>
          <cell r="L23" t="str">
            <v>L30xW30cm Square Woody Baker Pastry Tray Black</v>
          </cell>
        </row>
        <row r="24">
          <cell r="A24" t="str">
            <v>5712-BAK-407812-BK16</v>
          </cell>
          <cell r="B24" t="str">
            <v>407812BK16</v>
          </cell>
          <cell r="D24" t="str">
            <v>L:32.5XW26cm, 1/2 SIZE MELAMINE BAKER-WRITING TRAY (BLACK W/WHITE WORDING)</v>
          </cell>
          <cell r="E24" t="str">
            <v>NO TAG</v>
          </cell>
          <cell r="H24">
            <v>11.31</v>
          </cell>
          <cell r="I24" t="str">
            <v>JS-Janitorial and Stewarding</v>
          </cell>
          <cell r="J24" t="str">
            <v>BW-Bakeware</v>
          </cell>
          <cell r="K24" t="str">
            <v>BPT-Baking Pans &amp; Trays</v>
          </cell>
          <cell r="L24" t="str">
            <v>Melamine L32.5xW26cm 1/2 Size Baking Tray Black with White Wording</v>
          </cell>
        </row>
        <row r="25">
          <cell r="A25" t="str">
            <v>5712-BAK-407813-BK16</v>
          </cell>
          <cell r="B25" t="str">
            <v>407813BK16</v>
          </cell>
          <cell r="D25" t="str">
            <v>L:32XW17.5cm, 1/3 SIZE MELAMINE BAKER-WRITING TRAY (BLACK W/WHITE WORDING)</v>
          </cell>
          <cell r="E25" t="str">
            <v>NO TAG</v>
          </cell>
          <cell r="H25">
            <v>8.61</v>
          </cell>
          <cell r="I25" t="str">
            <v>JS-Janitorial and Stewarding</v>
          </cell>
          <cell r="J25" t="str">
            <v>BW-Bakeware</v>
          </cell>
          <cell r="K25" t="str">
            <v>BPT-Baking Pans &amp; Trays</v>
          </cell>
          <cell r="L25" t="str">
            <v>Melamine L32xW17.5cm 1/3 Size Baking Tray Black with White Wording</v>
          </cell>
        </row>
        <row r="26">
          <cell r="A26" t="str">
            <v>5712-BAL-902725BK</v>
          </cell>
          <cell r="B26" t="str">
            <v>902725BK</v>
          </cell>
          <cell r="D26" t="str">
            <v>L:12.5xW:10.5xHT 6cm 'BALLET' DESSERT STAND 2.5"HT,BLACK</v>
          </cell>
          <cell r="E26" t="str">
            <v>NO TAG</v>
          </cell>
          <cell r="H26">
            <v>5.6</v>
          </cell>
          <cell r="I26" t="str">
            <v>JS-Janitorial and Stewarding</v>
          </cell>
          <cell r="J26" t="str">
            <v>SVW-Serveware</v>
          </cell>
          <cell r="K26" t="str">
            <v>DRA-Display Risers, Stands &amp; Accessories</v>
          </cell>
          <cell r="L26" t="str">
            <v>L12.5xW10.5xH6cm H2.5" Ballet Dessert Stand Black</v>
          </cell>
        </row>
        <row r="27">
          <cell r="A27" t="str">
            <v>5712-BAS-960103BK</v>
          </cell>
          <cell r="B27" t="str">
            <v>960103BK</v>
          </cell>
          <cell r="D27" t="str">
            <v>52X31.5X8CM 1/1 SIZE RECT. "TOWER" DISPLAY BASKET W/HDLE (BLACK)</v>
          </cell>
          <cell r="E27" t="str">
            <v>NO TAG</v>
          </cell>
          <cell r="H27">
            <v>29.68</v>
          </cell>
          <cell r="I27" t="str">
            <v>JS-Janitorial and Stewarding</v>
          </cell>
          <cell r="J27" t="str">
            <v>SS-Storage Solutions</v>
          </cell>
          <cell r="K27" t="str">
            <v/>
          </cell>
          <cell r="L27" t="str">
            <v>52x31.5x8cm 1/1 Size Rectangular Tower Display Basket Black with Handle</v>
          </cell>
        </row>
        <row r="28">
          <cell r="A28" t="str">
            <v>5712-BAS-960106BK</v>
          </cell>
          <cell r="B28" t="str">
            <v>960106BK</v>
          </cell>
          <cell r="D28" t="str">
            <v>52X31.5X16CM 1/1 SIZE RECT. "TOWER" DISPLAY BASKET W/HDLE (BLACK)</v>
          </cell>
          <cell r="E28" t="str">
            <v>NO TAG</v>
          </cell>
          <cell r="H28">
            <v>35.89</v>
          </cell>
          <cell r="I28" t="str">
            <v>JS-Janitorial and Stewarding</v>
          </cell>
          <cell r="J28" t="str">
            <v>SS-Storage Solutions</v>
          </cell>
          <cell r="K28" t="str">
            <v/>
          </cell>
          <cell r="L28" t="str">
            <v>52x31.5x16cm 1/1 Size Rectangular Tower Display Basket Black with Handle</v>
          </cell>
        </row>
        <row r="29">
          <cell r="A29" t="str">
            <v>5712-BAS-960203BK</v>
          </cell>
          <cell r="B29" t="str">
            <v>960203BK</v>
          </cell>
          <cell r="D29" t="str">
            <v>31.5X25.5X8CM 1/2 SIZE RECT. "TOWER" DISPLAY BASKET W/HDLE (BLACK)</v>
          </cell>
          <cell r="E29" t="str">
            <v>NO TAG</v>
          </cell>
          <cell r="H29">
            <v>20.99</v>
          </cell>
          <cell r="I29" t="str">
            <v>JS-Janitorial and Stewarding</v>
          </cell>
          <cell r="J29" t="str">
            <v>SS-Storage Solutions</v>
          </cell>
          <cell r="K29" t="str">
            <v/>
          </cell>
          <cell r="L29" t="str">
            <v>31.5x25.5x8cm 1/2 Size Rectangular Tower Display Basket Black with Handle</v>
          </cell>
        </row>
        <row r="30">
          <cell r="A30" t="str">
            <v>5712-BAS-960206BK</v>
          </cell>
          <cell r="B30" t="str">
            <v>960206BK</v>
          </cell>
          <cell r="D30" t="str">
            <v>31.5X25.5X16CM 1/2 SIZE RECT. "TOWER" BASKET W/HDLE (BLACK)</v>
          </cell>
          <cell r="E30" t="str">
            <v>NO TAG</v>
          </cell>
          <cell r="H30">
            <v>24.04</v>
          </cell>
          <cell r="I30" t="str">
            <v>JS-Janitorial and Stewarding</v>
          </cell>
          <cell r="J30" t="str">
            <v>SS-Storage Solutions</v>
          </cell>
          <cell r="K30" t="str">
            <v/>
          </cell>
          <cell r="L30" t="str">
            <v>31.5x25.5x16cm 1/2 Size Rectangular Tower Basket Black with Handle</v>
          </cell>
        </row>
        <row r="31">
          <cell r="A31" t="str">
            <v>5712-BAS-960303BK</v>
          </cell>
          <cell r="B31" t="str">
            <v>960303BK</v>
          </cell>
          <cell r="D31" t="str">
            <v>31.5X17X8CM 1/3 SIZE RECT. "TOWER" DISPLAY BASKET W/HDLE (BLACK)</v>
          </cell>
          <cell r="E31" t="str">
            <v>NO TAG</v>
          </cell>
          <cell r="H31">
            <v>17.02</v>
          </cell>
          <cell r="I31" t="str">
            <v>JS-Janitorial and Stewarding</v>
          </cell>
          <cell r="J31" t="str">
            <v>SS-Storage Solutions</v>
          </cell>
          <cell r="K31" t="str">
            <v/>
          </cell>
          <cell r="L31" t="str">
            <v>31.5x17x8cm 1/3 Size Rectangular Tower Display Basket Black with Handle</v>
          </cell>
        </row>
        <row r="32">
          <cell r="A32" t="str">
            <v>5712-BAS-960306BK</v>
          </cell>
          <cell r="B32" t="str">
            <v>960306BK</v>
          </cell>
          <cell r="D32" t="str">
            <v>31.5X17X16CM 1/3 SIZE RECT. "TOWER" DISPLAY BASKET W/HDLE (BLACK)</v>
          </cell>
          <cell r="E32" t="str">
            <v>NO TAG</v>
          </cell>
          <cell r="H32">
            <v>21.36</v>
          </cell>
          <cell r="I32" t="str">
            <v>JS-Janitorial and Stewarding</v>
          </cell>
          <cell r="J32" t="str">
            <v>SS-Storage Solutions</v>
          </cell>
          <cell r="K32" t="str">
            <v/>
          </cell>
          <cell r="L32" t="str">
            <v>31.5x17x16cm 1/3 Size Rectangular Tower Display Basket Black with Handle</v>
          </cell>
        </row>
        <row r="33">
          <cell r="A33" t="str">
            <v>5712-COM-706008CG</v>
          </cell>
          <cell r="B33" t="str">
            <v>706008CG</v>
          </cell>
          <cell r="D33" t="str">
            <v>#706008CG, Ø20.3x4.2cm 8" ROUND DEEP PLATE /W STAND, DARK GREY</v>
          </cell>
          <cell r="E33" t="str">
            <v>NO TAG</v>
          </cell>
          <cell r="H33">
            <v>8.7200000000000006</v>
          </cell>
          <cell r="I33" t="str">
            <v>JS-Janitorial and Stewarding</v>
          </cell>
          <cell r="J33" t="str">
            <v>DWR-Dinnerware</v>
          </cell>
          <cell r="K33" t="str">
            <v>PLT-Plates</v>
          </cell>
          <cell r="L33" t="str">
            <v>#706008CG Ø20.3x4.2cm 8" Round Deep Plate Dark Grey with Stand</v>
          </cell>
        </row>
        <row r="34">
          <cell r="A34" t="str">
            <v>5712-COM-706010CG</v>
          </cell>
          <cell r="B34" t="str">
            <v>706010CG</v>
          </cell>
          <cell r="D34" t="str">
            <v>#706010CG, Ø25.2x5.1cm 10" ROUND DEEP PLATE /W STAND, DARK GREY</v>
          </cell>
          <cell r="E34" t="str">
            <v>NO TAG</v>
          </cell>
          <cell r="H34">
            <v>13</v>
          </cell>
          <cell r="I34" t="str">
            <v>JS-Janitorial and Stewarding</v>
          </cell>
          <cell r="J34" t="str">
            <v>DWR-Dinnerware</v>
          </cell>
          <cell r="K34" t="str">
            <v>PLT-Plates</v>
          </cell>
          <cell r="L34" t="str">
            <v>#706010CG Ø25.2x5.1cm 10" Round Deep Plate Dark Grey with Stand</v>
          </cell>
        </row>
        <row r="35">
          <cell r="A35" t="str">
            <v>5712-COM-706012CG</v>
          </cell>
          <cell r="B35" t="str">
            <v>706012CG</v>
          </cell>
          <cell r="D35" t="str">
            <v>(WSL25) #706012CG, Ø30.4x6cm 12" ROUND DEEP PLATE /W STAND, DARK GREY</v>
          </cell>
          <cell r="E35" t="str">
            <v>WSL WITH STOCK</v>
          </cell>
          <cell r="H35">
            <v>19.34</v>
          </cell>
          <cell r="I35" t="str">
            <v>JS-Janitorial and Stewarding</v>
          </cell>
          <cell r="J35" t="str">
            <v>DWR-Dinnerware</v>
          </cell>
          <cell r="K35" t="str">
            <v>PLT-Plates</v>
          </cell>
          <cell r="L35" t="str">
            <v>#706012CG Ø30.4x6cm 12" Round Deep Plate Dark Grey with Stand</v>
          </cell>
        </row>
        <row r="36">
          <cell r="A36" t="str">
            <v>5712-CPT-408412OR</v>
          </cell>
          <cell r="B36" t="str">
            <v>408412OR</v>
          </cell>
          <cell r="D36" t="str">
            <v>(WSL19)L:30XW:15XHT:1.8cm, RECT. CRYSTAL PASTRY TRAY (ORANGE)</v>
          </cell>
          <cell r="E36" t="str">
            <v>WSL WITH STOCK</v>
          </cell>
          <cell r="H36">
            <v>42.3</v>
          </cell>
          <cell r="I36" t="str">
            <v>JS-Janitorial and Stewarding</v>
          </cell>
          <cell r="J36" t="str">
            <v>SVW-Serveware</v>
          </cell>
          <cell r="K36" t="str">
            <v>DRA-Display Risers, Stands &amp; Accessories</v>
          </cell>
          <cell r="L36" t="str">
            <v>L30xW15xH1.8cm Rectangular Crystal Pastry Tray Orange</v>
          </cell>
        </row>
        <row r="37">
          <cell r="A37" t="str">
            <v>5712-CPT-408512OR</v>
          </cell>
          <cell r="B37" t="str">
            <v>408512OR</v>
          </cell>
          <cell r="D37" t="str">
            <v>(WSL19)L:30XW:20XHT:1.8cm, RECT. CRYSTAL PASTRY TRAY (ORANGE)</v>
          </cell>
          <cell r="E37" t="str">
            <v>WSL WITH STOCK</v>
          </cell>
          <cell r="H37">
            <v>51.48</v>
          </cell>
          <cell r="I37" t="str">
            <v>JS-Janitorial and Stewarding</v>
          </cell>
          <cell r="J37" t="str">
            <v>SVW-Serveware</v>
          </cell>
          <cell r="K37" t="str">
            <v>DRA-Display Risers, Stands &amp; Accessories</v>
          </cell>
          <cell r="L37" t="str">
            <v>L30xW20xH1.8cm Rectangular Crystal Pastry Tray Orang</v>
          </cell>
        </row>
        <row r="38">
          <cell r="A38" t="str">
            <v>5712-CPT-408612OR</v>
          </cell>
          <cell r="B38" t="str">
            <v>408612OR</v>
          </cell>
          <cell r="D38" t="str">
            <v>(WSL19)L:30XW:30XHT:1.8cm, SQUARE CRYSTAL PASTRY TRAY (ORANGE)</v>
          </cell>
          <cell r="E38" t="str">
            <v>WSL WITH STOCK</v>
          </cell>
          <cell r="H38">
            <v>86.75</v>
          </cell>
          <cell r="I38" t="str">
            <v>JS-Janitorial and Stewarding</v>
          </cell>
          <cell r="J38" t="str">
            <v>SVW-Serveware</v>
          </cell>
          <cell r="K38" t="str">
            <v>DRA-Display Risers, Stands &amp; Accessories</v>
          </cell>
          <cell r="L38" t="str">
            <v>L30xW30xH1.8cm Square Crystal Pastry Tray Orange</v>
          </cell>
        </row>
        <row r="39">
          <cell r="A39" t="str">
            <v>5712-CPT-408717OR</v>
          </cell>
          <cell r="B39" t="str">
            <v>408717OR</v>
          </cell>
          <cell r="D39" t="str">
            <v>(WSL19)L:30XW:40XHT:1.8cm, RECT. CRYSTAL PASTRY TRAY (ORANGE)</v>
          </cell>
          <cell r="E39" t="str">
            <v>WSL WITH STOCK</v>
          </cell>
          <cell r="H39">
            <v>93.5</v>
          </cell>
          <cell r="I39" t="str">
            <v>JS-Janitorial and Stewarding</v>
          </cell>
          <cell r="J39" t="str">
            <v>SVW-Serveware</v>
          </cell>
          <cell r="K39" t="str">
            <v>MSA-Miscellaneous Serving Accessories</v>
          </cell>
          <cell r="L39" t="str">
            <v>L30xW40xH1.8cm Rectangular Crystal Pastry Tray Orange</v>
          </cell>
        </row>
        <row r="40">
          <cell r="A40" t="str">
            <v>5712-CYBER-705908</v>
          </cell>
          <cell r="B40">
            <v>705908</v>
          </cell>
          <cell r="D40" t="str">
            <v>#705908, DIAØ:20 x HT:35cm 8" CLEAR PC DISPLAY TUBE /W BLACK BASE</v>
          </cell>
          <cell r="E40" t="str">
            <v>NO TAG</v>
          </cell>
          <cell r="H40">
            <v>51.64</v>
          </cell>
          <cell r="I40" t="str">
            <v>JS-Janitorial and Stewarding</v>
          </cell>
          <cell r="J40" t="str">
            <v/>
          </cell>
          <cell r="K40" t="str">
            <v/>
          </cell>
          <cell r="L40" t="str">
            <v>#705908 PC Ø20xH35cm Display Tube Clear with Black Base</v>
          </cell>
        </row>
        <row r="41">
          <cell r="A41" t="str">
            <v>5712-CYBER-705910</v>
          </cell>
          <cell r="B41">
            <v>705910</v>
          </cell>
          <cell r="D41" t="str">
            <v>#705910, DIAØ:25 x HT:45cm 10" CLEAR PC DISPLAY TUBE /W 3-TIER WHITE PLATTER &amp; BLACK BASE</v>
          </cell>
          <cell r="E41" t="str">
            <v>NO TAG</v>
          </cell>
          <cell r="H41">
            <v>118.83</v>
          </cell>
          <cell r="I41" t="str">
            <v>JS-Janitorial and Stewarding</v>
          </cell>
          <cell r="J41" t="str">
            <v>SVW-Serveware</v>
          </cell>
          <cell r="K41" t="str">
            <v>DRA-Display Risers, Stands &amp; Accessories</v>
          </cell>
          <cell r="L41" t="str">
            <v>#705910 PC Ø25xH45cm 10" Display Tube Clear with 3-Tier White Platter and Black Base</v>
          </cell>
        </row>
        <row r="42">
          <cell r="A42" t="str">
            <v>5712-DELI-502411-IV</v>
          </cell>
          <cell r="B42" t="str">
            <v>502411IV</v>
          </cell>
          <cell r="D42" t="str">
            <v>L:17cm, MELAMINE SAUCE LADLE (CREAM)</v>
          </cell>
          <cell r="E42" t="str">
            <v>NO TAG</v>
          </cell>
          <cell r="H42">
            <v>0.98</v>
          </cell>
          <cell r="I42" t="str">
            <v>JS-Janitorial and Stewarding</v>
          </cell>
          <cell r="J42" t="str">
            <v>UT-Utensils</v>
          </cell>
          <cell r="K42" t="str">
            <v>SU-Serving Utensils</v>
          </cell>
          <cell r="L42" t="str">
            <v>Melamine L17cm Sauce Ladle Cream</v>
          </cell>
        </row>
        <row r="43">
          <cell r="A43" t="str">
            <v>5712-EBO-6002</v>
          </cell>
          <cell r="B43">
            <v>6002</v>
          </cell>
          <cell r="D43" t="str">
            <v>(DCWSL19)&lt;4170100&gt; 325X134mm RECT. BAMBOO HOLDER ONLY FOR #206505IV 5'' SQ. BOWL</v>
          </cell>
          <cell r="E43" t="str">
            <v>WSL WITH STOCK</v>
          </cell>
          <cell r="H43">
            <v>10.5</v>
          </cell>
          <cell r="I43" t="str">
            <v>JS-Janitorial and Stewarding</v>
          </cell>
          <cell r="J43" t="str">
            <v>SVW-Serveware</v>
          </cell>
          <cell r="K43" t="str">
            <v>OD-Organizers and Dispensers</v>
          </cell>
          <cell r="L43" t="str">
            <v>325x134mm Rectangular Bamboo Holder for #206505IV 5" Square Bowl</v>
          </cell>
        </row>
        <row r="44">
          <cell r="A44" t="str">
            <v>5712-EBO-600801(SET)</v>
          </cell>
          <cell r="B44" t="str">
            <v>70080501IV</v>
          </cell>
          <cell r="D44" t="str">
            <v>（DCWSL25) &lt;4170101&gt;#600801-SET 400X130X60(ht)mm RECT. BAMBOO STAND (C/W 3-PS #207205IV 5" RD. BOWL)</v>
          </cell>
          <cell r="E44" t="str">
            <v>WSL WITH STOCK</v>
          </cell>
          <cell r="H44">
            <v>30.57</v>
          </cell>
          <cell r="I44" t="str">
            <v>JS-Janitorial and Stewarding</v>
          </cell>
          <cell r="J44" t="str">
            <v>SVW-Serveware</v>
          </cell>
          <cell r="K44" t="str">
            <v>DRA-Display Risers, Stands &amp; Accessories</v>
          </cell>
          <cell r="L44" t="str">
            <v>#600801-SET 400x130x60mm Rectangular Bamboo Stand with 3-Pcs #207205IV 5" Round Bowl</v>
          </cell>
        </row>
        <row r="45">
          <cell r="A45" t="str">
            <v>5712-EBO-601001(SET)</v>
          </cell>
          <cell r="D45" t="str">
            <v>(DCWSL22)&lt;4170102&gt;#601001-SET 330X150X20(ht)mm RECT. BAMBOO STAND (C/W 1-PS 5"SQ. BOWL &amp; 2-PS 4"SQB</v>
          </cell>
          <cell r="E45" t="str">
            <v>WSL WITH STOCK</v>
          </cell>
          <cell r="H45">
            <v>30.75</v>
          </cell>
          <cell r="I45" t="str">
            <v>JS-Janitorial and Stewarding</v>
          </cell>
          <cell r="J45" t="str">
            <v>SVW-Serveware</v>
          </cell>
          <cell r="K45" t="str">
            <v>DRA-Display Risers, Stands &amp; Accessories</v>
          </cell>
          <cell r="L45" t="str">
            <v>#601001-SET 330x150x20mm Rectangular Bamboo Stand with 1 Pc 5" Square Bowl and 2 Pcs 4" Square Bowls</v>
          </cell>
        </row>
        <row r="46">
          <cell r="A46" t="str">
            <v>5712-EDA-515508IV</v>
          </cell>
          <cell r="B46" t="str">
            <v>515508IV</v>
          </cell>
          <cell r="D46" t="str">
            <v>(WSL20) &lt;4170808&gt;(BLK STAND SOLD SEPARATELY) #515508, 8" MELAMINE GEOMETRY CONE CUP (IVORY)</v>
          </cell>
          <cell r="E46" t="str">
            <v>WSL WITH STOCK</v>
          </cell>
          <cell r="H46">
            <v>3.94</v>
          </cell>
          <cell r="I46" t="str">
            <v>JS-Janitorial and Stewarding</v>
          </cell>
          <cell r="J46" t="str">
            <v>BWR-Beverageware</v>
          </cell>
          <cell r="K46" t="str">
            <v>CM-Cup/Mugs</v>
          </cell>
          <cell r="L46" t="str">
            <v>#515508 Melamine 8" Geometry Cone Cup Ivory</v>
          </cell>
        </row>
        <row r="47">
          <cell r="A47" t="str">
            <v>5712-EDA-515510IV</v>
          </cell>
          <cell r="B47" t="str">
            <v>515510IV</v>
          </cell>
          <cell r="D47" t="str">
            <v>(WSL20) &lt;4170810&gt;(BLK STAND SOLD SEPARATELY)  #515510, 10" MELAMINE GEOMETRY CONE CUP (IVORY)</v>
          </cell>
          <cell r="E47" t="str">
            <v>WSL WITH STOCK</v>
          </cell>
          <cell r="H47">
            <v>5.55</v>
          </cell>
          <cell r="I47" t="str">
            <v>JS-Janitorial and Stewarding</v>
          </cell>
          <cell r="J47" t="str">
            <v>BWR-Beverageware</v>
          </cell>
          <cell r="K47" t="str">
            <v>CM-Cup/Mugs</v>
          </cell>
          <cell r="L47" t="str">
            <v>#515510 Melamine 10" Geometry Cone Cup Ivory</v>
          </cell>
        </row>
        <row r="48">
          <cell r="A48" t="str">
            <v>5712-EDA-515904IV</v>
          </cell>
          <cell r="B48" t="str">
            <v>515904IV</v>
          </cell>
          <cell r="D48" t="str">
            <v>(WSL19)&lt;4171806&gt;#515904, 4'' MELAMINE PETIT DROP DISH, 100x70x24mm (IVORY)</v>
          </cell>
          <cell r="E48" t="str">
            <v>WSL WITH STOCK</v>
          </cell>
          <cell r="H48">
            <v>0.85</v>
          </cell>
          <cell r="I48" t="str">
            <v>JS-Janitorial and Stewarding</v>
          </cell>
          <cell r="J48" t="str">
            <v>DWR-Dinnerware</v>
          </cell>
          <cell r="K48" t="str">
            <v/>
          </cell>
          <cell r="L48" t="str">
            <v>#515904 Melamine 100x70x24mm 4" Petit Drop Dish Ivory</v>
          </cell>
        </row>
        <row r="49">
          <cell r="A49" t="str">
            <v>5712-EDA-516004IV</v>
          </cell>
          <cell r="B49" t="str">
            <v>516004IV</v>
          </cell>
          <cell r="D49" t="str">
            <v>(WSL19)#516004, 4'' MELAMINE PETIT WAN WAN DISH (IVORY)</v>
          </cell>
          <cell r="E49" t="str">
            <v>WSL WITH STOCK</v>
          </cell>
          <cell r="H49">
            <v>1.5</v>
          </cell>
          <cell r="I49" t="str">
            <v>JS-Janitorial and Stewarding</v>
          </cell>
          <cell r="J49" t="str">
            <v>DWR-Dinnerware</v>
          </cell>
          <cell r="K49" t="str">
            <v>BWL-Bowls</v>
          </cell>
          <cell r="L49" t="str">
            <v>#516004 Melamine 4" Petit Wan Wan Dish Ivory</v>
          </cell>
        </row>
        <row r="50">
          <cell r="A50" t="str">
            <v>5712-EDA-516104IV</v>
          </cell>
          <cell r="B50" t="str">
            <v>516104IV</v>
          </cell>
          <cell r="D50" t="str">
            <v>(WSL19)&lt;4171807&gt; #516104, 4'' MELAMINE PETIT VENUS DISH, 89x68x20mm (IVORY)</v>
          </cell>
          <cell r="E50" t="str">
            <v>WSL WITH STOCK</v>
          </cell>
          <cell r="H50">
            <v>0.71</v>
          </cell>
          <cell r="I50" t="str">
            <v>JS-Janitorial and Stewarding</v>
          </cell>
          <cell r="J50" t="str">
            <v>DWR-Dinnerware</v>
          </cell>
          <cell r="K50" t="str">
            <v>PLTR-Platters</v>
          </cell>
          <cell r="L50" t="str">
            <v>#51610 Melamine 89x68x20mm 4" Petit Venus Dish Ivory</v>
          </cell>
        </row>
        <row r="51">
          <cell r="A51" t="str">
            <v>5712-EDA-516205IV</v>
          </cell>
          <cell r="B51" t="str">
            <v>516205IV</v>
          </cell>
          <cell r="D51" t="str">
            <v>(WSL19)&lt;4171805&gt; #516205, 5'' MELAMINE PETIT ROYAL ASCOT DISH, 119x88x34mm (IVORY)</v>
          </cell>
          <cell r="E51" t="str">
            <v>WSL WITH STOCK</v>
          </cell>
          <cell r="H51">
            <v>1.59</v>
          </cell>
          <cell r="I51" t="str">
            <v>JS-Janitorial and Stewarding</v>
          </cell>
          <cell r="J51" t="str">
            <v>DWR-Dinnerware</v>
          </cell>
          <cell r="K51" t="str">
            <v>PLTR-Platters</v>
          </cell>
          <cell r="L51" t="str">
            <v>#516205 Melamine 119x88x34mm 5" Petit Royal Ascot Dish Ivory</v>
          </cell>
        </row>
        <row r="52">
          <cell r="A52" t="str">
            <v>5712-EDA-516304IV</v>
          </cell>
          <cell r="B52" t="str">
            <v>516304IV</v>
          </cell>
          <cell r="D52" t="str">
            <v>(WSL19)&lt;4171803&gt; #516304, 4'' MELAMINE PETIT ROYAL ASCOT BOWL ,101x78x46mm (IVORY)</v>
          </cell>
          <cell r="E52" t="str">
            <v>WSL WITH STOCK</v>
          </cell>
          <cell r="H52">
            <v>1.1100000000000001</v>
          </cell>
          <cell r="I52" t="str">
            <v>JS-Janitorial and Stewarding</v>
          </cell>
          <cell r="J52" t="str">
            <v>DWR-Dinnerware</v>
          </cell>
          <cell r="K52" t="str">
            <v>BWL-Bowls</v>
          </cell>
          <cell r="L52" t="str">
            <v>#516304 Melamine 101x78x46mm 4" Petit Royal Ascot Bowl Ivory</v>
          </cell>
        </row>
        <row r="53">
          <cell r="A53" t="str">
            <v>5712-EDA-516404IV</v>
          </cell>
          <cell r="B53" t="str">
            <v>516404IV</v>
          </cell>
          <cell r="D53" t="str">
            <v>(WSL19)&lt;4171804&gt; #516404, 4'' MELAMINE PETIT DROP BOWL (IVORY)</v>
          </cell>
          <cell r="E53" t="str">
            <v>WSL WITH STOCK</v>
          </cell>
          <cell r="H53">
            <v>1.22</v>
          </cell>
          <cell r="I53" t="str">
            <v>JS-Janitorial and Stewarding</v>
          </cell>
          <cell r="J53" t="str">
            <v>SVW-Serveware</v>
          </cell>
          <cell r="K53" t="str">
            <v>MSA-Miscellaneous Serving Accessories</v>
          </cell>
          <cell r="L53" t="str">
            <v>#516404 Melamine 4" Petit Drop Bowl Ivory</v>
          </cell>
        </row>
        <row r="54">
          <cell r="A54" t="str">
            <v>5712-EDA-516504IV</v>
          </cell>
          <cell r="B54" t="str">
            <v>516504IV</v>
          </cell>
          <cell r="D54" t="str">
            <v>(WSL19)&lt;4171801&gt;#516504, 4'' MELAMINE PETIT GALAXY DISH ,100x78x34mm (IVORY)</v>
          </cell>
          <cell r="E54" t="str">
            <v>WSL WITH STOCK</v>
          </cell>
          <cell r="H54">
            <v>1.27</v>
          </cell>
          <cell r="I54" t="str">
            <v>JS-Janitorial and Stewarding</v>
          </cell>
          <cell r="J54" t="str">
            <v>DWR-Dinnerware</v>
          </cell>
          <cell r="K54" t="str">
            <v>BWL-Bowls</v>
          </cell>
          <cell r="L54" t="str">
            <v>#51650 Melamine 100x78x34mm 4" Petit Galaxy Dish Ivory</v>
          </cell>
        </row>
        <row r="55">
          <cell r="A55" t="str">
            <v>5712-EDA-516603IV</v>
          </cell>
          <cell r="B55" t="str">
            <v>516603IV</v>
          </cell>
          <cell r="D55" t="str">
            <v>(WSL19)&lt;4171802&gt;#516603, 3'' MELAMINE PETIT GALAXY DISH, 80x80x33mm (IVORY)</v>
          </cell>
          <cell r="E55" t="str">
            <v>WSL WITH STOCK</v>
          </cell>
          <cell r="H55">
            <v>0.99</v>
          </cell>
          <cell r="I55" t="str">
            <v>JS-Janitorial and Stewarding</v>
          </cell>
          <cell r="J55" t="str">
            <v>DWR-Dinnerware</v>
          </cell>
          <cell r="K55" t="str">
            <v>BWL-Bowls</v>
          </cell>
          <cell r="L55" t="str">
            <v>#516603 Melamine 80x80x33mm 3" Petit Galaxy Dish Ivory</v>
          </cell>
        </row>
        <row r="56">
          <cell r="A56" t="str">
            <v>5712-EDA-517504IV</v>
          </cell>
          <cell r="B56" t="str">
            <v>517504IV</v>
          </cell>
          <cell r="D56" t="str">
            <v>(WSL19)&lt;4171808&gt; #517504, 4'' MELAMINE PETIT BOAT DISH ,91x63x32mm (IVORY)</v>
          </cell>
          <cell r="E56" t="str">
            <v>WSL WITH STOCK</v>
          </cell>
          <cell r="H56">
            <v>1.1499999999999999</v>
          </cell>
          <cell r="I56" t="str">
            <v>JS-Janitorial and Stewarding</v>
          </cell>
          <cell r="J56" t="str">
            <v>DWR-Dinnerware</v>
          </cell>
          <cell r="K56" t="str">
            <v/>
          </cell>
          <cell r="L56" t="str">
            <v>#5175 Melamine 91x63x32mm 4" Petit Boat Dish Ivory</v>
          </cell>
        </row>
        <row r="57">
          <cell r="A57" t="str">
            <v>5712-EDA-517904IV</v>
          </cell>
          <cell r="B57" t="str">
            <v>517904IV</v>
          </cell>
          <cell r="D57" t="str">
            <v>(WSL19)&lt;4171809&gt; #517904, 4'' MELAMINE PETIT DO DISH, 100x70x48mm (IVORY)</v>
          </cell>
          <cell r="E57" t="str">
            <v>WSL WITH STOCK</v>
          </cell>
          <cell r="H57">
            <v>1.45</v>
          </cell>
          <cell r="I57" t="str">
            <v>JS-Janitorial and Stewarding</v>
          </cell>
          <cell r="J57" t="str">
            <v>DWR-Dinnerware</v>
          </cell>
          <cell r="K57" t="str">
            <v>BWL-Bowls</v>
          </cell>
          <cell r="L57" t="str">
            <v>#517904 Melamine 100x70x48mm 4" Petit Do Dish Ivory</v>
          </cell>
        </row>
        <row r="58">
          <cell r="A58" t="str">
            <v>5712-EDA-518004IV</v>
          </cell>
          <cell r="B58" t="str">
            <v>518004IV</v>
          </cell>
          <cell r="D58" t="str">
            <v>#518004, 4" MELAMINE PETIT RE DISH (IVORY)</v>
          </cell>
          <cell r="E58" t="str">
            <v>NO TAG</v>
          </cell>
          <cell r="H58">
            <v>0.77</v>
          </cell>
          <cell r="I58" t="str">
            <v>JS-Janitorial and Stewarding</v>
          </cell>
          <cell r="J58" t="str">
            <v>DWR-Dinnerware</v>
          </cell>
          <cell r="K58" t="str">
            <v>BWL-Bowls</v>
          </cell>
          <cell r="L58" t="str">
            <v>#518004 Melamine 4" Petit Re Dish Ivory</v>
          </cell>
        </row>
        <row r="59">
          <cell r="A59" t="str">
            <v>5712-EDA-518104IV</v>
          </cell>
          <cell r="B59" t="str">
            <v>518104IV</v>
          </cell>
          <cell r="D59" t="str">
            <v>#518104, 4" MELAMINE PETIT MI DISH (IVORY)</v>
          </cell>
          <cell r="E59" t="str">
            <v>NO TAG</v>
          </cell>
          <cell r="H59">
            <v>0.99</v>
          </cell>
          <cell r="I59" t="str">
            <v>JS-Janitorial and Stewarding</v>
          </cell>
          <cell r="J59" t="str">
            <v>DWR-Dinnerware</v>
          </cell>
          <cell r="K59" t="str">
            <v>BWL-Bowls</v>
          </cell>
          <cell r="L59" t="str">
            <v>#518104 Melamine 4" Petit Mi Dish Ivory</v>
          </cell>
        </row>
        <row r="60">
          <cell r="A60" t="str">
            <v>5712-EDB-206131IV</v>
          </cell>
          <cell r="B60" t="str">
            <v>206131IV</v>
          </cell>
          <cell r="D60" t="str">
            <v>(WSL19)(ID ONLY)&lt;4171231&gt; #206131, 31'' MELAMINE MEHNDI OVAL BOWL (IVORY)</v>
          </cell>
          <cell r="E60" t="str">
            <v>WSL WITH STOCK</v>
          </cell>
          <cell r="H60">
            <v>170.79</v>
          </cell>
          <cell r="I60" t="str">
            <v>JS-Janitorial and Stewarding</v>
          </cell>
          <cell r="J60" t="str">
            <v>SVW-Serveware</v>
          </cell>
          <cell r="K60" t="str">
            <v>MSA-Miscellaneous Serving Accessories</v>
          </cell>
          <cell r="L60" t="str">
            <v>#206131 Melamine 31" Mehndi Oval Bowl Ivory</v>
          </cell>
        </row>
        <row r="61">
          <cell r="A61" t="str">
            <v>5712-EDB-206231IV</v>
          </cell>
          <cell r="B61" t="str">
            <v>206231IV</v>
          </cell>
          <cell r="D61" t="str">
            <v>(WSL19)(ID ONLY)&lt;4171331&gt; #206231, 31'' MELAMINE MEHNDI RD BOWL (IVORY)</v>
          </cell>
          <cell r="E61" t="str">
            <v>WSL WITH STOCK</v>
          </cell>
          <cell r="H61">
            <v>253.34</v>
          </cell>
          <cell r="I61" t="str">
            <v>JS-Janitorial and Stewarding</v>
          </cell>
          <cell r="J61" t="str">
            <v>SVW-Serveware</v>
          </cell>
          <cell r="K61" t="str">
            <v>MSA-Miscellaneous Serving Accessories</v>
          </cell>
          <cell r="L61" t="str">
            <v>#206231 Melamine 31" Mehndi Round Bowl Ivory</v>
          </cell>
        </row>
        <row r="62">
          <cell r="A62" t="str">
            <v>5712-EDB-206503IV</v>
          </cell>
          <cell r="B62" t="str">
            <v>206503IV</v>
          </cell>
          <cell r="D62" t="str">
            <v>#206503 7cmX7cmXH:4.2cm  MELAMINE "CANON" SQUARE BOWL (IVORY)</v>
          </cell>
          <cell r="E62" t="str">
            <v>NO TAG</v>
          </cell>
          <cell r="H62">
            <v>1.57</v>
          </cell>
          <cell r="I62" t="str">
            <v>JS-Janitorial and Stewarding</v>
          </cell>
          <cell r="J62" t="str">
            <v>SVW-Serveware</v>
          </cell>
          <cell r="K62" t="str">
            <v>MSA-Miscellaneous Serving Accessories</v>
          </cell>
          <cell r="L62" t="str">
            <v>#206503 Melamine 7x7xH4.2cm CanonSquare Bowl Ivory</v>
          </cell>
        </row>
        <row r="63">
          <cell r="A63" t="str">
            <v>5712-EDB-206504IV</v>
          </cell>
          <cell r="B63" t="str">
            <v>206504IV</v>
          </cell>
          <cell r="D63" t="str">
            <v>#206504 9cmX9cmXH:5.5cm  MELAMINE "CANON" SQUARE BOWL (IVORY)</v>
          </cell>
          <cell r="E63" t="str">
            <v>NO TAG</v>
          </cell>
          <cell r="H63">
            <v>2.75</v>
          </cell>
          <cell r="I63" t="str">
            <v>JS-Janitorial and Stewarding</v>
          </cell>
          <cell r="J63" t="str">
            <v>SVW-Serveware</v>
          </cell>
          <cell r="K63" t="str">
            <v>MSA-Miscellaneous Serving Accessories</v>
          </cell>
          <cell r="L63" t="str">
            <v>#206504 Melamine 9x9xH5.5cm Canon Square Bowl Ivory</v>
          </cell>
        </row>
        <row r="64">
          <cell r="A64" t="str">
            <v>5712-EDB-206505IV</v>
          </cell>
          <cell r="B64" t="str">
            <v>206505IV</v>
          </cell>
          <cell r="D64" t="str">
            <v>(WSL19)#206505 13cmX13cmXH:7cm  MELAMINE ''CANON'' SQUARE BOWL (IVORY)</v>
          </cell>
          <cell r="E64" t="str">
            <v>WSL NO STOCK</v>
          </cell>
          <cell r="H64">
            <v>5.74</v>
          </cell>
          <cell r="I64" t="str">
            <v>JS-Janitorial and Stewarding</v>
          </cell>
          <cell r="J64" t="e">
            <v>#N/A</v>
          </cell>
          <cell r="K64" t="e">
            <v>#N/A</v>
          </cell>
          <cell r="L64" t="e">
            <v>#N/A</v>
          </cell>
        </row>
        <row r="65">
          <cell r="A65" t="str">
            <v>5712-EDB-206507IV</v>
          </cell>
          <cell r="B65" t="str">
            <v>206507IV</v>
          </cell>
          <cell r="D65" t="str">
            <v>#206507 18cmX18cmXH:8.5cm  MELAMINE "CANON" SQUARE BOWL (IVORY)</v>
          </cell>
          <cell r="E65" t="str">
            <v>NO TAG</v>
          </cell>
          <cell r="H65">
            <v>9.1</v>
          </cell>
          <cell r="I65" t="str">
            <v>JS-Janitorial and Stewarding</v>
          </cell>
          <cell r="J65" t="str">
            <v>SVW-Serveware</v>
          </cell>
          <cell r="K65" t="str">
            <v>MSA-Miscellaneous Serving Accessories</v>
          </cell>
          <cell r="L65" t="str">
            <v>#206507 Melamine 18x18xH8.5cm Canon Square Bowl Ivory</v>
          </cell>
        </row>
        <row r="66">
          <cell r="A66" t="str">
            <v>5712-EDB-206510IV</v>
          </cell>
          <cell r="B66" t="str">
            <v>206510IV</v>
          </cell>
          <cell r="D66" t="str">
            <v>#206510 24cmX24cmXH:10cm  MELAMINE "CANON" SQUARE BOWL (IVORY)</v>
          </cell>
          <cell r="E66" t="str">
            <v>NO TAG</v>
          </cell>
          <cell r="H66">
            <v>13.85</v>
          </cell>
          <cell r="I66" t="str">
            <v>JS-Janitorial and Stewarding</v>
          </cell>
          <cell r="J66" t="str">
            <v>SVW-Serveware</v>
          </cell>
          <cell r="K66" t="str">
            <v>MSA-Miscellaneous Serving Accessories</v>
          </cell>
          <cell r="L66" t="str">
            <v>#206510 Melamine 24x24xH10cm Canon Square Bowl Ivory</v>
          </cell>
        </row>
        <row r="67">
          <cell r="A67" t="str">
            <v>5712-EDB-206512IV</v>
          </cell>
          <cell r="B67" t="str">
            <v>206512IV</v>
          </cell>
          <cell r="D67" t="str">
            <v>#206512 30cmX30cmXH:11.5cm  MELAMINE "CANON" SQUARE BOWL (IVORY)</v>
          </cell>
          <cell r="E67" t="str">
            <v>NO TAG</v>
          </cell>
          <cell r="H67">
            <v>21.99</v>
          </cell>
          <cell r="I67" t="str">
            <v>JS-Janitorial and Stewarding</v>
          </cell>
          <cell r="J67" t="str">
            <v>SVW-Serveware</v>
          </cell>
          <cell r="K67" t="str">
            <v>MSA-Miscellaneous Serving Accessories</v>
          </cell>
          <cell r="L67" t="str">
            <v>#206512 Melamine 30x30xH11.5cm Canon Square Bowl Ivory</v>
          </cell>
        </row>
        <row r="68">
          <cell r="A68" t="str">
            <v>5712-EDB-207204IV</v>
          </cell>
          <cell r="B68" t="str">
            <v>207204IV</v>
          </cell>
          <cell r="D68" t="str">
            <v>(WSL19)#207204 4''/8.5cm  MELAMINE 'V' SHAPE BOWL (IVORY)</v>
          </cell>
          <cell r="E68" t="str">
            <v>WSL WITH STOCK</v>
          </cell>
          <cell r="H68">
            <v>1.92</v>
          </cell>
          <cell r="I68" t="str">
            <v>JS-Janitorial and Stewarding</v>
          </cell>
          <cell r="J68" t="str">
            <v>SVW-Serveware</v>
          </cell>
          <cell r="K68" t="str">
            <v>MSA-Miscellaneous Serving Accessories</v>
          </cell>
          <cell r="L68" t="str">
            <v>#207204 Melamine 4"/8.5cm V Shape Bowl Ivory</v>
          </cell>
        </row>
        <row r="69">
          <cell r="A69" t="str">
            <v>5712-EDB-207205IV</v>
          </cell>
          <cell r="B69" t="str">
            <v>207205IV</v>
          </cell>
          <cell r="D69" t="str">
            <v>(WSL19)#207205 5''/13cm  MELAMINE 'V' SHAPE BOWL (IVORY)</v>
          </cell>
          <cell r="E69" t="str">
            <v>WSL WITH STOCK</v>
          </cell>
          <cell r="H69">
            <v>3.83</v>
          </cell>
          <cell r="I69" t="str">
            <v>JS-Janitorial and Stewarding</v>
          </cell>
          <cell r="J69" t="str">
            <v>SVW-Serveware</v>
          </cell>
          <cell r="K69" t="str">
            <v>MSA-Miscellaneous Serving Accessories</v>
          </cell>
          <cell r="L69" t="str">
            <v>#207205 Melamine 5"/13cm 'V' Shape Bowl Ivory</v>
          </cell>
        </row>
        <row r="70">
          <cell r="A70" t="str">
            <v>5712-EDB-207206IV</v>
          </cell>
          <cell r="B70" t="str">
            <v>207206IV</v>
          </cell>
          <cell r="D70" t="str">
            <v>(WSL19)#207206 6''/16cm  MELAMINE 'V' SHAPE BOWL (IVORY)</v>
          </cell>
          <cell r="E70" t="str">
            <v>WSL WITH STOCK</v>
          </cell>
          <cell r="H70">
            <v>7.72</v>
          </cell>
          <cell r="I70" t="str">
            <v>JS-Janitorial and Stewarding</v>
          </cell>
          <cell r="J70" t="str">
            <v>SVW-Serveware</v>
          </cell>
          <cell r="K70" t="str">
            <v/>
          </cell>
          <cell r="L70" t="str">
            <v>#207206 Melamine 6"/16cm 'V' Shape Bowl Ivory</v>
          </cell>
        </row>
        <row r="71">
          <cell r="A71" t="str">
            <v>5712-EDB-224310IV</v>
          </cell>
          <cell r="B71" t="str">
            <v>224310IV</v>
          </cell>
          <cell r="D71" t="str">
            <v>(WSL19)&lt;4171410&gt;#224310, 10'' MELAMINE MEHNDI BOWL (IVORY)</v>
          </cell>
          <cell r="E71" t="str">
            <v>WSL WITH STOCK</v>
          </cell>
          <cell r="H71">
            <v>4.6100000000000003</v>
          </cell>
          <cell r="I71" t="str">
            <v>JS-Janitorial and Stewarding</v>
          </cell>
          <cell r="J71" t="str">
            <v>DWR-Dinnerware</v>
          </cell>
          <cell r="K71" t="str">
            <v>BWL-Bowls</v>
          </cell>
          <cell r="L71" t="str">
            <v>#224310 Melamine 10" Mehndi Bowl Ivory</v>
          </cell>
        </row>
        <row r="72">
          <cell r="A72" t="str">
            <v>5712-EDB-224414IV</v>
          </cell>
          <cell r="B72" t="str">
            <v>224414IV</v>
          </cell>
          <cell r="D72" t="str">
            <v>(WSL19)&lt;4171514&gt;#224414, 14'' MELAMINE MEHNDI BOWL (IVORY)</v>
          </cell>
          <cell r="E72" t="str">
            <v>WSL WITH STOCK</v>
          </cell>
          <cell r="H72">
            <v>15.43</v>
          </cell>
          <cell r="I72" t="str">
            <v>JS-Janitorial and Stewarding</v>
          </cell>
          <cell r="J72" t="str">
            <v>SVW-Serveware</v>
          </cell>
          <cell r="K72" t="str">
            <v>MSA-Miscellaneous Serving Accessories</v>
          </cell>
          <cell r="L72" t="str">
            <v>#224414 Melamine 14" Mehndi Bowl Ivory</v>
          </cell>
        </row>
        <row r="73">
          <cell r="A73" t="str">
            <v>5712-EDB-224521IV</v>
          </cell>
          <cell r="B73" t="str">
            <v>224521IV</v>
          </cell>
          <cell r="D73" t="str">
            <v>&lt;4171621&gt;#224521, 21" MELAMINE MEHNDI BOWL (IVORY)</v>
          </cell>
          <cell r="E73" t="str">
            <v>NO TAG</v>
          </cell>
          <cell r="H73">
            <v>26.09</v>
          </cell>
          <cell r="I73" t="str">
            <v>JS-Janitorial and Stewarding</v>
          </cell>
          <cell r="J73" t="str">
            <v>SVW-Serveware</v>
          </cell>
          <cell r="K73" t="str">
            <v>MSA-Miscellaneous Serving Accessories</v>
          </cell>
          <cell r="L73" t="str">
            <v>#224521 Melamine 21" Mehndi Bowl Ivory</v>
          </cell>
        </row>
        <row r="74">
          <cell r="A74" t="str">
            <v>5712-EDC-302706IVCO</v>
          </cell>
          <cell r="B74" t="str">
            <v>302706IVCO</v>
          </cell>
          <cell r="D74" t="str">
            <v>(DCWSL19)&lt;7201706-IVCO&gt;#302706, 6 OZ MELAMINE MACARON TUMBLER (IVORY/COCOA)</v>
          </cell>
          <cell r="E74" t="str">
            <v>WSL WITH STOCK</v>
          </cell>
          <cell r="H74">
            <v>2.15</v>
          </cell>
          <cell r="I74" t="str">
            <v>JS-Janitorial and Stewarding</v>
          </cell>
          <cell r="J74" t="str">
            <v>BWR-Beverageware</v>
          </cell>
          <cell r="K74" t="str">
            <v>TM-Tumblers</v>
          </cell>
          <cell r="L74" t="str">
            <v>#302706 Melamine 6oz Macaron Tumbler Ivory/Cocoa</v>
          </cell>
        </row>
        <row r="75">
          <cell r="A75" t="str">
            <v>5712-EDC-302706IVCP</v>
          </cell>
          <cell r="B75" t="str">
            <v>302706IVCP</v>
          </cell>
          <cell r="D75" t="str">
            <v>(WSL19)&lt;7201706-IVCP&gt; #302706, 6 OZ MELAMINE MACARON TUMBLER (IVORY/C PINK)</v>
          </cell>
          <cell r="E75" t="str">
            <v>WSL WITH STOCK</v>
          </cell>
          <cell r="H75">
            <v>1.87</v>
          </cell>
          <cell r="I75" t="str">
            <v>JS-Janitorial and Stewarding</v>
          </cell>
          <cell r="J75" t="str">
            <v>BWR-Beverageware</v>
          </cell>
          <cell r="K75" t="str">
            <v>TM-Tumblers</v>
          </cell>
          <cell r="L75" t="str">
            <v>#302706 Melamine 6oz Macaron Tumbler Ivory/Pink</v>
          </cell>
        </row>
        <row r="76">
          <cell r="A76" t="str">
            <v>5712-EDC-302706IVCR</v>
          </cell>
          <cell r="B76" t="str">
            <v>302706IVCR</v>
          </cell>
          <cell r="D76" t="str">
            <v>(WSL19)&lt;7201706-IVCR&gt; #302706, 6 OZ MELAMINE MACARON TUMBLER (IVORY/C RED)</v>
          </cell>
          <cell r="E76" t="str">
            <v>WSL WITH STOCK</v>
          </cell>
          <cell r="H76">
            <v>1.87</v>
          </cell>
          <cell r="I76" t="str">
            <v>JS-Janitorial and Stewarding</v>
          </cell>
          <cell r="J76" t="str">
            <v>BWR-Beverageware</v>
          </cell>
          <cell r="K76" t="str">
            <v>TM-Tumblers</v>
          </cell>
          <cell r="L76" t="str">
            <v>#302706 'Melamine 6oz Macaron Tumbler Ivory/Red</v>
          </cell>
        </row>
        <row r="77">
          <cell r="A77" t="str">
            <v>5712-EDC-302706IVFB</v>
          </cell>
          <cell r="B77" t="str">
            <v>302706IVFB</v>
          </cell>
          <cell r="D77" t="str">
            <v>&lt;7201706-IVFB&gt; #302706, 6 OZ MELAMINE MACARON TUMBLER (IVORY/F BLUE)</v>
          </cell>
          <cell r="E77" t="str">
            <v>NO TAG</v>
          </cell>
          <cell r="H77">
            <v>1.87</v>
          </cell>
          <cell r="I77" t="str">
            <v>JS-Janitorial and Stewarding</v>
          </cell>
          <cell r="J77" t="str">
            <v>BWR-Beverageware</v>
          </cell>
          <cell r="K77" t="str">
            <v>TM-Tumblers</v>
          </cell>
          <cell r="L77" t="str">
            <v>#302706 Melamine 6oz Macaron Tumbler Ivory/Blue</v>
          </cell>
        </row>
        <row r="78">
          <cell r="A78" t="str">
            <v>5712-EDC-302706IVGR</v>
          </cell>
          <cell r="B78" t="str">
            <v>302706IVGR</v>
          </cell>
          <cell r="D78" t="str">
            <v>(WSL19)&lt;7201706-IVGR&gt; #302706, 6 OZ MELAMINE MACARON TUMBLER (IVORY/A GREEN)</v>
          </cell>
          <cell r="E78" t="str">
            <v>WSL WITH STOCK</v>
          </cell>
          <cell r="H78">
            <v>1.87</v>
          </cell>
          <cell r="I78" t="str">
            <v>JS-Janitorial and Stewarding</v>
          </cell>
          <cell r="J78" t="str">
            <v>BWR-Beverageware</v>
          </cell>
          <cell r="K78" t="str">
            <v>TM-Tumblers</v>
          </cell>
          <cell r="L78" t="str">
            <v>#302706 Melamine 6oz Macaron Tumbler Ivory/Green</v>
          </cell>
        </row>
        <row r="79">
          <cell r="A79" t="str">
            <v>5712-EDC-302710IVCO</v>
          </cell>
          <cell r="B79" t="str">
            <v>302710IVCO</v>
          </cell>
          <cell r="D79" t="str">
            <v>(DCWSL19)&lt;7201710-IVCO&gt; #302710, 10 OZ MELAMINE MACARON TUMBLER (IVORY/COCOA)</v>
          </cell>
          <cell r="E79" t="str">
            <v>WSL WITH STOCK</v>
          </cell>
          <cell r="H79">
            <v>2.7</v>
          </cell>
          <cell r="I79" t="str">
            <v>JS-Janitorial and Stewarding</v>
          </cell>
          <cell r="J79" t="str">
            <v>BWR-Beverageware</v>
          </cell>
          <cell r="K79" t="str">
            <v>TM-Tumblers</v>
          </cell>
          <cell r="L79" t="str">
            <v>#302710 Melamine 10oz Macaron Tumbler Ivory/Cocoa</v>
          </cell>
        </row>
        <row r="80">
          <cell r="A80" t="str">
            <v>5712-EDC-302710IVCP</v>
          </cell>
          <cell r="B80" t="str">
            <v>302710IVCP</v>
          </cell>
          <cell r="D80" t="str">
            <v>(WSL) &lt;7201710-IVCP&gt; #302710, 10 OZ MELAMINE MACARON TUMBLER (IVORY/C PINK)</v>
          </cell>
          <cell r="E80" t="str">
            <v>WSL WITH STOCK</v>
          </cell>
          <cell r="H80">
            <v>2.75</v>
          </cell>
          <cell r="I80" t="str">
            <v>JS-Janitorial and Stewarding</v>
          </cell>
          <cell r="J80" t="str">
            <v>BWR-Beverageware</v>
          </cell>
          <cell r="K80" t="str">
            <v>TM-Tumblers</v>
          </cell>
          <cell r="L80" t="str">
            <v>#302710 Melamine 10oz Macaron Tumbler Ivory/Pink</v>
          </cell>
        </row>
        <row r="81">
          <cell r="A81" t="str">
            <v>5712-EDC-302710IVCR</v>
          </cell>
          <cell r="B81" t="str">
            <v>302710IVCR</v>
          </cell>
          <cell r="D81" t="str">
            <v>(WSL) &lt;7201710-IVCR&gt;#302710, 10 OZ MELAMINE MACARON TUMBLER (IVORY/C RED)</v>
          </cell>
          <cell r="E81" t="str">
            <v>WSL WITH STOCK</v>
          </cell>
          <cell r="H81">
            <v>2.75</v>
          </cell>
          <cell r="I81" t="str">
            <v>JS-Janitorial and Stewarding</v>
          </cell>
          <cell r="J81" t="str">
            <v>BWR-Beverageware</v>
          </cell>
          <cell r="K81" t="str">
            <v>TM-Tumblers</v>
          </cell>
          <cell r="L81" t="str">
            <v>#302710 Melamine 10oz Macaron Tumbler Ivory/Red</v>
          </cell>
        </row>
        <row r="82">
          <cell r="A82" t="str">
            <v>5712-EDC-302710IVFB</v>
          </cell>
          <cell r="B82" t="str">
            <v>302710IVFB</v>
          </cell>
          <cell r="D82" t="str">
            <v>&lt;7201710-IVFB&gt; #302710, 10 OZ MELAMINE MACARON TUMBLER (IVORY/F BLUE)</v>
          </cell>
          <cell r="E82" t="str">
            <v>NO TAG</v>
          </cell>
          <cell r="H82">
            <v>2.75</v>
          </cell>
          <cell r="I82" t="str">
            <v>JS-Janitorial and Stewarding</v>
          </cell>
          <cell r="J82" t="str">
            <v>BWR-Beverageware</v>
          </cell>
          <cell r="K82" t="str">
            <v>TM-Tumblers</v>
          </cell>
          <cell r="L82" t="str">
            <v>#302710 Melamine 10oz Macaron Tumbler Ivory/Blue</v>
          </cell>
        </row>
        <row r="83">
          <cell r="A83" t="str">
            <v>5712-EDC-302710IVGR</v>
          </cell>
          <cell r="B83" t="str">
            <v>302710IVGR</v>
          </cell>
          <cell r="D83" t="str">
            <v>&lt;7201710-IVGR&gt;#302710, 10 OZ MELAMINE MACARON TUMBLER (IVORY/A GREEN)</v>
          </cell>
          <cell r="E83" t="str">
            <v>NO TAG</v>
          </cell>
          <cell r="H83">
            <v>2.75</v>
          </cell>
          <cell r="I83" t="str">
            <v>JS-Janitorial and Stewarding</v>
          </cell>
          <cell r="J83" t="str">
            <v>BWR-Beverageware</v>
          </cell>
          <cell r="K83" t="str">
            <v>TM-Tumblers</v>
          </cell>
          <cell r="L83" t="str">
            <v>#302710 Melamine 10oz Macaron Tumbler Ivory/Green</v>
          </cell>
        </row>
        <row r="84">
          <cell r="A84" t="str">
            <v>5712-EDP-100122/BK</v>
          </cell>
          <cell r="B84" t="str">
            <v>100122BK</v>
          </cell>
          <cell r="D84" t="str">
            <v>(ID) #100122 "DIDO" 56cmX32cm RECT. DEEP BUFFET PLATE (BLACK)</v>
          </cell>
          <cell r="E84" t="str">
            <v>ID NO STOCK</v>
          </cell>
          <cell r="H84">
            <v>30.77</v>
          </cell>
          <cell r="I84" t="str">
            <v>JS-Janitorial and Stewarding</v>
          </cell>
          <cell r="J84" t="str">
            <v>SVW-Serveware</v>
          </cell>
          <cell r="K84" t="str">
            <v>MSA-Miscellaneous Serving Accessories</v>
          </cell>
          <cell r="L84" t="str">
            <v>#10012 56x32cm Dido Rectangular Deep Buffet Plate Black</v>
          </cell>
        </row>
        <row r="85">
          <cell r="A85" t="str">
            <v>5712-EDP-100314IV</v>
          </cell>
          <cell r="B85" t="str">
            <v>100314IV</v>
          </cell>
          <cell r="D85" t="str">
            <v>(WSL19)#100314, 14'' MELAMINE LUNA CURVED PLATE (IVORY)</v>
          </cell>
          <cell r="E85" t="str">
            <v>WSL WITH STOCK</v>
          </cell>
          <cell r="H85">
            <v>22</v>
          </cell>
          <cell r="I85" t="str">
            <v>JS-Janitorial and Stewarding</v>
          </cell>
          <cell r="J85" t="str">
            <v>DWR-Dinnerware</v>
          </cell>
          <cell r="K85" t="str">
            <v>PLT-Plates</v>
          </cell>
          <cell r="L85" t="str">
            <v>#100314 Melamine 14" Luna Curved Plate Ivory</v>
          </cell>
        </row>
        <row r="86">
          <cell r="A86" t="str">
            <v>5712-EDP-100316IV</v>
          </cell>
          <cell r="B86" t="str">
            <v>100316IV</v>
          </cell>
          <cell r="D86" t="str">
            <v>(WSL19)#100316, 16'' MELAMINE LUNA CURVED PLATE (IVORY)</v>
          </cell>
          <cell r="E86" t="str">
            <v>WSL WITH STOCK</v>
          </cell>
          <cell r="H86">
            <v>31.18</v>
          </cell>
          <cell r="I86" t="str">
            <v>JS-Janitorial and Stewarding</v>
          </cell>
          <cell r="J86" t="str">
            <v>DWR-Dinnerware</v>
          </cell>
          <cell r="K86" t="str">
            <v>PLT-Plates</v>
          </cell>
          <cell r="L86" t="str">
            <v>#100316 Melamine 16" Luna Curved Plate Ivory</v>
          </cell>
        </row>
        <row r="87">
          <cell r="A87" t="str">
            <v>5712-EDP-100324IV</v>
          </cell>
          <cell r="B87" t="str">
            <v>100324IV</v>
          </cell>
          <cell r="D87" t="str">
            <v>#100324, 24" MELAMINE LUNA CURVED PLATE (IVORY)</v>
          </cell>
          <cell r="E87" t="str">
            <v>NO TAG</v>
          </cell>
          <cell r="H87">
            <v>39.54</v>
          </cell>
          <cell r="I87" t="str">
            <v>JS-Janitorial and Stewarding</v>
          </cell>
          <cell r="J87" t="str">
            <v>DWR-Dinnerware</v>
          </cell>
          <cell r="K87" t="str">
            <v>PLT-Plates</v>
          </cell>
          <cell r="L87" t="str">
            <v>#100324 Melamine 24" Luna Curved Plate Ivory</v>
          </cell>
        </row>
        <row r="88">
          <cell r="A88" t="str">
            <v>5712-EDP-101028/BK</v>
          </cell>
          <cell r="B88" t="str">
            <v>101028/BK</v>
          </cell>
          <cell r="D88" t="str">
            <v>(DCWSL19)#101028  'DIDO' 71.5cmX28.5cm OVAL BUFFET PLATE (BLACK)</v>
          </cell>
          <cell r="E88" t="str">
            <v>WSL WITH STOCK</v>
          </cell>
          <cell r="H88">
            <v>26.05</v>
          </cell>
          <cell r="I88" t="str">
            <v>JS-Janitorial and Stewarding</v>
          </cell>
          <cell r="J88" t="str">
            <v>SVW-Serveware</v>
          </cell>
          <cell r="K88" t="str">
            <v>MSA-Miscellaneous Serving Accessories</v>
          </cell>
          <cell r="L88" t="str">
            <v>#101028 71.5x28.5cm Dido Oval Buffet Plate Black</v>
          </cell>
        </row>
        <row r="89">
          <cell r="A89" t="str">
            <v>5712-EDP-101118BK1</v>
          </cell>
          <cell r="B89" t="str">
            <v>101118BK1</v>
          </cell>
          <cell r="D89" t="str">
            <v>&lt;4170718&gt;#101118BK1 18" TRI. MELAMINE MARBLE GRANTIE SLATE,BLACK MARBLE DECAL (465X366mm)</v>
          </cell>
          <cell r="E89" t="str">
            <v>NO TAG</v>
          </cell>
          <cell r="H89">
            <v>25.29</v>
          </cell>
          <cell r="I89" t="str">
            <v>JS-Janitorial and Stewarding</v>
          </cell>
          <cell r="J89" t="str">
            <v>SVW-Serveware</v>
          </cell>
          <cell r="K89" t="str">
            <v>DRA-Display Risers, Stands &amp; Accessories</v>
          </cell>
          <cell r="L89" t="str">
            <v>#101118BK1 Melamine 465x366mm 18" Tri. Mable Granite Slate Black Marble Decal</v>
          </cell>
        </row>
        <row r="90">
          <cell r="A90" t="str">
            <v>5712-EDP-101124BK1</v>
          </cell>
          <cell r="B90" t="str">
            <v>101124BK1</v>
          </cell>
          <cell r="D90" t="str">
            <v>(WSL19)#101124BK1 23'' MELAMINE MARBLE GRANTIE SLATE,BLACK MARBLE DECAL (590X240mm)</v>
          </cell>
          <cell r="E90" t="str">
            <v>WSL WITH STOCK</v>
          </cell>
          <cell r="H90">
            <v>42.64</v>
          </cell>
          <cell r="I90" t="str">
            <v>JS-Janitorial and Stewarding</v>
          </cell>
          <cell r="J90" t="str">
            <v>SVW-Serveware</v>
          </cell>
          <cell r="K90" t="str">
            <v>DRA-Display Risers, Stands &amp; Accessories</v>
          </cell>
          <cell r="L90" t="str">
            <v>#101124BK1 Melamine 590x240mm 23" Marble Granite Slate Black Marble Decal</v>
          </cell>
        </row>
        <row r="91">
          <cell r="A91" t="str">
            <v>5712-EDP-11100EIV</v>
          </cell>
          <cell r="B91" t="str">
            <v>11100EIV</v>
          </cell>
          <cell r="D91" t="str">
            <v>#11100EIV, 1/1 x 100mm/4'' "EUROPE STYLE"MELAMINE GN FOOD INSERT PAN (IVORY)</v>
          </cell>
          <cell r="E91" t="str">
            <v>NO TAG</v>
          </cell>
          <cell r="H91">
            <v>49</v>
          </cell>
          <cell r="I91" t="str">
            <v>JS-Janitorial and Stewarding</v>
          </cell>
          <cell r="J91" t="str">
            <v>SS-Storage Solutions</v>
          </cell>
          <cell r="K91" t="str">
            <v>FP-Food Pans</v>
          </cell>
          <cell r="L91" t="str">
            <v>#11100EIV 1/1x100mm/4" Europe Style Melamine GN Food Insert Pan Ivory</v>
          </cell>
        </row>
        <row r="92">
          <cell r="A92" t="str">
            <v>5712-EDP-1120/BK</v>
          </cell>
          <cell r="B92" t="str">
            <v>1120/BK</v>
          </cell>
          <cell r="D92" t="str">
            <v>(DCWSL19)#1120A/BK , 1/1 x 20mm/1'' MELAMINE GN FOOD INSERT PAN (BLACK)</v>
          </cell>
          <cell r="E92" t="str">
            <v>WSL WITH STOCK</v>
          </cell>
          <cell r="H92">
            <v>17.25</v>
          </cell>
          <cell r="I92" t="str">
            <v>JS-Janitorial and Stewarding</v>
          </cell>
          <cell r="J92" t="str">
            <v>SS-Storage Solutions</v>
          </cell>
          <cell r="K92" t="str">
            <v>FP-Food Pans</v>
          </cell>
          <cell r="L92" t="str">
            <v>#1120A/BK Melamine 1/1x20mm/1" GN Food Insert Pan Black</v>
          </cell>
        </row>
        <row r="93">
          <cell r="A93" t="str">
            <v>5712-EDP-1120AIV</v>
          </cell>
          <cell r="B93" t="str">
            <v>1120AIV</v>
          </cell>
          <cell r="D93" t="str">
            <v>&lt;4171901&gt; #1120 1/1 x 20mm/1" MELAMINE GN FOOD INSERT PAN (IVORY)</v>
          </cell>
          <cell r="E93" t="str">
            <v>NO TAG</v>
          </cell>
          <cell r="H93">
            <v>19.41</v>
          </cell>
          <cell r="I93" t="str">
            <v>JS-Janitorial and Stewarding</v>
          </cell>
          <cell r="J93" t="str">
            <v>SS-Storage Solutions</v>
          </cell>
          <cell r="K93" t="str">
            <v>FP-Food Pans</v>
          </cell>
          <cell r="L93" t="str">
            <v>#1120 Melamine 1/1 20mm/1" GN Food Insert Pan Ivory</v>
          </cell>
        </row>
        <row r="94">
          <cell r="A94" t="str">
            <v>5712-EDP-1140AIV</v>
          </cell>
          <cell r="B94" t="str">
            <v>1140AIV</v>
          </cell>
          <cell r="D94" t="str">
            <v>(WSL19)&lt;4171902&gt;#1140 1/1 x 40mm  MELAMINE GN FOOD INSERT PAN (IVORY)</v>
          </cell>
          <cell r="E94" t="str">
            <v>WSL WITH STOCK</v>
          </cell>
          <cell r="H94">
            <v>27.32</v>
          </cell>
          <cell r="I94" t="str">
            <v>JS-Janitorial and Stewarding</v>
          </cell>
          <cell r="J94" t="str">
            <v>SS-Storage Solutions</v>
          </cell>
          <cell r="K94" t="str">
            <v>FP-Food Pans</v>
          </cell>
          <cell r="L94" t="str">
            <v>#1140 Melamine 1/1 40mm GN Food Insert Pan Ivory</v>
          </cell>
        </row>
        <row r="95">
          <cell r="A95" t="str">
            <v>5712-EDP-1165AIV</v>
          </cell>
          <cell r="B95" t="str">
            <v>1165AIV</v>
          </cell>
          <cell r="D95" t="str">
            <v>(WSL19)&lt;4171903&gt;#1165 1/1 x 65mm/2'' MELAMINE GN FOOD INSERT PAN (IVORY)</v>
          </cell>
          <cell r="E95" t="str">
            <v>WSL WITH STOCK</v>
          </cell>
          <cell r="H95">
            <v>37.65</v>
          </cell>
          <cell r="I95" t="str">
            <v>JS-Janitorial and Stewarding</v>
          </cell>
          <cell r="J95" t="str">
            <v>SS-Storage Solutions</v>
          </cell>
          <cell r="K95" t="str">
            <v>FP-Food Pans</v>
          </cell>
          <cell r="L95" t="str">
            <v>#1165 Melamine 1/1x65mm/2" GN Food Insert Pan Ivory</v>
          </cell>
        </row>
        <row r="96">
          <cell r="A96" t="str">
            <v>5712-EDP-1165AIV/COM</v>
          </cell>
          <cell r="B96" t="str">
            <v>1165ACIV</v>
          </cell>
          <cell r="D96" t="str">
            <v>&lt;4171904&gt;#1165-COMP. 1/1 x 65mm/2" MELAMINE GN DIVIDED FOOD INSERT PAN (IVORY)</v>
          </cell>
          <cell r="E96" t="str">
            <v>ID NO STOCK</v>
          </cell>
          <cell r="H96">
            <v>38.68</v>
          </cell>
          <cell r="I96" t="str">
            <v>JS-Janitorial and Stewarding</v>
          </cell>
          <cell r="J96" t="str">
            <v>SS-Storage Solutions</v>
          </cell>
          <cell r="K96" t="str">
            <v>FP-Food Pans</v>
          </cell>
          <cell r="L96" t="str">
            <v>#1165 Melamine 1/1x65mm/2" GN Divided Food Insert Pan Ivory</v>
          </cell>
        </row>
        <row r="97">
          <cell r="A97" t="str">
            <v>5712-EDP-12100AIV</v>
          </cell>
          <cell r="B97" t="str">
            <v>12100AIV</v>
          </cell>
          <cell r="D97" t="str">
            <v>&lt;4172004&gt; #12100 1/2 x 100mm/4" MELAMINE GN FOOD INSERT PAN (IVORY)</v>
          </cell>
          <cell r="E97" t="str">
            <v>NO TAG</v>
          </cell>
          <cell r="H97">
            <v>23.96</v>
          </cell>
          <cell r="I97" t="str">
            <v>JS-Janitorial and Stewarding</v>
          </cell>
          <cell r="J97" t="str">
            <v>SS-Storage Solutions</v>
          </cell>
          <cell r="K97" t="str">
            <v>FP-Food Pans</v>
          </cell>
          <cell r="L97" t="str">
            <v>#12100 Melamine 1/2x100mm/4" GN Food Insert Pan Ivory</v>
          </cell>
        </row>
        <row r="98">
          <cell r="A98" t="str">
            <v>5712-EDP-1220AIV</v>
          </cell>
          <cell r="B98" t="str">
            <v>1220AIV</v>
          </cell>
          <cell r="D98" t="str">
            <v>&lt;4172001&gt;#1220 1/2 x 20mm/1" MELAMINE GN FOOD INSERT PAN (IVORY)</v>
          </cell>
          <cell r="E98" t="str">
            <v>NO TAG</v>
          </cell>
          <cell r="H98">
            <v>10.1</v>
          </cell>
          <cell r="I98" t="str">
            <v>JS-Janitorial and Stewarding</v>
          </cell>
          <cell r="J98" t="str">
            <v>SS-Storage Solutions</v>
          </cell>
          <cell r="K98" t="str">
            <v>FP-Food Pans</v>
          </cell>
          <cell r="L98" t="str">
            <v>#1220 Melamine 1/2x20mm/1" GN Food Insert Pan Ivory</v>
          </cell>
        </row>
        <row r="99">
          <cell r="A99" t="str">
            <v>5712-EDP-1240AIV</v>
          </cell>
          <cell r="B99" t="str">
            <v>1240AIV</v>
          </cell>
          <cell r="D99" t="str">
            <v>&lt;4172002&gt;#1240 1/2 x 40mm  MELAMINE GN FOOD INSERT PAN (IVORY)</v>
          </cell>
          <cell r="E99" t="str">
            <v>NO TAG</v>
          </cell>
          <cell r="H99">
            <v>17.97</v>
          </cell>
          <cell r="I99" t="str">
            <v>JS-Janitorial and Stewarding</v>
          </cell>
          <cell r="J99" t="str">
            <v>SS-Storage Solutions</v>
          </cell>
          <cell r="K99" t="str">
            <v>FP-Food Pans</v>
          </cell>
          <cell r="L99" t="str">
            <v>#1240 Melamine 1/2x40mm GN Food Insert Pan Ivory</v>
          </cell>
        </row>
        <row r="100">
          <cell r="A100" t="str">
            <v>5712-EDP-124521IV</v>
          </cell>
          <cell r="B100" t="str">
            <v>MEDP-124521</v>
          </cell>
          <cell r="D100" t="str">
            <v>(DCWSL19)#124521, 21'' MELAMINE MEHNDI OVAL PLATTER (IVORY)</v>
          </cell>
          <cell r="E100" t="str">
            <v>WSL WITH STOCK</v>
          </cell>
          <cell r="H100">
            <v>18.46</v>
          </cell>
          <cell r="I100" t="str">
            <v>JS-Janitorial and Stewarding</v>
          </cell>
          <cell r="J100" t="str">
            <v>SS-Storage Solutions</v>
          </cell>
          <cell r="K100" t="str">
            <v>FP-Food Pans</v>
          </cell>
          <cell r="L100" t="str">
            <v>#12452 Melamine 21" Mehndi Oval Platter Ivory</v>
          </cell>
        </row>
        <row r="101">
          <cell r="A101" t="str">
            <v>5712-EDP-1265AIV</v>
          </cell>
          <cell r="B101" t="str">
            <v>1265AIV</v>
          </cell>
          <cell r="D101" t="str">
            <v>&lt;4172003&gt;#1265 1/2 x 65mm/2.5" MELAMINE GN FOOD INSERT PAN (IVORY)</v>
          </cell>
          <cell r="E101" t="str">
            <v>NO TAG</v>
          </cell>
          <cell r="H101">
            <v>20.13</v>
          </cell>
          <cell r="I101" t="str">
            <v>JS-Janitorial and Stewarding</v>
          </cell>
          <cell r="J101" t="str">
            <v>SS-Storage Solutions</v>
          </cell>
          <cell r="K101" t="str">
            <v>FP-Food Pans</v>
          </cell>
          <cell r="L101" t="str">
            <v>#1265  Melamine 1/2x65mm/2.5" GN Food Insert Pan Ivory</v>
          </cell>
        </row>
        <row r="102">
          <cell r="A102" t="str">
            <v>5712-EDP-13100AIV</v>
          </cell>
          <cell r="B102" t="str">
            <v>13100AIV</v>
          </cell>
          <cell r="D102" t="str">
            <v>&lt;4172102&gt;#13100 1/3 x 100mm/4" MELAMINE GN FOOD INSERT PAN (IVORY)</v>
          </cell>
          <cell r="E102" t="str">
            <v>NO TAG</v>
          </cell>
          <cell r="H102">
            <v>19.41</v>
          </cell>
          <cell r="I102" t="str">
            <v>JS-Janitorial and Stewarding</v>
          </cell>
          <cell r="J102" t="str">
            <v>SS-Storage Solutions</v>
          </cell>
          <cell r="K102" t="str">
            <v>FP-Food Pans</v>
          </cell>
          <cell r="L102" t="str">
            <v>#13100 Melamine 1/3x100mm/4" GN Food Insert Pan Ivory</v>
          </cell>
        </row>
        <row r="103">
          <cell r="A103" t="str">
            <v>5712-EDP-1365AIV</v>
          </cell>
          <cell r="B103" t="str">
            <v>1365AIV</v>
          </cell>
          <cell r="D103" t="str">
            <v>&lt;4172101&gt;#1365 1/3 x 65mm/2" MELAMINE GN FOOD INSERT PAN (IVORY)</v>
          </cell>
          <cell r="E103" t="str">
            <v>NO TAG</v>
          </cell>
          <cell r="H103">
            <v>14.74</v>
          </cell>
          <cell r="I103" t="str">
            <v>JS-Janitorial and Stewarding</v>
          </cell>
          <cell r="J103" t="str">
            <v>SS-Storage Solutions</v>
          </cell>
          <cell r="K103" t="str">
            <v>FP-Food Pans</v>
          </cell>
          <cell r="L103" t="str">
            <v>#1365 Melamine 1/3x65mm/2" GN Food Insert Pan Ivory</v>
          </cell>
        </row>
        <row r="104">
          <cell r="A104" t="str">
            <v>5712-EDP-1465AIV</v>
          </cell>
          <cell r="B104" t="str">
            <v>1465AIV</v>
          </cell>
          <cell r="D104" t="str">
            <v>&lt;4172201&gt; #1465 1/4 x 65mm/2" MELAMINE GN FOOD INSERT PAN (IVORY)</v>
          </cell>
          <cell r="E104" t="str">
            <v>NO TAG</v>
          </cell>
          <cell r="H104">
            <v>16.53</v>
          </cell>
          <cell r="I104" t="str">
            <v>JS-Janitorial and Stewarding</v>
          </cell>
          <cell r="J104" t="str">
            <v>SS-Storage Solutions</v>
          </cell>
          <cell r="K104" t="str">
            <v>FP-Food Pans</v>
          </cell>
          <cell r="L104" t="str">
            <v>#1465 Melamine 1/4x65mm/2" GN Food Insert Pan Ivory</v>
          </cell>
        </row>
        <row r="105">
          <cell r="A105" t="str">
            <v>5712-EDP-16100AIV</v>
          </cell>
          <cell r="B105" t="str">
            <v>16100AIV</v>
          </cell>
          <cell r="D105" t="str">
            <v>&lt;4172302&gt; #16100 1/6 x 100mm/4" MELAMINE GN FOOD INSERT PAN (IVORY)</v>
          </cell>
          <cell r="E105" t="str">
            <v>NO TAG</v>
          </cell>
          <cell r="H105">
            <v>13.66</v>
          </cell>
          <cell r="I105" t="str">
            <v>JS-Janitorial and Stewarding</v>
          </cell>
          <cell r="J105" t="str">
            <v>SS-Storage Solutions</v>
          </cell>
          <cell r="K105" t="str">
            <v>FP-Food Pans</v>
          </cell>
          <cell r="L105" t="str">
            <v>#16100 Melamine 1/6x100mm/4" GN Food Insert Pan Ivory</v>
          </cell>
        </row>
        <row r="106">
          <cell r="A106" t="str">
            <v>5712-EDP-1665AIV</v>
          </cell>
          <cell r="B106" t="str">
            <v>1665AIV</v>
          </cell>
          <cell r="D106" t="str">
            <v>(WSL19)&lt;4172301&gt;#1665 1/6 x 65mm/2'' MELAMINE GN FOOD INSERT PAN (IVORY)</v>
          </cell>
          <cell r="E106" t="str">
            <v>WSL WITH STOCK</v>
          </cell>
          <cell r="H106">
            <v>11.14</v>
          </cell>
          <cell r="I106" t="str">
            <v>JS-Janitorial and Stewarding</v>
          </cell>
          <cell r="J106" t="str">
            <v>SS-Storage Solutions</v>
          </cell>
          <cell r="K106" t="str">
            <v>FP-Food Pans</v>
          </cell>
          <cell r="L106" t="str">
            <v>#1665 Melamine 1/6x65mm/2" GN Food Insert Pan Ivory</v>
          </cell>
        </row>
        <row r="107">
          <cell r="A107" t="str">
            <v>5712-EDP-2365AIV</v>
          </cell>
          <cell r="B107" t="str">
            <v>2365AIV</v>
          </cell>
          <cell r="D107" t="str">
            <v>(WSL19)&lt;4172401&gt; #2365 2/3 x 65mm/2'' MELAMINE GN FOOD INSERT PAN (IVORY)</v>
          </cell>
          <cell r="E107" t="str">
            <v>WSL WITH STOCK</v>
          </cell>
          <cell r="H107">
            <v>33.43</v>
          </cell>
          <cell r="I107" t="str">
            <v>JS-Janitorial and Stewarding</v>
          </cell>
          <cell r="J107" t="str">
            <v>SS-Storage Solutions</v>
          </cell>
          <cell r="K107" t="str">
            <v>FP-Food Pans</v>
          </cell>
          <cell r="L107" t="str">
            <v>#2365 Melamine 2/3x65mm/2" GN Food Insert Pan Ivory</v>
          </cell>
        </row>
        <row r="108">
          <cell r="A108" t="str">
            <v>5712-EDP-2420A-BK</v>
          </cell>
          <cell r="B108" t="str">
            <v>2420ABK</v>
          </cell>
          <cell r="D108" t="str">
            <v>(DCWSL22)&lt;4172501&gt; #2420 2/4x20mm/1" (525X160mm) MELAMINE GN FOOD INSERT PAN (BLACK)</v>
          </cell>
          <cell r="E108" t="str">
            <v>WSL WITH STOCK</v>
          </cell>
          <cell r="H108">
            <v>15.86</v>
          </cell>
          <cell r="I108" t="str">
            <v>JS-Janitorial and Stewarding</v>
          </cell>
          <cell r="J108" t="str">
            <v>SS-Storage Solutions</v>
          </cell>
          <cell r="K108" t="str">
            <v>FP-Food Pans</v>
          </cell>
          <cell r="L108" t="str">
            <v>#2420  Melamine 2/4x20mm/1" 525x160mm GN Food Insert Pan Black</v>
          </cell>
        </row>
        <row r="109">
          <cell r="A109" t="str">
            <v>5712-EDP-2420A-RD</v>
          </cell>
          <cell r="B109" t="str">
            <v>2420ARD</v>
          </cell>
          <cell r="D109" t="str">
            <v>(ID-MOQ)&lt;4172501&gt; #2420 2/4x20mm/1" (525X160mm) MELAMINE GN FOOD INSERT PAN (RED)</v>
          </cell>
          <cell r="E109" t="str">
            <v>ID WITH STOCK</v>
          </cell>
          <cell r="H109">
            <v>16.21</v>
          </cell>
          <cell r="I109" t="str">
            <v>JS-Janitorial and Stewarding</v>
          </cell>
          <cell r="J109" t="str">
            <v>SS-Storage Solutions</v>
          </cell>
          <cell r="K109" t="str">
            <v>FP-Food Pans</v>
          </cell>
          <cell r="L109" t="str">
            <v>#2420 Melamine 2/4x20mm/1" 525x160mm GN Food Insert Pan Red</v>
          </cell>
        </row>
        <row r="110">
          <cell r="A110" t="str">
            <v>5712-EDP-2420AIV</v>
          </cell>
          <cell r="B110" t="str">
            <v>2420AIV</v>
          </cell>
          <cell r="D110" t="str">
            <v>&lt;4172501&gt; #2420 2/4x20mm/1" (525X160mm) MELAMINE GN FOOD INSERT PAN (IVORY)</v>
          </cell>
          <cell r="E110" t="str">
            <v>NO TAG</v>
          </cell>
          <cell r="H110">
            <v>14.74</v>
          </cell>
          <cell r="I110" t="str">
            <v>JS-Janitorial and Stewarding</v>
          </cell>
          <cell r="J110" t="str">
            <v>SS-Storage Solutions</v>
          </cell>
          <cell r="K110" t="str">
            <v>FP-Food Pans</v>
          </cell>
          <cell r="L110" t="str">
            <v>#2420 Melamine 2/4x20mm/1" 525x160mm GN Food Insert Pan Ivory</v>
          </cell>
        </row>
        <row r="111">
          <cell r="A111" t="str">
            <v>5712-EDP-2465AIV</v>
          </cell>
          <cell r="B111" t="str">
            <v>2465AIV</v>
          </cell>
          <cell r="D111" t="str">
            <v>(ID-MOQ) &lt;4172502&gt; #2465 2/4x65mm/2" (525X160mm) MELAMINE GN FOOD INSERT PAN (IVORY)</v>
          </cell>
          <cell r="E111" t="str">
            <v>ID NO STOCK</v>
          </cell>
          <cell r="H111">
            <v>24.44</v>
          </cell>
          <cell r="I111" t="str">
            <v>JS-Janitorial and Stewarding</v>
          </cell>
          <cell r="J111" t="str">
            <v>SS-Storage Solutions</v>
          </cell>
          <cell r="K111" t="str">
            <v>FP-Food Pans</v>
          </cell>
          <cell r="L111" t="str">
            <v>#2465 Melamine 2/4x65mm 2" GN Food Insert Pan Ivory</v>
          </cell>
        </row>
        <row r="112">
          <cell r="A112" t="str">
            <v>5712-EDT-406111ER5</v>
          </cell>
          <cell r="B112" t="str">
            <v>406111ER5</v>
          </cell>
          <cell r="D112" t="str">
            <v>&lt;4170211&gt; #406111, DIA 7"/L11" RD MELAMINE GOURMET BOARD (OAK)</v>
          </cell>
          <cell r="E112" t="str">
            <v>NO TAG</v>
          </cell>
          <cell r="H112">
            <v>7.17</v>
          </cell>
          <cell r="I112" t="str">
            <v>JS-Janitorial and Stewarding</v>
          </cell>
          <cell r="J112" t="str">
            <v>SVW-Serveware</v>
          </cell>
          <cell r="K112" t="str">
            <v>BBC-Bread Boards/Charcuterie Boards</v>
          </cell>
          <cell r="L112" t="str">
            <v>#406111 Melamine Ø7"/L11" Gourmet Board</v>
          </cell>
        </row>
        <row r="113">
          <cell r="A113" t="str">
            <v>5712-EDT-406117ER5</v>
          </cell>
          <cell r="B113" t="str">
            <v>406117ER5</v>
          </cell>
          <cell r="D113" t="str">
            <v>&lt;4170217&gt; #406117, DIA 12" / L17"RD MELAMINE GOURMET BOARD (OAK)</v>
          </cell>
          <cell r="E113" t="str">
            <v>NO TAG</v>
          </cell>
          <cell r="H113">
            <v>23.72</v>
          </cell>
          <cell r="I113" t="str">
            <v>JS-Janitorial and Stewarding</v>
          </cell>
          <cell r="J113" t="str">
            <v>SVW-Serveware</v>
          </cell>
          <cell r="K113" t="str">
            <v>BBC-Bread Boards/Charcuterie Boards</v>
          </cell>
          <cell r="L113" t="str">
            <v>#406117 Melamine Ø12xL17" Gourmet Board</v>
          </cell>
        </row>
        <row r="114">
          <cell r="A114" t="str">
            <v>5712-EDT-406121ER5</v>
          </cell>
          <cell r="B114" t="str">
            <v>406121ER5</v>
          </cell>
          <cell r="D114" t="str">
            <v>&lt;4170221&gt;#406121, DIA 15"/ L21"RD MELAMINE GOURMET BOARD (OAK)</v>
          </cell>
          <cell r="E114" t="str">
            <v>NO TAG</v>
          </cell>
          <cell r="H114">
            <v>35.9</v>
          </cell>
          <cell r="I114" t="str">
            <v>JS-Janitorial and Stewarding</v>
          </cell>
          <cell r="J114" t="str">
            <v>SVW-Serveware</v>
          </cell>
          <cell r="K114" t="str">
            <v>BBC-Bread Boards/Charcuterie Boards</v>
          </cell>
          <cell r="L114" t="str">
            <v>#406121 Melamine Ø15xL21" Gourmet Board</v>
          </cell>
        </row>
        <row r="115">
          <cell r="A115" t="str">
            <v>5712-EDT-406221ER5</v>
          </cell>
          <cell r="B115" t="str">
            <v>406221ER5</v>
          </cell>
          <cell r="D115" t="str">
            <v>&lt;4170321&gt; #406221, 21"RECT. MELAMINE GOURMET BOARD (OAK)</v>
          </cell>
          <cell r="E115" t="str">
            <v>NO TAG</v>
          </cell>
          <cell r="H115">
            <v>29.01</v>
          </cell>
          <cell r="I115" t="str">
            <v>JS-Janitorial and Stewarding</v>
          </cell>
          <cell r="J115" t="str">
            <v>SVW-Serveware</v>
          </cell>
          <cell r="K115" t="str">
            <v>BBC-Bread Boards/Charcuterie Boards</v>
          </cell>
          <cell r="L115" t="str">
            <v>#406221 Melamine 21" Rectangular Gourmet Board Oak</v>
          </cell>
        </row>
        <row r="116">
          <cell r="A116" t="str">
            <v>5712-EDT-406224ER5</v>
          </cell>
          <cell r="B116" t="str">
            <v>406224ER5</v>
          </cell>
          <cell r="D116" t="str">
            <v>(WSL19)&lt;4170324&gt;#406224, 24''RECT. MELAMINE GOURMET BOARD (OAK)</v>
          </cell>
          <cell r="E116" t="str">
            <v>WSL WITH STOCK</v>
          </cell>
          <cell r="H116">
            <v>34.200000000000003</v>
          </cell>
          <cell r="I116" t="str">
            <v>JS-Janitorial and Stewarding</v>
          </cell>
          <cell r="J116" t="str">
            <v>SVW-Serveware</v>
          </cell>
          <cell r="K116" t="str">
            <v>BBC-Bread Boards/Charcuterie Boards</v>
          </cell>
          <cell r="L116" t="str">
            <v>#406224 Melamine 24" Rectangular Gourmet Board Oak</v>
          </cell>
        </row>
        <row r="117">
          <cell r="A117" t="str">
            <v>5712-EDT-OLI-406111AB8</v>
          </cell>
          <cell r="B117" t="str">
            <v>406111AB8</v>
          </cell>
          <cell r="D117" t="str">
            <v>DIA 7"/L11" RD MELAMINE GOURMET BOARD,APRICOT BROWN (OLIVIA)</v>
          </cell>
          <cell r="E117" t="str">
            <v>NO TAG</v>
          </cell>
          <cell r="H117">
            <v>7.17</v>
          </cell>
          <cell r="I117" t="str">
            <v>JS-Janitorial and Stewarding</v>
          </cell>
          <cell r="J117" t="str">
            <v>SVW-Serveware</v>
          </cell>
          <cell r="K117" t="str">
            <v>BBC-Bread Boards/Charcuterie Boards</v>
          </cell>
          <cell r="L117" t="str">
            <v>Olivia Melamine Ø7x11" Gourmet Board Round Apricot Brown</v>
          </cell>
        </row>
        <row r="118">
          <cell r="A118" t="str">
            <v>5712-EDT-OLI-406118AB8</v>
          </cell>
          <cell r="B118" t="str">
            <v>406118AB8</v>
          </cell>
          <cell r="D118" t="str">
            <v>DIA 13"/L18" RD MELAMINE GOURMET BOARD,APRICOT BROWN (OLIVIA)</v>
          </cell>
          <cell r="E118" t="str">
            <v>NO TAG</v>
          </cell>
          <cell r="H118">
            <v>23.21</v>
          </cell>
          <cell r="I118" t="str">
            <v>JS-Janitorial and Stewarding</v>
          </cell>
          <cell r="J118" t="str">
            <v>SVW-Serveware</v>
          </cell>
          <cell r="K118" t="str">
            <v>BBC-Bread Boards/Charcuterie Boards</v>
          </cell>
          <cell r="L118" t="str">
            <v>Olivia Melamine Ø13x18" Round Gourmet Board Apricot Brown</v>
          </cell>
        </row>
        <row r="119">
          <cell r="A119" t="str">
            <v>5712-EDT-OLI-406221AB8</v>
          </cell>
          <cell r="B119" t="str">
            <v>406221AB8</v>
          </cell>
          <cell r="D119" t="str">
            <v>L:53XW:20X1.5cm RECT MELAMINE GOURMET BOARD,APRICOT BROWN (OLIVIA)</v>
          </cell>
          <cell r="E119" t="str">
            <v>NO TAG</v>
          </cell>
          <cell r="H119">
            <v>29.01</v>
          </cell>
          <cell r="I119" t="str">
            <v>JS-Janitorial and Stewarding</v>
          </cell>
          <cell r="J119" t="str">
            <v>SVW-Serveware</v>
          </cell>
          <cell r="K119" t="str">
            <v>BBC-Bread Boards/Charcuterie Boards</v>
          </cell>
          <cell r="L119" t="str">
            <v>Olivia Melamine L53xW20xH1.5cm Rectangular Gourmet Board Apricot Brown</v>
          </cell>
        </row>
        <row r="120">
          <cell r="A120" t="str">
            <v>5712-EGN-1110WER5</v>
          </cell>
          <cell r="B120" t="str">
            <v>1110WER5</v>
          </cell>
          <cell r="D120" t="str">
            <v>&lt;4170411&gt; #1110W, GN 1/1 MELAMINE WOODY BOARD (OAK)</v>
          </cell>
          <cell r="E120" t="str">
            <v>NO TAG</v>
          </cell>
          <cell r="H120">
            <v>44.47</v>
          </cell>
          <cell r="I120" t="str">
            <v>JS-Janitorial and Stewarding</v>
          </cell>
          <cell r="J120" t="str">
            <v>SVW-Serveware</v>
          </cell>
          <cell r="K120" t="str">
            <v>BBC-Bread Boards/Charcuterie Boards</v>
          </cell>
          <cell r="L120" t="str">
            <v xml:space="preserve"> #1110W GN 1/1 Melamine Woody Board Oak</v>
          </cell>
        </row>
        <row r="121">
          <cell r="A121" t="str">
            <v>5712-EGN-1140LIV</v>
          </cell>
          <cell r="B121" t="str">
            <v>1140LIV</v>
          </cell>
          <cell r="D121" t="str">
            <v>#1140L, 40MM MELAMINE LUNA GN 1/1 CURVE PLATE (IVORY)</v>
          </cell>
          <cell r="E121" t="str">
            <v>NO TAG</v>
          </cell>
          <cell r="H121">
            <v>32.520000000000003</v>
          </cell>
          <cell r="I121" t="str">
            <v>JS-Janitorial and Stewarding</v>
          </cell>
          <cell r="J121" t="str">
            <v>DWR-Dinnerware</v>
          </cell>
          <cell r="K121" t="str">
            <v>PLT-Plates</v>
          </cell>
          <cell r="L121" t="str">
            <v>#1140L GN 1/1 Melamine 40mm LunaCurve Plate Ivory</v>
          </cell>
        </row>
        <row r="122">
          <cell r="A122" t="str">
            <v>5712-EGN-1210WER5</v>
          </cell>
          <cell r="B122" t="str">
            <v>1210WER5</v>
          </cell>
          <cell r="D122" t="str">
            <v>&lt;4170412&gt; #1210W, GN 1/2 MELAMINE WOODY BOARD (OAK)</v>
          </cell>
          <cell r="E122" t="str">
            <v>NO TAG</v>
          </cell>
          <cell r="H122">
            <v>23.47</v>
          </cell>
          <cell r="I122" t="str">
            <v>JS-Janitorial and Stewarding</v>
          </cell>
          <cell r="J122" t="str">
            <v>SVW-Serveware</v>
          </cell>
          <cell r="K122" t="str">
            <v>BBC-Bread Boards/Charcuterie Boards</v>
          </cell>
          <cell r="L122" t="str">
            <v>#1210W GN 1/2 Melamine  Woody BoardOak</v>
          </cell>
        </row>
        <row r="123">
          <cell r="A123" t="str">
            <v>5712-EGN-1240LIV</v>
          </cell>
          <cell r="B123" t="str">
            <v>1240LIV</v>
          </cell>
          <cell r="D123" t="str">
            <v>#1240L, 40MM MELAMINE LUNA GN 1/2 CURVE PLATE (IVORY)</v>
          </cell>
          <cell r="E123" t="str">
            <v>NO TAG</v>
          </cell>
          <cell r="H123">
            <v>16.77</v>
          </cell>
          <cell r="I123" t="str">
            <v>JS-Janitorial and Stewarding</v>
          </cell>
          <cell r="J123" t="str">
            <v>SVW-Serveware</v>
          </cell>
          <cell r="K123" t="str">
            <v/>
          </cell>
          <cell r="L123" t="str">
            <v>#1240L GN 1/2 Melamine 40mm Luna Curve Plate Ivory</v>
          </cell>
        </row>
        <row r="124">
          <cell r="A124" t="str">
            <v>5712-EGN-1310WER5</v>
          </cell>
          <cell r="B124" t="str">
            <v>1310WER5</v>
          </cell>
          <cell r="D124" t="str">
            <v>(WSL19)&lt;4170413&gt;#1310W, GN 1/3 MELAMINE WOODY BOARD (OAK)</v>
          </cell>
          <cell r="E124" t="str">
            <v>WSL WITH STOCK</v>
          </cell>
          <cell r="H124">
            <v>15.66</v>
          </cell>
          <cell r="I124" t="str">
            <v>JS-Janitorial and Stewarding</v>
          </cell>
          <cell r="J124" t="str">
            <v>SVW-Serveware</v>
          </cell>
          <cell r="K124" t="str">
            <v>BBC-Bread Boards/Charcuterie Boards</v>
          </cell>
          <cell r="L124" t="str">
            <v>#1310W GN 1/3 Melamine Woody Board Oak</v>
          </cell>
        </row>
        <row r="125">
          <cell r="A125" t="str">
            <v>5712-EGN-1340LIV</v>
          </cell>
          <cell r="B125" t="str">
            <v>1340LIV</v>
          </cell>
          <cell r="D125" t="str">
            <v>(WSL19)#1340L, 40MM MELAMINE LUNA GN 1/3 CURVE PLATE (IVORY)</v>
          </cell>
          <cell r="E125" t="str">
            <v>WSL WITH STOCK</v>
          </cell>
          <cell r="H125">
            <v>9.8000000000000007</v>
          </cell>
          <cell r="I125" t="str">
            <v>JS-Janitorial and Stewarding</v>
          </cell>
          <cell r="J125" t="str">
            <v>DWR-Dinnerware</v>
          </cell>
          <cell r="K125" t="str">
            <v>PLT-Plates</v>
          </cell>
          <cell r="L125" t="str">
            <v>#1340L GN 1/3 Melamine 40mm Luna Curve Plate Ivory</v>
          </cell>
        </row>
        <row r="126">
          <cell r="A126" t="str">
            <v>5712-EGN-1410WER5</v>
          </cell>
          <cell r="B126" t="str">
            <v>1410WER5</v>
          </cell>
          <cell r="D126" t="str">
            <v>&lt;4170414&gt; #1410W, GN 1/4 MELAMINE WOODY BOARD (OAK)</v>
          </cell>
          <cell r="E126" t="str">
            <v>NO TAG</v>
          </cell>
          <cell r="H126">
            <v>13.24</v>
          </cell>
          <cell r="I126" t="str">
            <v>JS-Janitorial and Stewarding</v>
          </cell>
          <cell r="J126" t="str">
            <v>SVW-Serveware</v>
          </cell>
          <cell r="K126" t="str">
            <v>BBC-Bread Boards/Charcuterie Boards</v>
          </cell>
          <cell r="L126" t="str">
            <v>#1410W GN 1/4 Melamine Woody Board Oak</v>
          </cell>
        </row>
        <row r="127">
          <cell r="A127" t="str">
            <v>5712-EGN-1440LIV</v>
          </cell>
          <cell r="B127" t="str">
            <v>1440LIV</v>
          </cell>
          <cell r="D127" t="str">
            <v>(WSL19)#1440L, 40MM MELAMINE LUNA GN 1/4 CURVE PLATE (IVORY)</v>
          </cell>
          <cell r="E127" t="str">
            <v>WSL WITH STOCK</v>
          </cell>
          <cell r="H127">
            <v>7.69</v>
          </cell>
          <cell r="I127" t="str">
            <v>JS-Janitorial and Stewarding</v>
          </cell>
          <cell r="J127" t="str">
            <v>DWR-Dinnerware</v>
          </cell>
          <cell r="K127" t="str">
            <v>PLT-Plates</v>
          </cell>
          <cell r="L127" t="str">
            <v>#1440L GN 1/4  Melamine 40mm LunaCurve Plate Ivory</v>
          </cell>
        </row>
        <row r="128">
          <cell r="A128" t="str">
            <v>5712-EGN-2410WER5</v>
          </cell>
          <cell r="B128" t="str">
            <v>2410WER5</v>
          </cell>
          <cell r="D128" t="str">
            <v>&lt;4170424 &gt;#2410W, GN 2/4 MELAMINE WOODY BOARD (OAK)</v>
          </cell>
          <cell r="E128" t="str">
            <v>NO TAG</v>
          </cell>
          <cell r="H128">
            <v>22.37</v>
          </cell>
          <cell r="I128" t="str">
            <v>JS-Janitorial and Stewarding</v>
          </cell>
          <cell r="J128" t="str">
            <v>SVW-Serveware</v>
          </cell>
          <cell r="K128" t="str">
            <v>BBC-Bread Boards/Charcuterie Boards</v>
          </cell>
          <cell r="L128" t="str">
            <v>#2410W GN 2/4 Melamine Woody Board Oak</v>
          </cell>
        </row>
        <row r="129">
          <cell r="A129" t="str">
            <v>5712-ENAMEL-22051111WB</v>
          </cell>
          <cell r="B129">
            <v>2205111</v>
          </cell>
          <cell r="D129" t="str">
            <v>27X20X4.2cm  "ENAMEL LOOK" RECT DEEP/SOUP PLATE(WHITE W/BLUE LINE)</v>
          </cell>
          <cell r="E129" t="str">
            <v>NO TAG</v>
          </cell>
          <cell r="H129">
            <v>6.23</v>
          </cell>
          <cell r="I129" t="str">
            <v>JS-Janitorial and Stewarding</v>
          </cell>
          <cell r="J129" t="str">
            <v>DWR-Dinnerware</v>
          </cell>
          <cell r="K129" t="str">
            <v>BWL-Bowls</v>
          </cell>
          <cell r="L129" t="str">
            <v>27x20x4.2cm Enamel Look White Rectangular Deep/Soup Plate with Blue Line</v>
          </cell>
        </row>
        <row r="130">
          <cell r="A130" t="str">
            <v>5712-ENAMEL-2206111WB</v>
          </cell>
          <cell r="B130">
            <v>2206111</v>
          </cell>
          <cell r="D130" t="str">
            <v>27X2cm  "ENAMEL LOOK" ROUND SHALLOW COUPE  PLATE (WHITE W/BLUE LINE)</v>
          </cell>
          <cell r="E130" t="str">
            <v>NO TAG</v>
          </cell>
          <cell r="H130">
            <v>6.7</v>
          </cell>
          <cell r="I130" t="str">
            <v>JS-Janitorial and Stewarding</v>
          </cell>
          <cell r="J130" t="str">
            <v>DWR-Dinnerware</v>
          </cell>
          <cell r="K130" t="str">
            <v>PLT-Plates</v>
          </cell>
          <cell r="L130" t="str">
            <v>27x2cm Enamel Look Round Shallow Coupe Plate White with Blue Line</v>
          </cell>
        </row>
        <row r="131">
          <cell r="A131" t="str">
            <v>5712-ENAMEL-2207091WB</v>
          </cell>
          <cell r="B131">
            <v>2207091</v>
          </cell>
          <cell r="D131" t="str">
            <v>22X2cm  "ENAMEL LOOK" ROUND SHALLOW COUPE PLATE (WHITE W/BLUE LINE)</v>
          </cell>
          <cell r="E131" t="str">
            <v>NO TAG</v>
          </cell>
          <cell r="H131">
            <v>4.22</v>
          </cell>
          <cell r="I131" t="str">
            <v>JS-Janitorial and Stewarding</v>
          </cell>
          <cell r="J131" t="str">
            <v>DWR-Dinnerware</v>
          </cell>
          <cell r="K131" t="str">
            <v>PLT-Plates</v>
          </cell>
          <cell r="L131" t="str">
            <v>22x2cm Enamel Look Round Shallow Coupe Plate White with Blue Line</v>
          </cell>
        </row>
        <row r="132">
          <cell r="A132" t="str">
            <v>5712-ENAMEL-2208081WB</v>
          </cell>
          <cell r="B132">
            <v>2208081</v>
          </cell>
          <cell r="D132" t="str">
            <v>20X3.2cm  "ENAMEL LOOK" ROUND DEEP/SOUP PLATE (WHITE W/BLUE LINE)</v>
          </cell>
          <cell r="E132" t="str">
            <v>NO TAG</v>
          </cell>
          <cell r="H132">
            <v>4.1399999999999997</v>
          </cell>
          <cell r="I132" t="str">
            <v>JS-Janitorial and Stewarding</v>
          </cell>
          <cell r="J132" t="str">
            <v>DWR-Dinnerware</v>
          </cell>
          <cell r="K132" t="str">
            <v>BWL-Bowls</v>
          </cell>
          <cell r="L132" t="str">
            <v>20x3.2cm Enamel Look Round Deep/Soup Plate White with Blue Line</v>
          </cell>
        </row>
        <row r="133">
          <cell r="A133" t="str">
            <v>5712-ENAMEL-2209051WB</v>
          </cell>
          <cell r="B133">
            <v>2209051</v>
          </cell>
          <cell r="D133" t="str">
            <v>12.5X12.5X6.7cm  "ENAMEL LOOK" ROUND BOWL  (WHITE W/BLUE LINE)</v>
          </cell>
          <cell r="E133" t="str">
            <v>NO TAG</v>
          </cell>
          <cell r="H133">
            <v>2.85</v>
          </cell>
          <cell r="I133" t="str">
            <v>JS-Janitorial and Stewarding</v>
          </cell>
          <cell r="J133" t="str">
            <v>SVW-Serveware</v>
          </cell>
          <cell r="K133" t="str">
            <v>MSA-Miscellaneous Serving Accessories</v>
          </cell>
          <cell r="L133" t="str">
            <v>12.5x12.5x6.7cm Enamel Look Round Bowl White with Blue Line</v>
          </cell>
        </row>
        <row r="134">
          <cell r="A134" t="str">
            <v>5712-ENAMEL-2210031WB</v>
          </cell>
          <cell r="B134">
            <v>2210031</v>
          </cell>
          <cell r="D134" t="str">
            <v>8XHT:9.4cm  "ENAMEL LOOK" ROUND TUMBLER/CUP (INNER WHITE W/BLUE OUTER)</v>
          </cell>
          <cell r="E134" t="str">
            <v>NO TAG</v>
          </cell>
          <cell r="H134">
            <v>3.72</v>
          </cell>
          <cell r="I134" t="str">
            <v>JS-Janitorial and Stewarding</v>
          </cell>
          <cell r="J134" t="str">
            <v>BWR-Beverageware</v>
          </cell>
          <cell r="K134" t="str">
            <v>TM-Tumblers</v>
          </cell>
          <cell r="L134" t="str">
            <v>8x9.4cm Enamel Look Round Tumbler/Cup Inner White with Blue Outer</v>
          </cell>
        </row>
        <row r="135">
          <cell r="A135" t="str">
            <v>5712-ENAMEL-2211021WB</v>
          </cell>
          <cell r="B135">
            <v>2211021</v>
          </cell>
          <cell r="D135" t="str">
            <v>6.4XHT:3.5cm  "ENAMEL LOOK" ROUND RAMEKIN (INNER WHITE W/BLUE OUTER)</v>
          </cell>
          <cell r="E135" t="str">
            <v>NO TAG</v>
          </cell>
          <cell r="H135">
            <v>1.41</v>
          </cell>
          <cell r="I135" t="str">
            <v>JS-Janitorial and Stewarding</v>
          </cell>
          <cell r="J135" t="str">
            <v>DWR-Dinnerware</v>
          </cell>
          <cell r="K135" t="str">
            <v/>
          </cell>
          <cell r="L135" t="str">
            <v>6.4xH3.5cm Enamel Look Round Ramekin Inner White with Blue Outer</v>
          </cell>
        </row>
        <row r="136">
          <cell r="A136" t="str">
            <v>5712-ENAMEL-2212091WB</v>
          </cell>
          <cell r="B136">
            <v>2212091</v>
          </cell>
          <cell r="D136" t="str">
            <v>23X17.6X4cm  "ENAMEL LOOK" RECT DEEP/SOUP PLATE (WHITE W/BLUE LINE)</v>
          </cell>
          <cell r="E136" t="str">
            <v>NO TAG</v>
          </cell>
          <cell r="H136">
            <v>3.98</v>
          </cell>
          <cell r="I136" t="str">
            <v>JS-Janitorial and Stewarding</v>
          </cell>
          <cell r="J136" t="str">
            <v>DWR-Dinnerware</v>
          </cell>
          <cell r="K136" t="str">
            <v>BWL-Bowls</v>
          </cell>
          <cell r="L136" t="str">
            <v>23x17.6x4cm Enamel Look White Rectangular Deep/Soup Plate with Blue Line</v>
          </cell>
        </row>
        <row r="137">
          <cell r="A137" t="str">
            <v>5712-ENAMEL-2213081WB</v>
          </cell>
          <cell r="B137">
            <v>2213081</v>
          </cell>
          <cell r="D137" t="str">
            <v>20X14.5X4.2cm  "ENAMEL LOOK" RECT DEEP/SOUP PLATE (WHITE W/BLUE LINE)</v>
          </cell>
          <cell r="E137" t="str">
            <v>NO TAG</v>
          </cell>
          <cell r="H137">
            <v>3.13</v>
          </cell>
          <cell r="I137" t="str">
            <v>JS-Janitorial and Stewarding</v>
          </cell>
          <cell r="J137" t="str">
            <v>DWR-Dinnerware</v>
          </cell>
          <cell r="K137" t="str">
            <v>BWL-Bowls</v>
          </cell>
          <cell r="L137" t="str">
            <v>20x14.5x4.2cm Enamel Look White Rectangular Deep/Soup Plate with Blue Line</v>
          </cell>
        </row>
        <row r="138">
          <cell r="A138" t="str">
            <v>5712-ENAMEL-2214121WBL</v>
          </cell>
          <cell r="D138" t="str">
            <v>(ID) 32.5X26.5X2.5cm 1/2 SIZE "ENAMEL LOOK" RECT TRAY (WHITE W/BLUE LINE)</v>
          </cell>
          <cell r="E138" t="str">
            <v>ID WITH STOCK</v>
          </cell>
          <cell r="H138">
            <v>15.35</v>
          </cell>
          <cell r="I138" t="str">
            <v>JS-Janitorial and Stewarding</v>
          </cell>
          <cell r="J138" t="str">
            <v>SVW-Serveware</v>
          </cell>
          <cell r="K138" t="str">
            <v>MSA-Miscellaneous Serving Accessories</v>
          </cell>
          <cell r="L138" t="str">
            <v>32.5x26.5x2.5cm 1/2 Size Rectangular Tray Enamel Look White with Blue Line</v>
          </cell>
        </row>
        <row r="139">
          <cell r="A139" t="str">
            <v>5712-ENAMEL-2214122-GY</v>
          </cell>
          <cell r="B139">
            <v>2214122</v>
          </cell>
          <cell r="D139" t="str">
            <v>(WSL24)32.5X26.5cm 1/2 SIZE "ENAMEL LOOK" RECT TRAY (GREY W/WHITE LINE)</v>
          </cell>
          <cell r="E139" t="str">
            <v>WSL WITH STOCK</v>
          </cell>
          <cell r="H139">
            <v>15.35</v>
          </cell>
          <cell r="I139" t="str">
            <v>JS-Janitorial and Stewarding</v>
          </cell>
          <cell r="J139" t="str">
            <v>SVW-Serveware</v>
          </cell>
          <cell r="K139" t="str">
            <v>MSA-Miscellaneous Serving Accessories</v>
          </cell>
          <cell r="L139" t="str">
            <v>32.5x26.5cm 1/2 Size Enamel Look Grey Rectangular Tray with White Line</v>
          </cell>
        </row>
        <row r="140">
          <cell r="A140" t="str">
            <v>5712-ENAMEL-2214123-BK</v>
          </cell>
          <cell r="B140">
            <v>2214123</v>
          </cell>
          <cell r="D140" t="str">
            <v>32.5X26.5cm 1/2 SIZE "ENAMEL LOOK" RECT TRAY (BLACK W/WHITE LINE)</v>
          </cell>
          <cell r="E140" t="str">
            <v>NO TAG</v>
          </cell>
          <cell r="H140">
            <v>15.35</v>
          </cell>
          <cell r="I140" t="str">
            <v>JS-Janitorial and Stewarding</v>
          </cell>
          <cell r="J140" t="str">
            <v>SVW-Serveware</v>
          </cell>
          <cell r="K140" t="str">
            <v>MSA-Miscellaneous Serving Accessories</v>
          </cell>
          <cell r="L140" t="str">
            <v>32.5x26.5cm 1/2 Size Enamel Look Black Rectangular Tray with White Line</v>
          </cell>
        </row>
        <row r="141">
          <cell r="A141" t="str">
            <v>5712-ENAMEL-2214126WB</v>
          </cell>
          <cell r="B141">
            <v>2214121</v>
          </cell>
          <cell r="D141" t="str">
            <v>(ID) (CODE:2214121) 32.5X26.5X2.5cm  1/2 SIZE "ENAMEL LOOK" RECT TRAY (WHITE W/BLACK LINE)</v>
          </cell>
          <cell r="E141" t="str">
            <v>ID WITH STOCK</v>
          </cell>
          <cell r="H141">
            <v>15.35</v>
          </cell>
          <cell r="I141" t="str">
            <v>JS-Janitorial and Stewarding</v>
          </cell>
          <cell r="J141" t="str">
            <v>SVW-Serveware</v>
          </cell>
          <cell r="K141" t="str">
            <v>MSA-Miscellaneous Serving Accessories</v>
          </cell>
          <cell r="L141" t="str">
            <v>32.5x26.5x2.5cm 1/2 Size Enamel Look White Rectangular Tray with Black Line</v>
          </cell>
        </row>
        <row r="142">
          <cell r="A142" t="str">
            <v>5712-ENAMEL-2215131WBL</v>
          </cell>
          <cell r="D142" t="str">
            <v>(ID) 32.5X17.6X2.5cm  1/3 SIZE "ENAMEL LOOK" RECT TRAY (WHITE W/BLUE LINE)</v>
          </cell>
          <cell r="E142" t="str">
            <v>ID WITH STOCK</v>
          </cell>
          <cell r="H142">
            <v>11.73</v>
          </cell>
          <cell r="I142" t="str">
            <v>JS-Janitorial and Stewarding</v>
          </cell>
          <cell r="J142" t="str">
            <v>SVW-Serveware</v>
          </cell>
          <cell r="K142" t="str">
            <v>MSA-Miscellaneous Serving Accessories</v>
          </cell>
          <cell r="L142" t="str">
            <v>32.5x17.6x2.5cm 1/3 Size Enamel Look Rectangular Tray White with Blue Line</v>
          </cell>
        </row>
        <row r="143">
          <cell r="A143" t="str">
            <v>5712-ENAMEL-2215132-GY</v>
          </cell>
          <cell r="B143">
            <v>2215132</v>
          </cell>
          <cell r="D143" t="str">
            <v>32.5X17.6X2.5cm  1/3 SIZE "ENAMEL LOOK" RECT TRAY (GREY W/WHITE  LINE)</v>
          </cell>
          <cell r="E143" t="str">
            <v>NO TAG</v>
          </cell>
          <cell r="H143">
            <v>11.73</v>
          </cell>
          <cell r="I143" t="str">
            <v>JS-Janitorial and Stewarding</v>
          </cell>
          <cell r="J143" t="str">
            <v>SVW-Serveware</v>
          </cell>
          <cell r="K143" t="str">
            <v>MSA-Miscellaneous Serving Accessories</v>
          </cell>
          <cell r="L143" t="str">
            <v>32.5x17.6x2.5cm 1/2 Size Enamel Look Rectangular Tray Grey with White Line</v>
          </cell>
        </row>
        <row r="144">
          <cell r="A144" t="str">
            <v>5712-ENAMEL-2215133-BK</v>
          </cell>
          <cell r="B144">
            <v>2215133</v>
          </cell>
          <cell r="D144" t="str">
            <v>32.5X17.6X2.5cm  1/3 SIZE "ENAMEL LOOK" RECT TRAY (BLACK W/WHITE  LINE)</v>
          </cell>
          <cell r="E144" t="str">
            <v>NO TAG</v>
          </cell>
          <cell r="H144">
            <v>11.73</v>
          </cell>
          <cell r="I144" t="str">
            <v>JS-Janitorial and Stewarding</v>
          </cell>
          <cell r="J144" t="str">
            <v>SVW-Serveware</v>
          </cell>
          <cell r="K144" t="str">
            <v>MSA-Miscellaneous Serving Accessories</v>
          </cell>
          <cell r="L144" t="str">
            <v>32.5x17.6x2.5cm 1/3 Size Enamel Look Rectangular Tray Black with White Line</v>
          </cell>
        </row>
        <row r="145">
          <cell r="A145" t="str">
            <v>5712-ENAMEL-2215136WB</v>
          </cell>
          <cell r="B145">
            <v>2215131</v>
          </cell>
          <cell r="D145" t="str">
            <v>(DCWSL24) (CODE:2215131) 32.5X17.6X2.5cm  1/3 SIZE "ENAMEL LOOK" RECT TRAY (WHITE W/BLACK  LINE)</v>
          </cell>
          <cell r="E145" t="str">
            <v>WSL WITH STOCK</v>
          </cell>
          <cell r="H145">
            <v>11.73</v>
          </cell>
          <cell r="I145" t="str">
            <v>JS-Janitorial and Stewarding</v>
          </cell>
          <cell r="J145" t="str">
            <v>SVW-Serveware</v>
          </cell>
          <cell r="K145" t="str">
            <v>MSA-Miscellaneous Serving Accessories</v>
          </cell>
          <cell r="L145" t="str">
            <v>32.5x17.6x2.5cm 1/3 Size Enamel Look Rect Tray White with Black Line</v>
          </cell>
        </row>
        <row r="146">
          <cell r="A146" t="str">
            <v>5712-ETS-3217BK1</v>
          </cell>
          <cell r="B146" t="str">
            <v>3217TBK1</v>
          </cell>
          <cell r="D146" t="str">
            <v>&lt;4170613&gt;#3217BK1 1/3 SIZE 'TAROKO' GRANTIE SLATE,BLACK MARBLE DECAL (320X170mm)</v>
          </cell>
          <cell r="E146" t="str">
            <v>NO TAG</v>
          </cell>
          <cell r="H146">
            <v>19.239999999999998</v>
          </cell>
          <cell r="I146" t="str">
            <v>JS-Janitorial and Stewarding</v>
          </cell>
          <cell r="J146" t="str">
            <v>TAL-Table Accessories &amp; Linens</v>
          </cell>
          <cell r="K146" t="str">
            <v>DEC-Decorations</v>
          </cell>
          <cell r="L146" t="str">
            <v>#3217BK1 1/3 Size 320x170mm Taroko Granite Slate Black Marble Decal</v>
          </cell>
        </row>
        <row r="147">
          <cell r="A147" t="str">
            <v>5712-ETS-3226BK1</v>
          </cell>
          <cell r="B147" t="str">
            <v>3226TBK1</v>
          </cell>
          <cell r="D147" t="str">
            <v>&lt;4170612&gt;#3226BK1 1/2 SIZE 'TAROKO' GRANTIE SLATE,BLACK MARBLE DECAL (320X260mm)</v>
          </cell>
          <cell r="E147" t="str">
            <v>NO TAG</v>
          </cell>
          <cell r="H147">
            <v>30.45</v>
          </cell>
          <cell r="I147" t="str">
            <v>JS-Janitorial and Stewarding</v>
          </cell>
          <cell r="J147" t="str">
            <v>TAL-Table Accessories &amp; Linens</v>
          </cell>
          <cell r="K147" t="str">
            <v>DEC-Decorations</v>
          </cell>
          <cell r="L147" t="str">
            <v>#3226BK1 1/2 Size 320x260mm Taroko Granite Slate Black Marble Decal</v>
          </cell>
        </row>
        <row r="148">
          <cell r="A148" t="str">
            <v>5712-ETS-5316BK1</v>
          </cell>
          <cell r="B148" t="str">
            <v>5316BK1</v>
          </cell>
          <cell r="D148" t="str">
            <v>(DCWSL19) #5316BK1 2/4 SIZE 'TAROKO' GRANTIE SLATE,BLACK MARBLE DECAL (520X160mm)</v>
          </cell>
          <cell r="E148" t="str">
            <v>WSL WITH STOCK</v>
          </cell>
          <cell r="H148">
            <v>23.5</v>
          </cell>
          <cell r="I148" t="str">
            <v>JS-Janitorial and Stewarding</v>
          </cell>
          <cell r="J148" t="str">
            <v>TAL-Table Accessories &amp; Linens</v>
          </cell>
          <cell r="K148" t="str">
            <v>DEC-Decorations</v>
          </cell>
          <cell r="L148" t="str">
            <v>#5316BK1 2/4 Size 520x160mm Taroko Granite Slate Black Marble Decal</v>
          </cell>
        </row>
        <row r="149">
          <cell r="A149" t="str">
            <v>5712-ETS-5332BK1</v>
          </cell>
          <cell r="B149" t="str">
            <v>5332TBK1</v>
          </cell>
          <cell r="D149" t="str">
            <v>&lt;4170611&gt;#5332BK1 1/1 SIZE 'TAROKO' GRANTIE SLATE,BLACK MARBLE DECAL (535X325mm)</v>
          </cell>
          <cell r="E149" t="str">
            <v>NO TAG</v>
          </cell>
          <cell r="H149">
            <v>57.9</v>
          </cell>
          <cell r="I149" t="str">
            <v>JS-Janitorial and Stewarding</v>
          </cell>
          <cell r="J149" t="str">
            <v>TAL-Table Accessories &amp; Linens</v>
          </cell>
          <cell r="K149" t="str">
            <v>DEC-Decorations</v>
          </cell>
          <cell r="L149" t="str">
            <v>#5332BK1 1/1 Size 535x325mm Taroko Granite Slate Black Marble Decal</v>
          </cell>
        </row>
        <row r="150">
          <cell r="A150" t="str">
            <v>5712-ETW-2515ER5</v>
          </cell>
          <cell r="B150" t="str">
            <v>2515WER5</v>
          </cell>
          <cell r="D150" t="str">
            <v>&lt;4170525&gt; #2515, 25x15CM MELAMINE WOODY BOARD (OAK)</v>
          </cell>
          <cell r="E150" t="str">
            <v>NO TAG</v>
          </cell>
          <cell r="H150">
            <v>11.82</v>
          </cell>
          <cell r="I150" t="str">
            <v>JS-Janitorial and Stewarding</v>
          </cell>
          <cell r="J150" t="str">
            <v>SVW-Serveware</v>
          </cell>
          <cell r="K150" t="str">
            <v>BBC-Bread Boards/Charcuterie Boards</v>
          </cell>
          <cell r="L150" t="str">
            <v>#2515 Melamine 25x15cm Woody Board Oak</v>
          </cell>
        </row>
        <row r="151">
          <cell r="A151" t="str">
            <v>5712-ETW-5025ER5</v>
          </cell>
          <cell r="B151" t="str">
            <v>5025WER5</v>
          </cell>
          <cell r="D151" t="str">
            <v>&lt;4170550&gt;#5025, 50x25CM MELAMINE WOODY BOARD (OAK)</v>
          </cell>
          <cell r="E151" t="str">
            <v>NO TAG</v>
          </cell>
          <cell r="H151">
            <v>32.17</v>
          </cell>
          <cell r="I151" t="str">
            <v>JS-Janitorial and Stewarding</v>
          </cell>
          <cell r="J151" t="str">
            <v>SVW-Serveware</v>
          </cell>
          <cell r="K151" t="str">
            <v>BBC-Bread Boards/Charcuterie Boards</v>
          </cell>
          <cell r="L151" t="str">
            <v>#5025 Melamine 50x25cm Woody Board Oak</v>
          </cell>
        </row>
        <row r="152">
          <cell r="A152" t="str">
            <v>5712-EXP-519803-BK</v>
          </cell>
          <cell r="B152" t="str">
            <v>519803BK</v>
          </cell>
          <cell r="D152" t="str">
            <v>W:3.5 X L:6.5cm, EXPLORER 2.5" MULTI ANGLE MENU SIGNAGE TAG (10 PCS/PKT)(BLACK) (SELL BY PKT)</v>
          </cell>
          <cell r="E152" t="str">
            <v>NO TAG</v>
          </cell>
          <cell r="H152">
            <v>1.2</v>
          </cell>
          <cell r="I152" t="str">
            <v>JS-Janitorial and Stewarding</v>
          </cell>
          <cell r="J152" t="str">
            <v>SM-Signage &amp; Miscellaneous</v>
          </cell>
          <cell r="K152" t="str">
            <v>SGN-Signage</v>
          </cell>
          <cell r="L152" t="str">
            <v>W3.5xL6.5cm Explorer 2.5" Multi Angle Menu Signage Tag Black</v>
          </cell>
        </row>
        <row r="153">
          <cell r="A153" t="str">
            <v>5712-EXP-519805-BK</v>
          </cell>
          <cell r="B153" t="str">
            <v>519805BK</v>
          </cell>
          <cell r="D153" t="str">
            <v>W:3.5 X L:13cm, EXPLORER 5" MULTI ANGLE MENU SIGNAGE TAG (10 PCS/PKT)(BLACK) (SELL BY PKT)</v>
          </cell>
          <cell r="E153" t="str">
            <v>NO TAG</v>
          </cell>
          <cell r="H153">
            <v>1.25</v>
          </cell>
          <cell r="I153" t="str">
            <v>JS-Janitorial and Stewarding</v>
          </cell>
          <cell r="J153" t="str">
            <v>SM-Signage &amp; Miscellaneous</v>
          </cell>
          <cell r="K153" t="str">
            <v>SGN-Signage</v>
          </cell>
          <cell r="L153" t="str">
            <v>W3.5xL13cm Explorer 5" Multi Angle Menu Signage Tag Black</v>
          </cell>
        </row>
        <row r="154">
          <cell r="A154" t="str">
            <v>5712-GAM-904611BK</v>
          </cell>
          <cell r="B154" t="str">
            <v>904611BK</v>
          </cell>
          <cell r="D154" t="str">
            <v>1/1 SIZE, 55x34xHT:44cm 3 TIER BREAD CASE, METAL+ACRYLIC, GAMMA</v>
          </cell>
          <cell r="E154" t="str">
            <v>NO TAG</v>
          </cell>
          <cell r="H154">
            <v>323.8</v>
          </cell>
          <cell r="I154" t="str">
            <v>JS-Janitorial and Stewarding</v>
          </cell>
          <cell r="J154" t="str">
            <v>FW-Food Holding &amp; Warming</v>
          </cell>
          <cell r="K154" t="str">
            <v/>
          </cell>
          <cell r="L154" t="str">
            <v>Gamma 1/1 Size Metal+Acrylic 55x34xH44cm 3 Tier Bread Case</v>
          </cell>
        </row>
        <row r="155">
          <cell r="A155" t="str">
            <v>5712-GAM-904614BK</v>
          </cell>
          <cell r="B155" t="str">
            <v>904614BK</v>
          </cell>
          <cell r="D155" t="str">
            <v>1/4 SIZE, 27x16xHT:44cm 3 TIER BREAD CASE, DRAWER, METAL+ACRYLIC, GAMMA</v>
          </cell>
          <cell r="E155" t="str">
            <v>NO TAG</v>
          </cell>
          <cell r="H155">
            <v>210.3</v>
          </cell>
          <cell r="I155" t="str">
            <v>JS-Janitorial and Stewarding</v>
          </cell>
          <cell r="J155" t="str">
            <v>FW-Food Holding &amp; Warming</v>
          </cell>
          <cell r="K155" t="str">
            <v/>
          </cell>
          <cell r="L155" t="str">
            <v>Gamma 1/4 Size Metal + Acrylic 27x16xH44cm 3 Tier Bread Case with Drawer</v>
          </cell>
        </row>
        <row r="156">
          <cell r="A156" t="str">
            <v>5712-GAM-904905BK</v>
          </cell>
          <cell r="B156" t="str">
            <v>904905BK</v>
          </cell>
          <cell r="D156" t="str">
            <v>#904905BK, 28x28x12cm 5" METAL CUBE DISLAY STAND, BLACK</v>
          </cell>
          <cell r="E156" t="str">
            <v>NO TAG</v>
          </cell>
          <cell r="H156">
            <v>72.77</v>
          </cell>
          <cell r="I156" t="str">
            <v>JS-Janitorial and Stewarding</v>
          </cell>
          <cell r="J156" t="str">
            <v>SVW-Serveware</v>
          </cell>
          <cell r="K156" t="str">
            <v>DRA-Display Risers, Stands &amp; Accessories</v>
          </cell>
          <cell r="L156" t="str">
            <v>#904905BK 28x28x12cm 5" Metal Cube Display Stand Black</v>
          </cell>
        </row>
        <row r="157">
          <cell r="A157" t="str">
            <v>5712-GAM-904911BK</v>
          </cell>
          <cell r="B157" t="str">
            <v>904911BK</v>
          </cell>
          <cell r="D157" t="str">
            <v>#904911BK, 28x28x21.5cm 8.5" METAL CUBE DISLAY STAND, BLACK</v>
          </cell>
          <cell r="E157" t="str">
            <v>NO TAG</v>
          </cell>
          <cell r="H157">
            <v>79.7</v>
          </cell>
          <cell r="I157" t="str">
            <v>JS-Janitorial and Stewarding</v>
          </cell>
          <cell r="J157" t="str">
            <v>SVW-Serveware</v>
          </cell>
          <cell r="K157" t="str">
            <v>DRA-Display Risers, Stands &amp; Accessories</v>
          </cell>
          <cell r="L157" t="str">
            <v>#904911BK 28x28x21.5cm 8.5" Metal Cube Display Stand Black</v>
          </cell>
        </row>
        <row r="158">
          <cell r="A158" t="str">
            <v>5712-GAM-904912BK</v>
          </cell>
          <cell r="B158" t="str">
            <v>904912BK</v>
          </cell>
          <cell r="D158" t="str">
            <v>1/2 SIZE, 34.3x28.3xHT:43.5cm 3 TIER BREAD CASE, METAL+ACRYLIC, GAMMA</v>
          </cell>
          <cell r="E158" t="str">
            <v>NO TAG</v>
          </cell>
          <cell r="H158">
            <v>288.8</v>
          </cell>
          <cell r="I158" t="str">
            <v>JS-Janitorial and Stewarding</v>
          </cell>
          <cell r="J158" t="str">
            <v>FW-Food Holding &amp; Warming</v>
          </cell>
          <cell r="K158" t="str">
            <v/>
          </cell>
          <cell r="L158" t="str">
            <v>Gamma 1/2 Size Metal+Acrylic 34.3x28.3xH43.5cm 3 Tier Bread Case</v>
          </cell>
        </row>
        <row r="159">
          <cell r="A159" t="str">
            <v>5712-GN-407811CG39</v>
          </cell>
          <cell r="B159" t="str">
            <v>407811CG39</v>
          </cell>
          <cell r="D159" t="str">
            <v>(ID, MOQ:60) #407811-CG39, 1/1 GN BAKER TRAY, THIN TERRAZZO</v>
          </cell>
          <cell r="E159" t="str">
            <v>ID WITH STOCK</v>
          </cell>
          <cell r="H159">
            <v>25.34</v>
          </cell>
          <cell r="I159" t="str">
            <v>JS-Janitorial and Stewarding</v>
          </cell>
          <cell r="J159" t="str">
            <v>BW-Bakeware</v>
          </cell>
          <cell r="K159" t="str">
            <v>BPT-Baking Pans &amp; Trays</v>
          </cell>
          <cell r="L159" t="str">
            <v>#407811-CG39 1/1 GN Baker Tray Thin Terrazzo</v>
          </cell>
        </row>
        <row r="160">
          <cell r="A160" t="str">
            <v>5712-GN-407811CG40</v>
          </cell>
          <cell r="B160" t="str">
            <v>407811CG40</v>
          </cell>
          <cell r="D160" t="str">
            <v>(ID, MOQ:60) #407811-CG40, 1/1 GN BAKER TRAY, CORRASE TERRAZZO</v>
          </cell>
          <cell r="E160" t="str">
            <v>ID WITH STOCK</v>
          </cell>
          <cell r="H160">
            <v>25.34</v>
          </cell>
          <cell r="I160" t="str">
            <v>JS-Janitorial and Stewarding</v>
          </cell>
          <cell r="J160" t="str">
            <v>BW-Bakeware</v>
          </cell>
          <cell r="K160" t="str">
            <v>BPT-Baking Pans &amp; Trays</v>
          </cell>
          <cell r="L160" t="str">
            <v>#407811-CG40 1/1 GN Baker Tray   Corrase Terrazzo</v>
          </cell>
        </row>
        <row r="161">
          <cell r="A161" t="str">
            <v>5712-GN-407811CG46</v>
          </cell>
          <cell r="B161" t="str">
            <v>407811CG46</v>
          </cell>
          <cell r="D161" t="str">
            <v>(ID, MOQ:60) #407811-CG46, 1/1 GN BAKER TRAY, RUST</v>
          </cell>
          <cell r="E161" t="str">
            <v>ID WITH STOCK</v>
          </cell>
          <cell r="H161">
            <v>25.34</v>
          </cell>
          <cell r="I161" t="str">
            <v>JS-Janitorial and Stewarding</v>
          </cell>
          <cell r="J161" t="str">
            <v>BW-Bakeware</v>
          </cell>
          <cell r="K161" t="str">
            <v>BPT-Baking Pans &amp; Trays</v>
          </cell>
          <cell r="L161" t="str">
            <v>#407811-CG46 1/1 GN Baker Tray Rust</v>
          </cell>
        </row>
        <row r="162">
          <cell r="A162" t="str">
            <v>5712-GN-407811CP48</v>
          </cell>
          <cell r="B162" t="str">
            <v>407811CP48</v>
          </cell>
          <cell r="D162" t="str">
            <v>(ID, MOQ:60) #407811-CP48, 1/1 GN BAKER TRAY, CANDY FLOSS</v>
          </cell>
          <cell r="E162" t="str">
            <v>ID WITH STOCK</v>
          </cell>
          <cell r="H162">
            <v>25.34</v>
          </cell>
          <cell r="I162" t="str">
            <v>JS-Janitorial and Stewarding</v>
          </cell>
          <cell r="J162" t="str">
            <v>BW-Bakeware</v>
          </cell>
          <cell r="K162" t="str">
            <v>BPT-Baking Pans &amp; Trays</v>
          </cell>
          <cell r="L162" t="str">
            <v>#407811-CP48 1/1 GN Baker Tray Candy Floss</v>
          </cell>
        </row>
        <row r="163">
          <cell r="A163" t="str">
            <v>5712-GN-407811IV47</v>
          </cell>
          <cell r="B163" t="str">
            <v>407811IV47</v>
          </cell>
          <cell r="D163" t="str">
            <v>(ID, MOQ:60) #407811-IV47, 1/1 GN BAKER TRAY, JEAN</v>
          </cell>
          <cell r="E163" t="str">
            <v>ID WITH STOCK</v>
          </cell>
          <cell r="H163">
            <v>25.34</v>
          </cell>
          <cell r="I163" t="str">
            <v>JS-Janitorial and Stewarding</v>
          </cell>
          <cell r="J163" t="str">
            <v>BW-Bakeware</v>
          </cell>
          <cell r="K163" t="str">
            <v>BPT-Baking Pans &amp; Trays</v>
          </cell>
          <cell r="L163" t="str">
            <v>#407811-IV47 1/1 GN Baker Tray Jean</v>
          </cell>
        </row>
        <row r="164">
          <cell r="A164" t="str">
            <v>5712-GN-407812CG39</v>
          </cell>
          <cell r="B164" t="str">
            <v>407812CG39</v>
          </cell>
          <cell r="D164" t="str">
            <v>(ID, MOQ:72) #407812-CG39, 1/2 GN BAKER TRAY, THIN TERRAZZO</v>
          </cell>
          <cell r="E164" t="str">
            <v>ID NO STOCK</v>
          </cell>
          <cell r="H164">
            <v>11.31</v>
          </cell>
          <cell r="I164" t="str">
            <v>JS-Janitorial and Stewarding</v>
          </cell>
          <cell r="J164" t="str">
            <v>BW-Bakeware</v>
          </cell>
          <cell r="K164" t="str">
            <v>BPT-Baking Pans &amp; Trays</v>
          </cell>
          <cell r="L164" t="str">
            <v>407812-CG39 1/2 GN Baker Tray Thin Terrazzo</v>
          </cell>
        </row>
        <row r="165">
          <cell r="A165" t="str">
            <v>5712-GN-407812CG40</v>
          </cell>
          <cell r="B165" t="str">
            <v>407812CG40</v>
          </cell>
          <cell r="D165" t="str">
            <v>(ID, MOQ:72) #407812-CG40, 1/2 GN BAKER TRAY, CORRASE TERRAZZO</v>
          </cell>
          <cell r="E165" t="str">
            <v>ID NO STOCK</v>
          </cell>
          <cell r="H165">
            <v>11.31</v>
          </cell>
          <cell r="I165" t="str">
            <v>JS-Janitorial and Stewarding</v>
          </cell>
          <cell r="J165" t="str">
            <v>BW-Bakeware</v>
          </cell>
          <cell r="K165" t="str">
            <v>BPT-Baking Pans &amp; Trays</v>
          </cell>
          <cell r="L165" t="str">
            <v>#407812-CG40 1/2 GN Baker Tray Corraise Terrazzo</v>
          </cell>
        </row>
        <row r="166">
          <cell r="A166" t="str">
            <v>5712-GN-407812CG46</v>
          </cell>
          <cell r="B166" t="str">
            <v>407812CG46</v>
          </cell>
          <cell r="D166" t="str">
            <v>(ID, MOQ:72) #407812-CG46, 1/2 GN BAKER TRAY, RUST</v>
          </cell>
          <cell r="E166" t="str">
            <v>ID WITH STOCK</v>
          </cell>
          <cell r="H166">
            <v>11.31</v>
          </cell>
          <cell r="I166" t="str">
            <v>JS-Janitorial and Stewarding</v>
          </cell>
          <cell r="J166" t="str">
            <v>BW-Bakeware</v>
          </cell>
          <cell r="K166" t="str">
            <v>BPT-Baking Pans &amp; Trays</v>
          </cell>
          <cell r="L166" t="str">
            <v>#407812-CG46 1/2 GN Baker Tray Rust</v>
          </cell>
        </row>
        <row r="167">
          <cell r="A167" t="str">
            <v>5712-GN-407812CP48</v>
          </cell>
          <cell r="B167" t="str">
            <v>407812CP48</v>
          </cell>
          <cell r="D167" t="str">
            <v>(ID, MOQ:72) #407812-CP48, 1/2 GN BAKER TRAY, CANDY FLOSS</v>
          </cell>
          <cell r="E167" t="str">
            <v>ID WITH STOCK</v>
          </cell>
          <cell r="H167">
            <v>11.31</v>
          </cell>
          <cell r="I167" t="str">
            <v>JS-Janitorial and Stewarding</v>
          </cell>
          <cell r="J167" t="str">
            <v>BW-Bakeware</v>
          </cell>
          <cell r="K167" t="str">
            <v>BPT-Baking Pans &amp; Trays</v>
          </cell>
          <cell r="L167" t="str">
            <v>#407812-CP48 1/2 GN Baker Tray Candy Floss</v>
          </cell>
        </row>
        <row r="168">
          <cell r="A168" t="str">
            <v>5712-GN-407812IV47</v>
          </cell>
          <cell r="B168" t="str">
            <v>407812IV47</v>
          </cell>
          <cell r="D168" t="str">
            <v>(ID, MOQ:72) #407812-IV47, 1/2 GN BAKER TRAY, JEAN</v>
          </cell>
          <cell r="E168" t="str">
            <v>ID WITH STOCK</v>
          </cell>
          <cell r="H168">
            <v>11.31</v>
          </cell>
          <cell r="I168" t="str">
            <v>JS-Janitorial and Stewarding</v>
          </cell>
          <cell r="J168" t="str">
            <v>BW-Bakeware</v>
          </cell>
          <cell r="K168" t="str">
            <v>BPT-Baking Pans &amp; Trays</v>
          </cell>
          <cell r="L168" t="str">
            <v>#407812-IV47 1/2 GN Baker Tray Jean</v>
          </cell>
        </row>
        <row r="169">
          <cell r="A169" t="str">
            <v>5712-GN-9009-11SS</v>
          </cell>
          <cell r="B169" t="str">
            <v>900911SS</v>
          </cell>
          <cell r="D169" t="str">
            <v>(ID-MOQ) EFAY #900911SS 565mm x 530mm x H325mm S/S 1/1 GN SYSTEM STAND</v>
          </cell>
          <cell r="E169" t="str">
            <v>ID NO STOCK</v>
          </cell>
          <cell r="H169">
            <v>35.06</v>
          </cell>
          <cell r="I169" t="str">
            <v>JS-Janitorial and Stewarding</v>
          </cell>
          <cell r="J169" t="str">
            <v/>
          </cell>
          <cell r="K169" t="str">
            <v/>
          </cell>
          <cell r="L169" t="str">
            <v>Efay #900911SS S/Steel 1/1 GN 565x530xH325mm System Stand</v>
          </cell>
        </row>
        <row r="170">
          <cell r="A170" t="str">
            <v>5712-GN-CB803202-WHT</v>
          </cell>
          <cell r="B170">
            <v>803202</v>
          </cell>
          <cell r="D170" t="str">
            <v>#803202, 1/2 SIZE, 325X253X50mm GN RECT CLOUD BOX (WHT)</v>
          </cell>
          <cell r="E170" t="str">
            <v>NO TAG</v>
          </cell>
          <cell r="H170">
            <v>43.27</v>
          </cell>
          <cell r="I170" t="str">
            <v>JS-Janitorial and Stewarding</v>
          </cell>
          <cell r="J170" t="str">
            <v>SS-Storage Solutions</v>
          </cell>
          <cell r="K170" t="str">
            <v>FP-Food Pans</v>
          </cell>
          <cell r="L170" t="str">
            <v>#803202 1/2 Size 325x253x50mm GN Rect Cloud Box White</v>
          </cell>
        </row>
        <row r="171">
          <cell r="A171" t="str">
            <v>5712-GN-CB803204-WHT</v>
          </cell>
          <cell r="B171">
            <v>803204</v>
          </cell>
          <cell r="D171" t="str">
            <v>#803204,1/2 SIZE,  325X253X100mm GN RECT CLOUD BOX (WHT)</v>
          </cell>
          <cell r="E171" t="str">
            <v>NO TAG</v>
          </cell>
          <cell r="H171">
            <v>55.63</v>
          </cell>
          <cell r="I171" t="str">
            <v>JS-Janitorial and Stewarding</v>
          </cell>
          <cell r="J171" t="str">
            <v>SS-Storage Solutions</v>
          </cell>
          <cell r="K171" t="str">
            <v>FP-Food Pans</v>
          </cell>
          <cell r="L171" t="str">
            <v>#803204 1/2 Size 325x253x100mm GN Rect Cloud Box White</v>
          </cell>
        </row>
        <row r="172">
          <cell r="A172" t="str">
            <v>5712-GN-CB803206-WHT</v>
          </cell>
          <cell r="B172">
            <v>803206</v>
          </cell>
          <cell r="D172" t="str">
            <v>#803206,1/2 SIZE,  325X253X150mm GN RECT CLOUD BOX (WHT)</v>
          </cell>
          <cell r="E172" t="str">
            <v>NO TAG</v>
          </cell>
          <cell r="H172">
            <v>63.87</v>
          </cell>
          <cell r="I172" t="str">
            <v>JS-Janitorial and Stewarding</v>
          </cell>
          <cell r="J172" t="str">
            <v>SS-Storage Solutions</v>
          </cell>
          <cell r="K172" t="str">
            <v>FP-Food Pans</v>
          </cell>
          <cell r="L172" t="str">
            <v>#803206 1/2 Size 325x253x150mm GN Rect Cloud Box White</v>
          </cell>
        </row>
        <row r="173">
          <cell r="A173" t="str">
            <v>5712-GN-CB803302-WHT</v>
          </cell>
          <cell r="B173">
            <v>803302</v>
          </cell>
          <cell r="D173" t="str">
            <v>#803302,1/3 SIZE, 325X173X50mm GN RECT CLOUD BOX (WHT)</v>
          </cell>
          <cell r="E173" t="str">
            <v>NO TAG</v>
          </cell>
          <cell r="H173">
            <v>43.27</v>
          </cell>
          <cell r="I173" t="str">
            <v>JS-Janitorial and Stewarding</v>
          </cell>
          <cell r="J173" t="str">
            <v>SS-Storage Solutions</v>
          </cell>
          <cell r="K173" t="str">
            <v>FP-Food Pans</v>
          </cell>
          <cell r="L173" t="str">
            <v>#803302 1/3 Size 325x173x50mm GN Rect Cloud Box White</v>
          </cell>
        </row>
        <row r="174">
          <cell r="A174" t="str">
            <v>5712-GN-CB803304-WHT</v>
          </cell>
          <cell r="B174">
            <v>803304</v>
          </cell>
          <cell r="D174" t="str">
            <v>#803304, 1/3 SIZE,  325X173X100mm GN RECT CLOUD BOX (WHT)</v>
          </cell>
          <cell r="E174" t="str">
            <v>NO TAG</v>
          </cell>
          <cell r="H174">
            <v>55.63</v>
          </cell>
          <cell r="I174" t="str">
            <v>JS-Janitorial and Stewarding</v>
          </cell>
          <cell r="J174" t="str">
            <v>SS-Storage Solutions</v>
          </cell>
          <cell r="K174" t="str">
            <v>FP-Food Pans</v>
          </cell>
          <cell r="L174" t="str">
            <v>#803304 1/3 Size 325x173x100mm GN Rect Cloud Box White</v>
          </cell>
        </row>
        <row r="175">
          <cell r="A175" t="str">
            <v>5712-GN-CB803306-WHT</v>
          </cell>
          <cell r="B175">
            <v>803306</v>
          </cell>
          <cell r="D175" t="str">
            <v>#803306,1/3 SIZE,  325X173X150mm GN RECT CLOUD BOX (WHT)</v>
          </cell>
          <cell r="E175" t="str">
            <v>NO TAG</v>
          </cell>
          <cell r="H175">
            <v>63.87</v>
          </cell>
          <cell r="I175" t="str">
            <v>JS-Janitorial and Stewarding</v>
          </cell>
          <cell r="J175" t="str">
            <v>SS-Storage Solutions</v>
          </cell>
          <cell r="K175" t="str">
            <v>FP-Food Pans</v>
          </cell>
          <cell r="L175" t="str">
            <v>#803306 1/3 Size 325x173x150mm GN Rect Cloud Box White</v>
          </cell>
        </row>
        <row r="176">
          <cell r="A176" t="str">
            <v>5712-GN-CB803402-WHT</v>
          </cell>
          <cell r="B176">
            <v>803402</v>
          </cell>
          <cell r="D176" t="str">
            <v>#803402, 2/4 SIZE, 530X150X50mm GN RECT CLOUD BOX (WHT)</v>
          </cell>
          <cell r="E176" t="str">
            <v>NO TAG</v>
          </cell>
          <cell r="H176">
            <v>43.27</v>
          </cell>
          <cell r="I176" t="str">
            <v>JS-Janitorial and Stewarding</v>
          </cell>
          <cell r="J176" t="str">
            <v>SS-Storage Solutions</v>
          </cell>
          <cell r="K176" t="str">
            <v>FP-Food Pans</v>
          </cell>
          <cell r="L176" t="str">
            <v>#803402 2/4 Size 530x150x50mm GN Rect Cloud Box White</v>
          </cell>
        </row>
        <row r="177">
          <cell r="A177" t="str">
            <v>5712-GN-CB803404-WHT</v>
          </cell>
          <cell r="B177">
            <v>803404</v>
          </cell>
          <cell r="D177" t="str">
            <v>#803404,2/4 SIZE, 530X150X100mm GN RECT CLOUD BOX (WHT)</v>
          </cell>
          <cell r="E177" t="str">
            <v>NO TAG</v>
          </cell>
          <cell r="H177">
            <v>56.32</v>
          </cell>
          <cell r="I177" t="str">
            <v>JS-Janitorial and Stewarding</v>
          </cell>
          <cell r="J177" t="str">
            <v>SS-Storage Solutions</v>
          </cell>
          <cell r="K177" t="str">
            <v>FP-Food Pans</v>
          </cell>
          <cell r="L177" t="str">
            <v>#803404 2/4 Size 530x150x100mm GN Rect Cloud Box White</v>
          </cell>
        </row>
        <row r="178">
          <cell r="A178" t="str">
            <v>5712-GN-CB803406-WHT</v>
          </cell>
          <cell r="B178">
            <v>803406</v>
          </cell>
          <cell r="D178" t="str">
            <v>#803406,2/4 SIZE, 530X150X150mm GN RECT CLOUD BOX (WHT)</v>
          </cell>
          <cell r="E178" t="str">
            <v>NO TAG</v>
          </cell>
          <cell r="H178">
            <v>66.62</v>
          </cell>
          <cell r="I178" t="str">
            <v>JS-Janitorial and Stewarding</v>
          </cell>
          <cell r="J178" t="str">
            <v>SS-Storage Solutions</v>
          </cell>
          <cell r="K178" t="str">
            <v>FP-Food Pans</v>
          </cell>
          <cell r="L178" t="str">
            <v>#803406 2/4 Size 530x150x150mm GN Rect Cloud Box White</v>
          </cell>
        </row>
        <row r="179">
          <cell r="A179" t="str">
            <v>5712-GNE-901610BK</v>
          </cell>
          <cell r="B179" t="str">
            <v>901610BK</v>
          </cell>
          <cell r="D179" t="str">
            <v>#901610BK, 51.8x31.3x25.3cm 1/1 + 1/2 SIZE GN NON SLIP BUFFET DISPLAY STAND, BLACK</v>
          </cell>
          <cell r="E179" t="str">
            <v>NO TAG</v>
          </cell>
          <cell r="H179">
            <v>27.38</v>
          </cell>
          <cell r="I179" t="str">
            <v>JS-Janitorial and Stewarding</v>
          </cell>
          <cell r="J179" t="str">
            <v>SVW-Serveware</v>
          </cell>
          <cell r="K179" t="str">
            <v>DRA-Display Risers, Stands &amp; Accessories</v>
          </cell>
          <cell r="L179" t="str">
            <v>#901610BK 51.8x31.3x25.3cm 1/1+1/2 Size GN Non-Slip Buffet Display Stand Black</v>
          </cell>
        </row>
        <row r="180">
          <cell r="A180" t="str">
            <v>5712-GNE-901706BK</v>
          </cell>
          <cell r="B180" t="str">
            <v>901706BK</v>
          </cell>
          <cell r="D180" t="str">
            <v>#901706BK, 51.8x31.3x15.8cm 1/1 + 2/4 SIZE GN NON SLIP BUFFET DISPLAY STAND, BLACK</v>
          </cell>
          <cell r="E180" t="str">
            <v>NO TAG</v>
          </cell>
          <cell r="H180">
            <v>26.36</v>
          </cell>
          <cell r="I180" t="str">
            <v>JS-Janitorial and Stewarding</v>
          </cell>
          <cell r="J180" t="str">
            <v>SVW-Serveware</v>
          </cell>
          <cell r="K180" t="str">
            <v>DRA-Display Risers, Stands &amp; Accessories</v>
          </cell>
          <cell r="L180" t="str">
            <v>#901706BK 51.8x31.3x15.8cm 1/1+2/4 Size GN Non-Slip Buffet Display Stand Black</v>
          </cell>
        </row>
        <row r="181">
          <cell r="A181" t="str">
            <v>5712-GNE-901806BK</v>
          </cell>
          <cell r="B181" t="str">
            <v>901806BK</v>
          </cell>
          <cell r="D181" t="str">
            <v>#901806BK, 31.3x25.3x15.8cm 1/2 + 1/4 SIZE GN NON SLIP BUFFET DISPLAY STAND, BLACK</v>
          </cell>
          <cell r="E181" t="str">
            <v>NO TAG</v>
          </cell>
          <cell r="H181">
            <v>22.59</v>
          </cell>
          <cell r="I181" t="str">
            <v>JS-Janitorial and Stewarding</v>
          </cell>
          <cell r="J181" t="str">
            <v>SVW-Serveware</v>
          </cell>
          <cell r="K181" t="str">
            <v>DRA-Display Risers, Stands &amp; Accessories</v>
          </cell>
          <cell r="L181" t="str">
            <v>#901806BK 31.3x25.3x15.8cm 1/2+1/4 Size GN Non-Slip Buffet Display Stand Black</v>
          </cell>
        </row>
        <row r="182">
          <cell r="A182" t="str">
            <v>5712-GNE-901906BK</v>
          </cell>
          <cell r="B182" t="str">
            <v>901906BK</v>
          </cell>
          <cell r="D182" t="str">
            <v>#901906BK, 31.3x17x15.8cm 1/3 + 1/6 SIZE GN NON SLIP BUFFET DISPLAY STAND, BLACK</v>
          </cell>
          <cell r="E182" t="str">
            <v>NO TAG</v>
          </cell>
          <cell r="H182">
            <v>16.77</v>
          </cell>
          <cell r="I182" t="str">
            <v>JS-Janitorial and Stewarding</v>
          </cell>
          <cell r="J182" t="str">
            <v>SVW-Serveware</v>
          </cell>
          <cell r="K182" t="str">
            <v>DRA-Display Risers, Stands &amp; Accessories</v>
          </cell>
          <cell r="L182" t="str">
            <v>#901906BK 31.3x17x15.8cm 1/3+1/6 Size GN Non-Slip Buffet Display Stand Black</v>
          </cell>
        </row>
        <row r="183">
          <cell r="A183" t="str">
            <v>5712-GNHP-903411SL</v>
          </cell>
          <cell r="B183" t="str">
            <v>903411SL</v>
          </cell>
          <cell r="D183" t="str">
            <v>#903411SL, 53x32.5x15cm 1/1 SIZE GN NON SLIP BUFFET DISPLAY RISER, SILVER</v>
          </cell>
          <cell r="E183" t="str">
            <v>NO TAG</v>
          </cell>
          <cell r="H183">
            <v>17.04</v>
          </cell>
          <cell r="I183" t="str">
            <v>JS-Janitorial and Stewarding</v>
          </cell>
          <cell r="J183" t="str">
            <v>SVW-Serveware</v>
          </cell>
          <cell r="K183" t="str">
            <v>DRA-Display Risers, Stands &amp; Accessories</v>
          </cell>
          <cell r="L183" t="str">
            <v>#903411SL 53x32.5x15cm 1/1 Size GN Non-Slip Buffet Display Riser Silver</v>
          </cell>
        </row>
        <row r="184">
          <cell r="A184" t="str">
            <v>5712-GNHP-903412SL</v>
          </cell>
          <cell r="B184" t="str">
            <v>903412SL</v>
          </cell>
          <cell r="D184" t="str">
            <v>#903412SL, 32.5x26.5x15cm 1/2 SIZE GN NON SLIP BUFFET DISPLAY RISER, SILVER</v>
          </cell>
          <cell r="E184" t="str">
            <v>NO TAG</v>
          </cell>
          <cell r="H184">
            <v>13.12</v>
          </cell>
          <cell r="I184" t="str">
            <v>JS-Janitorial and Stewarding</v>
          </cell>
          <cell r="J184" t="str">
            <v>SVW-Serveware</v>
          </cell>
          <cell r="K184" t="str">
            <v>DRA-Display Risers, Stands &amp; Accessories</v>
          </cell>
          <cell r="L184" t="str">
            <v>#903412SL 32.5x26.5x15cm 1/2 Size GN Non-Slip Buffet Display Riser Silver</v>
          </cell>
        </row>
        <row r="185">
          <cell r="A185" t="str">
            <v>5712-IDS-9002BK</v>
          </cell>
          <cell r="B185" t="str">
            <v>WIDS-9002</v>
          </cell>
          <cell r="D185" t="str">
            <v>(DCWSL19)&lt;4170910&gt;(CONE CUP SOLD SEPARATELY) #9002,  10'' GEOMETRY CONE CUP STAND (BLACK</v>
          </cell>
          <cell r="E185" t="str">
            <v>WSL WITH STOCK</v>
          </cell>
          <cell r="H185">
            <v>4.0999999999999996</v>
          </cell>
          <cell r="I185" t="str">
            <v>JS-Janitorial and Stewarding</v>
          </cell>
          <cell r="J185" t="str">
            <v>DTW-Disposable Tableware</v>
          </cell>
          <cell r="K185" t="str">
            <v/>
          </cell>
          <cell r="L185" t="str">
            <v>#9002 10" Geometry Cone Cup Stand Black</v>
          </cell>
        </row>
        <row r="186">
          <cell r="A186" t="str">
            <v>5712-IDS-R0602BK</v>
          </cell>
          <cell r="B186" t="str">
            <v>920602BK</v>
          </cell>
          <cell r="D186" t="str">
            <v>(*SPO18-POA)#920602BK, 2"HT 3D "DANCE" DISPLAY STAND (BLACK)</v>
          </cell>
          <cell r="E186" t="str">
            <v>NO TAG</v>
          </cell>
          <cell r="H186">
            <v>4.4400000000000004</v>
          </cell>
          <cell r="I186" t="str">
            <v>JS-Janitorial and Stewarding</v>
          </cell>
          <cell r="J186" t="str">
            <v>SVW-Serveware</v>
          </cell>
          <cell r="K186" t="str">
            <v>DRA-Display Risers, Stands &amp; Accessories</v>
          </cell>
          <cell r="L186" t="str">
            <v>#920602BK H2" 3D "Dance" Display Stand Black</v>
          </cell>
        </row>
        <row r="187">
          <cell r="A187" t="str">
            <v>5712-IDS-R0602RD</v>
          </cell>
          <cell r="B187" t="str">
            <v>920602RD</v>
          </cell>
          <cell r="D187" t="str">
            <v>(*SPO18-POA)#920602RD, 2"HT 3D "DANCE" DISPLAY STAND (RED)</v>
          </cell>
          <cell r="E187" t="str">
            <v>NO TAG</v>
          </cell>
          <cell r="H187">
            <v>4.4400000000000004</v>
          </cell>
          <cell r="I187" t="str">
            <v>JS-Janitorial and Stewarding</v>
          </cell>
          <cell r="J187" t="str">
            <v>SVW-Serveware</v>
          </cell>
          <cell r="K187" t="str">
            <v>DRA-Display Risers, Stands &amp; Accessories</v>
          </cell>
          <cell r="L187" t="str">
            <v>#920602RD H2" 3D "Dance" Display Stand Red</v>
          </cell>
        </row>
        <row r="188">
          <cell r="A188" t="str">
            <v>5712-IDS-R0603BK</v>
          </cell>
          <cell r="B188" t="str">
            <v>920603BK</v>
          </cell>
          <cell r="D188" t="str">
            <v>(*SPO18-POA)#920603BK, 3"HT 3D "DANCE" DISPLAY STAND (BLACK)</v>
          </cell>
          <cell r="E188" t="str">
            <v>NO TAG</v>
          </cell>
          <cell r="H188">
            <v>4.6500000000000004</v>
          </cell>
          <cell r="I188" t="str">
            <v>JS-Janitorial and Stewarding</v>
          </cell>
          <cell r="J188" t="str">
            <v>SVW-Serveware</v>
          </cell>
          <cell r="K188" t="str">
            <v>DRA-Display Risers, Stands &amp; Accessories</v>
          </cell>
          <cell r="L188" t="str">
            <v>#920603BK H3" 3D "Dance" Display Stand Black</v>
          </cell>
        </row>
        <row r="189">
          <cell r="A189" t="str">
            <v>5712-IDS-R0603GR</v>
          </cell>
          <cell r="B189" t="str">
            <v>920603GR</v>
          </cell>
          <cell r="D189" t="str">
            <v>(*SPO18-POA)#920603GR ,3"HT 3D "DANCE" DISPLAY STAND (GREEN)</v>
          </cell>
          <cell r="E189" t="str">
            <v>NO TAG</v>
          </cell>
          <cell r="H189">
            <v>4.6500000000000004</v>
          </cell>
          <cell r="I189" t="str">
            <v>JS-Janitorial and Stewarding</v>
          </cell>
          <cell r="J189" t="str">
            <v>SVW-Serveware</v>
          </cell>
          <cell r="K189" t="str">
            <v>DRA-Display Risers, Stands &amp; Accessories</v>
          </cell>
          <cell r="L189" t="str">
            <v>#920603GR H3" 3D Dance Display Stand Green</v>
          </cell>
        </row>
        <row r="190">
          <cell r="A190" t="str">
            <v>5712-IDS-R0603RD</v>
          </cell>
          <cell r="B190" t="str">
            <v>920603RD</v>
          </cell>
          <cell r="D190" t="str">
            <v>(*SPO18-POA)#920603RD, 3"HT 3D "DANCE" DISPLAY STAND (RED)</v>
          </cell>
          <cell r="E190" t="str">
            <v>NO TAG</v>
          </cell>
          <cell r="H190">
            <v>4.6500000000000004</v>
          </cell>
          <cell r="I190" t="str">
            <v>JS-Janitorial and Stewarding</v>
          </cell>
          <cell r="J190" t="str">
            <v>SVW-Serveware</v>
          </cell>
          <cell r="K190" t="str">
            <v>DRA-Display Risers, Stands &amp; Accessories</v>
          </cell>
          <cell r="L190" t="str">
            <v>#920603RD H3" 3D "Dance" Display Stand Red</v>
          </cell>
        </row>
        <row r="191">
          <cell r="A191" t="str">
            <v>5712-IDS-R0604BK</v>
          </cell>
          <cell r="B191" t="str">
            <v>920604BK</v>
          </cell>
          <cell r="D191" t="str">
            <v>&lt;4171004&gt;(#920604BK) , 4"HT 3D "DANCE" DISPLAY STAND (BLACK)</v>
          </cell>
          <cell r="E191" t="str">
            <v>NO TAG</v>
          </cell>
          <cell r="H191">
            <v>7.05</v>
          </cell>
          <cell r="I191" t="str">
            <v>JS-Janitorial and Stewarding</v>
          </cell>
          <cell r="J191" t="str">
            <v>SVW-Serveware</v>
          </cell>
          <cell r="K191" t="str">
            <v>DRA-Display Risers, Stands &amp; Accessories</v>
          </cell>
          <cell r="L191" t="str">
            <v>#920604BK H4" 3D "Dance" Display Stand Black</v>
          </cell>
        </row>
        <row r="192">
          <cell r="A192" t="str">
            <v>5712-IDS-R0606BK</v>
          </cell>
          <cell r="B192" t="str">
            <v>920606BK</v>
          </cell>
          <cell r="D192" t="str">
            <v>(WSL22), &lt;4171006&gt;(#920606BK) , 6"HT 3D "DANCE" DISPLAY STAND (BLACK)</v>
          </cell>
          <cell r="E192" t="str">
            <v>WSL WITH STOCK</v>
          </cell>
          <cell r="H192">
            <v>10.58</v>
          </cell>
          <cell r="I192" t="str">
            <v>JS-Janitorial and Stewarding</v>
          </cell>
          <cell r="J192" t="str">
            <v>SVW-Serveware</v>
          </cell>
          <cell r="K192" t="str">
            <v>DRA-Display Risers, Stands &amp; Accessories</v>
          </cell>
          <cell r="L192" t="str">
            <v>#920606BK H6" 3D "Dance" Display Stand Black</v>
          </cell>
        </row>
        <row r="193">
          <cell r="A193" t="str">
            <v>5712-IDS-R0608BK</v>
          </cell>
          <cell r="B193" t="str">
            <v>920608BK</v>
          </cell>
          <cell r="D193" t="str">
            <v>&lt;4171008&gt;(CODE:920608BK), 8"HT 3D "DANCE" DISPLAY STAND (BLACK)</v>
          </cell>
          <cell r="E193" t="str">
            <v>NO TAG</v>
          </cell>
          <cell r="H193">
            <v>14.1</v>
          </cell>
          <cell r="I193" t="str">
            <v>JS-Janitorial and Stewarding</v>
          </cell>
          <cell r="J193" t="str">
            <v>SVW-Serveware</v>
          </cell>
          <cell r="K193" t="str">
            <v>DRA-Display Risers, Stands &amp; Accessories</v>
          </cell>
          <cell r="L193" t="str">
            <v>#920608BK H8" 3D "Dance" Display Stand Black</v>
          </cell>
        </row>
        <row r="194">
          <cell r="A194" t="str">
            <v>5712-IDS-R0704BK</v>
          </cell>
          <cell r="B194" t="str">
            <v>920704BK</v>
          </cell>
          <cell r="D194" t="str">
            <v>&lt;4171104&gt;(CODE:920704BK), 4"HT 3D "STAR" DISPLAY STAND (BLACK)</v>
          </cell>
          <cell r="E194" t="str">
            <v>NO TAG</v>
          </cell>
          <cell r="H194">
            <v>7.26</v>
          </cell>
          <cell r="I194" t="str">
            <v>JS-Janitorial and Stewarding</v>
          </cell>
          <cell r="J194" t="str">
            <v>SVW-Serveware</v>
          </cell>
          <cell r="K194" t="str">
            <v>DRA-Display Risers, Stands &amp; Accessories</v>
          </cell>
          <cell r="L194" t="str">
            <v>Star 3D Display Stand Black 4" Height</v>
          </cell>
        </row>
        <row r="195">
          <cell r="A195" t="str">
            <v>5712-IDS-R0708BK</v>
          </cell>
          <cell r="B195" t="str">
            <v>920708BK</v>
          </cell>
          <cell r="D195" t="str">
            <v>&lt;4171108&gt;#R0708, 8"HT 3D "STAR" DISPLAY STAND (BLACK)</v>
          </cell>
          <cell r="E195" t="str">
            <v>NO TAG</v>
          </cell>
          <cell r="H195">
            <v>10.27</v>
          </cell>
          <cell r="I195" t="str">
            <v>JS-Janitorial and Stewarding</v>
          </cell>
          <cell r="J195" t="str">
            <v>SVW-Serveware</v>
          </cell>
          <cell r="K195" t="str">
            <v>DRA-Display Risers, Stands &amp; Accessories</v>
          </cell>
          <cell r="L195" t="str">
            <v>#R0708 H8" 3D "Star" Display Stand Black</v>
          </cell>
        </row>
        <row r="196">
          <cell r="A196" t="str">
            <v>5712-MELA-406610ERS</v>
          </cell>
          <cell r="B196" t="str">
            <v>406610ER5</v>
          </cell>
          <cell r="D196" t="str">
            <v>#406610, DIA 10"/25cm RD MELA BOARD (OAK) EARTH</v>
          </cell>
          <cell r="E196" t="str">
            <v>NO TAG</v>
          </cell>
          <cell r="H196">
            <v>11.12</v>
          </cell>
          <cell r="I196" t="str">
            <v>JS-Janitorial and Stewarding</v>
          </cell>
          <cell r="J196" t="str">
            <v>SVW-Serveware</v>
          </cell>
          <cell r="K196" t="str">
            <v>BBC-Bread Boards/Charcuterie Boards</v>
          </cell>
          <cell r="L196" t="str">
            <v>#406610 Ø10"/25cm Round Mela Board Earth Oak</v>
          </cell>
        </row>
        <row r="197">
          <cell r="A197" t="str">
            <v>5712-MELA-406613ERS</v>
          </cell>
          <cell r="B197" t="str">
            <v>406613ER5</v>
          </cell>
          <cell r="D197" t="str">
            <v>#406613, DIA 13"/32.5cm RD MELA BOARD (OAK) EARTH</v>
          </cell>
          <cell r="E197" t="str">
            <v>NO TAG</v>
          </cell>
          <cell r="H197">
            <v>16.29</v>
          </cell>
          <cell r="I197" t="str">
            <v>JS-Janitorial and Stewarding</v>
          </cell>
          <cell r="J197" t="str">
            <v>SVW-Serveware</v>
          </cell>
          <cell r="K197" t="str">
            <v>BBC-Bread Boards/Charcuterie Boards</v>
          </cell>
          <cell r="L197" t="str">
            <v>#406613 Ø13"/32.5cm Round Mela Board Earth Oak</v>
          </cell>
        </row>
        <row r="198">
          <cell r="A198" t="str">
            <v>5712-MELA-406713ERS</v>
          </cell>
          <cell r="B198" t="str">
            <v>406713ER5</v>
          </cell>
          <cell r="D198" t="str">
            <v>#406713, L:32.5xW:20cm RECT. MELA BOARD (OAK) EARTH</v>
          </cell>
          <cell r="E198" t="str">
            <v>NO TAG</v>
          </cell>
          <cell r="H198">
            <v>12.92</v>
          </cell>
          <cell r="I198" t="str">
            <v>JS-Janitorial and Stewarding</v>
          </cell>
          <cell r="J198" t="str">
            <v>SVW-Serveware</v>
          </cell>
          <cell r="K198" t="str">
            <v>BBC-Bread Boards/Charcuterie Boards</v>
          </cell>
          <cell r="L198" t="str">
            <v>#406713 L32.5xW20cm Rectangular Mela Board Earth Oak</v>
          </cell>
        </row>
        <row r="199">
          <cell r="A199" t="str">
            <v>5712-MELA-406717ERS</v>
          </cell>
          <cell r="B199" t="str">
            <v>406717ER5</v>
          </cell>
          <cell r="D199" t="str">
            <v>#406717, L:44xW:32.5cm RECT. MELA BOARD (OAK) EARTH</v>
          </cell>
          <cell r="E199" t="str">
            <v>NO TAG</v>
          </cell>
          <cell r="H199">
            <v>22.81</v>
          </cell>
          <cell r="I199" t="str">
            <v>JS-Janitorial and Stewarding</v>
          </cell>
          <cell r="J199" t="str">
            <v>SVW-Serveware</v>
          </cell>
          <cell r="K199" t="str">
            <v>BBC-Bread Boards/Charcuterie Boards</v>
          </cell>
          <cell r="L199" t="str">
            <v>#406717 L44xW32.5cm Rectangular Mela Board Earth Oak</v>
          </cell>
        </row>
        <row r="200">
          <cell r="A200" t="str">
            <v>5712-MELA-409307ERS</v>
          </cell>
          <cell r="B200" t="str">
            <v>409307ER5</v>
          </cell>
          <cell r="D200" t="str">
            <v>#409307, DIA 7"/18cm RD MELA 2-WAY USAGE BOARD (OAK) EARTH</v>
          </cell>
          <cell r="E200" t="str">
            <v>NO TAG</v>
          </cell>
          <cell r="H200">
            <v>5.61</v>
          </cell>
          <cell r="I200" t="str">
            <v>JS-Janitorial and Stewarding</v>
          </cell>
          <cell r="J200" t="str">
            <v>SVW-Serveware</v>
          </cell>
          <cell r="K200" t="str">
            <v>BBC-Bread Boards/Charcuterie Boards</v>
          </cell>
          <cell r="L200" t="str">
            <v>#409307 Ø7"/18cm 2-Way Usage Mela Board Oak</v>
          </cell>
        </row>
        <row r="201">
          <cell r="A201" t="str">
            <v>5712-MELA-409307PW9</v>
          </cell>
          <cell r="B201" t="str">
            <v>409307PW9</v>
          </cell>
          <cell r="D201" t="str">
            <v>#409307PW9, DIA 7"/18cm RD MELA 2-WAY USAGE BOARD,WHITE CARRARA</v>
          </cell>
          <cell r="E201" t="str">
            <v>NO TAG</v>
          </cell>
          <cell r="H201">
            <v>5.6</v>
          </cell>
          <cell r="I201" t="str">
            <v>JS-Janitorial and Stewarding</v>
          </cell>
          <cell r="J201" t="str">
            <v>SVW-Serveware</v>
          </cell>
          <cell r="K201" t="str">
            <v>BBC-Bread Boards/Charcuterie Boards</v>
          </cell>
          <cell r="L201" t="str">
            <v>#409307PW9 Ø7"/18cm Round 2-Way Usage Mela Board White Carrara</v>
          </cell>
        </row>
        <row r="202">
          <cell r="A202" t="str">
            <v>5712-MELA-409309ERS</v>
          </cell>
          <cell r="B202" t="str">
            <v>409309ER5</v>
          </cell>
          <cell r="D202" t="str">
            <v>#409309, DIA 9"/23cm RD MELA 2-WAY USAGE BOARD (OAK) EARTH</v>
          </cell>
          <cell r="E202" t="str">
            <v>NO TAG</v>
          </cell>
          <cell r="H202">
            <v>8.99</v>
          </cell>
          <cell r="I202" t="str">
            <v>JS-Janitorial and Stewarding</v>
          </cell>
          <cell r="J202" t="str">
            <v>SVW-Serveware</v>
          </cell>
          <cell r="K202" t="str">
            <v>BBC-Bread Boards/Charcuterie Boards</v>
          </cell>
          <cell r="L202" t="str">
            <v>#409309 Ø9" 23cm 2-Way Usage Round Mela Board Earth Oak</v>
          </cell>
        </row>
        <row r="203">
          <cell r="A203" t="str">
            <v>5712-MELA-409309PW9</v>
          </cell>
          <cell r="B203" t="str">
            <v>409309PW9</v>
          </cell>
          <cell r="D203" t="str">
            <v>#409309PW9, DIA 9"/23cm RD MELA 2-WAY USAGE BOARD, WHITE CARRARA</v>
          </cell>
          <cell r="E203" t="str">
            <v>NO TAG</v>
          </cell>
          <cell r="H203">
            <v>7.5</v>
          </cell>
          <cell r="I203" t="str">
            <v>JS-Janitorial and Stewarding</v>
          </cell>
          <cell r="J203" t="str">
            <v>SVW-Serveware</v>
          </cell>
          <cell r="K203" t="str">
            <v>BBC-Bread Boards/Charcuterie Boards</v>
          </cell>
          <cell r="L203" t="str">
            <v>#409309PW9 Ø9"/23cm 2-Way Usage Round Mela Board White Carrara</v>
          </cell>
        </row>
        <row r="204">
          <cell r="A204" t="str">
            <v>5712-MELA-409311ERS</v>
          </cell>
          <cell r="B204" t="str">
            <v>409311ER5</v>
          </cell>
          <cell r="D204" t="str">
            <v>(WSL24)#409311, DIA 11"/28cm RD MELA 2-WAY USAGE BOARD (OAK) EARTH</v>
          </cell>
          <cell r="E204" t="str">
            <v>WSL WITH STOCK</v>
          </cell>
          <cell r="H204">
            <v>12.6</v>
          </cell>
          <cell r="I204" t="str">
            <v>JS-Janitorial and Stewarding</v>
          </cell>
          <cell r="J204" t="str">
            <v>SVW-Serveware</v>
          </cell>
          <cell r="K204" t="str">
            <v>BBC-Bread Boards/Charcuterie Boards</v>
          </cell>
          <cell r="L204" t="str">
            <v>#409311 Ø11"/28cm2-Way Usage Round Mela  Board Earth Oak</v>
          </cell>
        </row>
        <row r="205">
          <cell r="A205" t="str">
            <v>5712-MELA-409311PW9</v>
          </cell>
          <cell r="B205" t="str">
            <v>409311PW9</v>
          </cell>
          <cell r="D205" t="str">
            <v>#409311PW9, DIA 11"/28cm RD MELA 2-WAY USAGE BOARD,WHITE CARRARA</v>
          </cell>
          <cell r="E205" t="str">
            <v>NO TAG</v>
          </cell>
          <cell r="H205">
            <v>12.4</v>
          </cell>
          <cell r="I205" t="str">
            <v>JS-Janitorial and Stewarding</v>
          </cell>
          <cell r="J205" t="str">
            <v>SVW-Serveware</v>
          </cell>
          <cell r="K205" t="str">
            <v>BBC-Bread Boards/Charcuterie Boards</v>
          </cell>
          <cell r="L205" t="str">
            <v>#409311PW9 Ø11"/28cm 2-Way Usage Round Mela Board White Carrara</v>
          </cell>
        </row>
        <row r="206">
          <cell r="A206" t="str">
            <v>5712-MINI-520105BK</v>
          </cell>
          <cell r="B206" t="str">
            <v>520105BK</v>
          </cell>
          <cell r="D206" t="str">
            <v>(D:12.5x10.5cm) MELAMINE "LITTLE CHEF" 5" MINI RECT. PAN W/ONE HDLE (BLACK)</v>
          </cell>
          <cell r="E206" t="str">
            <v>NO TAG</v>
          </cell>
          <cell r="H206">
            <v>3.35</v>
          </cell>
          <cell r="I206" t="str">
            <v>JS-Janitorial and Stewarding</v>
          </cell>
          <cell r="J206" t="str">
            <v>BW-Bakeware</v>
          </cell>
          <cell r="K206" t="str">
            <v>BPT-Baking Pans &amp; Trays</v>
          </cell>
          <cell r="L206" t="str">
            <v>Melamine Ø12.5x10.5cm 5" "Little Chef" Mini Rectangular Pan Black with One Handle</v>
          </cell>
        </row>
        <row r="207">
          <cell r="A207" t="str">
            <v>5712-MINI-520204BK</v>
          </cell>
          <cell r="B207" t="str">
            <v>520204BK</v>
          </cell>
          <cell r="D207" t="str">
            <v>(D:11cm) MELAMINE "LITTLE CHEF" 5" MINI ROUND PAN W/ONE HDLE (BLACK)</v>
          </cell>
          <cell r="E207" t="str">
            <v>NO TAG</v>
          </cell>
          <cell r="H207">
            <v>2.72</v>
          </cell>
          <cell r="I207" t="str">
            <v>JS-Janitorial and Stewarding</v>
          </cell>
          <cell r="J207" t="str">
            <v>CW-Cookware</v>
          </cell>
          <cell r="K207" t="str">
            <v>PN-Pans</v>
          </cell>
          <cell r="L207" t="str">
            <v>Melamine Ø11cm  5"  "Little Chef"Mini Round Pan Black with One Handle</v>
          </cell>
        </row>
        <row r="208">
          <cell r="A208" t="str">
            <v>5712-MINI-520208BK</v>
          </cell>
          <cell r="B208" t="str">
            <v>520208BK</v>
          </cell>
          <cell r="D208" t="str">
            <v>(D:20cm) MELAMINE "LITTLE CHEF" 8" ROUND PAN W/ONE HDLE (BLACK)</v>
          </cell>
          <cell r="E208" t="str">
            <v>NO TAG</v>
          </cell>
          <cell r="H208">
            <v>8.08</v>
          </cell>
          <cell r="I208" t="str">
            <v>JS-Janitorial and Stewarding</v>
          </cell>
          <cell r="J208" t="str">
            <v>CW-Cookware</v>
          </cell>
          <cell r="K208" t="str">
            <v>PN-Pans</v>
          </cell>
          <cell r="L208" t="str">
            <v>Melamine Ø20cm 8" "Little Chef" Round Pan Black with One Handle</v>
          </cell>
        </row>
        <row r="209">
          <cell r="A209" t="str">
            <v>5712-MINI-520310BK</v>
          </cell>
          <cell r="B209" t="str">
            <v>520310BK</v>
          </cell>
          <cell r="D209" t="str">
            <v>L:32xw:16.2xht:2cm, MELAMINE "LITTLE CHEF" 10" RECT GRILL PAN W/2 HDLE, BLACK</v>
          </cell>
          <cell r="E209" t="str">
            <v>NO TAG</v>
          </cell>
          <cell r="H209">
            <v>9.1</v>
          </cell>
          <cell r="I209" t="str">
            <v>JS-Janitorial and Stewarding</v>
          </cell>
          <cell r="J209" t="str">
            <v>CW-Cookware</v>
          </cell>
          <cell r="K209" t="str">
            <v>PN-Pans</v>
          </cell>
          <cell r="L209" t="str">
            <v>Melamine 10" L32xW16.2xH2cm Rectangular Grill Pan Little Chef Black with 2 Handles</v>
          </cell>
        </row>
        <row r="210">
          <cell r="A210" t="str">
            <v>5712-MINI-520404BK</v>
          </cell>
          <cell r="B210" t="str">
            <v>520404BK</v>
          </cell>
          <cell r="D210" t="str">
            <v>(D:11cm) MELAMINE "LITTLE CHEF" 4" MINI ROUND PAN W/2 HDLE (BLACK)</v>
          </cell>
          <cell r="E210" t="str">
            <v>NO TAG</v>
          </cell>
          <cell r="H210">
            <v>2.64</v>
          </cell>
          <cell r="I210" t="str">
            <v>JS-Janitorial and Stewarding</v>
          </cell>
          <cell r="J210" t="str">
            <v>BW-Bakeware</v>
          </cell>
          <cell r="K210" t="str">
            <v>BPT-Baking Pans &amp; Trays</v>
          </cell>
          <cell r="L210" t="str">
            <v>Melamine Ø11cm 4" "Little Chef" Mini Round Pan Black with 2 Handles</v>
          </cell>
        </row>
        <row r="211">
          <cell r="A211" t="str">
            <v>5712-MINI-520406BK</v>
          </cell>
          <cell r="B211" t="str">
            <v>520406BK</v>
          </cell>
          <cell r="D211" t="str">
            <v>(D:14.5cm) MELAMINE "LITTLE CHEF" 6" MINI ROUND PAN W/2 HDLE (BLACK)</v>
          </cell>
          <cell r="E211" t="str">
            <v>NO TAG</v>
          </cell>
          <cell r="H211">
            <v>4.07</v>
          </cell>
          <cell r="I211" t="str">
            <v>JS-Janitorial and Stewarding</v>
          </cell>
          <cell r="J211" t="str">
            <v>BW-Bakeware</v>
          </cell>
          <cell r="K211" t="str">
            <v>BPT-Baking Pans &amp; Trays</v>
          </cell>
          <cell r="L211" t="str">
            <v>Melamine Ø14.5cm 6" "Little Chef" Mini Round Pan Black with 2 Handles</v>
          </cell>
        </row>
        <row r="212">
          <cell r="A212" t="str">
            <v>5712-MINI-520605BK</v>
          </cell>
          <cell r="B212" t="str">
            <v>520605BK</v>
          </cell>
          <cell r="D212" t="str">
            <v>(D:12cm) MELAMINE "LITTLE CHEF" 5" MINI OVAL PAN W/2 HDLE (BLACK)</v>
          </cell>
          <cell r="E212" t="str">
            <v>NO TAG</v>
          </cell>
          <cell r="H212">
            <v>2.06</v>
          </cell>
          <cell r="I212" t="str">
            <v>JS-Janitorial and Stewarding</v>
          </cell>
          <cell r="J212" t="str">
            <v>CW-Cookware</v>
          </cell>
          <cell r="K212" t="str">
            <v>PN-Pans</v>
          </cell>
          <cell r="L212" t="str">
            <v>Melamine Ø12cm 5" "Little Chef" Mini Oval Pan Black with 2 Handles</v>
          </cell>
        </row>
        <row r="213">
          <cell r="A213" t="str">
            <v>5712-MINI-520685BK</v>
          </cell>
          <cell r="B213" t="str">
            <v>520685BK</v>
          </cell>
          <cell r="D213" t="str">
            <v>(D:21cm) MELAMINE "LITTLE CHEF" 8" MINI OVAL PAN W/2 HDLE (BLACK)</v>
          </cell>
          <cell r="E213" t="str">
            <v>NO TAG</v>
          </cell>
          <cell r="H213">
            <v>5.43</v>
          </cell>
          <cell r="I213" t="str">
            <v>JS-Janitorial and Stewarding</v>
          </cell>
          <cell r="J213" t="str">
            <v>CW-Cookware</v>
          </cell>
          <cell r="K213" t="str">
            <v>PN-Pans</v>
          </cell>
          <cell r="L213" t="str">
            <v>Melamine Ø21cm 8" "Little Chef" Mini Oval Pan Black with 2 Handles</v>
          </cell>
        </row>
        <row r="214">
          <cell r="A214" t="str">
            <v>5712-MINI-530413BK</v>
          </cell>
          <cell r="B214" t="str">
            <v>530413BK</v>
          </cell>
          <cell r="D214" t="str">
            <v>(D:32cm) MELAMINE "LITTLE CHEF" 13" SALAD WOK BOWL, BLACK</v>
          </cell>
          <cell r="E214" t="str">
            <v>NO TAG</v>
          </cell>
          <cell r="H214">
            <v>13.82</v>
          </cell>
          <cell r="I214" t="str">
            <v>JS-Janitorial and Stewarding</v>
          </cell>
          <cell r="J214" t="str">
            <v>SVW-Serveware</v>
          </cell>
          <cell r="K214" t="str">
            <v>MSA-Miscellaneous Serving Accessories</v>
          </cell>
          <cell r="L214" t="str">
            <v>Melamine Ø32cm 13" "Little Chef" Salad Wok Bowl Black</v>
          </cell>
        </row>
        <row r="215">
          <cell r="A215" t="str">
            <v>5712-MINI-530415BK</v>
          </cell>
          <cell r="B215" t="str">
            <v>530415BK</v>
          </cell>
          <cell r="D215" t="str">
            <v>(D:39cm) MELAMINE "LITTLE CHEF" 15" SALAD WOK BOWL, BLACK</v>
          </cell>
          <cell r="E215" t="str">
            <v>NO TAG</v>
          </cell>
          <cell r="H215">
            <v>26.7</v>
          </cell>
          <cell r="I215" t="str">
            <v>JS-Janitorial and Stewarding</v>
          </cell>
          <cell r="J215" t="str">
            <v>SVW-Serveware</v>
          </cell>
          <cell r="K215" t="str">
            <v>MSA-Miscellaneous Serving Accessories</v>
          </cell>
          <cell r="L215" t="str">
            <v>Melamine Ø39cm 15" "Little Chef" Salad Wok Bowl Black</v>
          </cell>
        </row>
        <row r="216">
          <cell r="A216" t="str">
            <v>5712-MINI-530417BK</v>
          </cell>
          <cell r="B216" t="str">
            <v>530417BK</v>
          </cell>
          <cell r="D216" t="str">
            <v>(D:44cm) MELAMINE "LITTLE CHEF" 17" SALAD WOK BOWL, BLACK</v>
          </cell>
          <cell r="E216" t="str">
            <v>NO TAG</v>
          </cell>
          <cell r="H216">
            <v>35.6</v>
          </cell>
          <cell r="I216" t="str">
            <v>JS-Janitorial and Stewarding</v>
          </cell>
          <cell r="J216" t="str">
            <v>SVW-Serveware</v>
          </cell>
          <cell r="K216" t="str">
            <v>MSA-Miscellaneous Serving Accessories</v>
          </cell>
          <cell r="L216" t="str">
            <v>Melamine Ø44cm17" "Little Chef"  Salad Wok Bowl Black</v>
          </cell>
        </row>
        <row r="217">
          <cell r="A217" t="str">
            <v>5712-PC-GN-540511TR</v>
          </cell>
          <cell r="B217" t="str">
            <v>540511TR</v>
          </cell>
          <cell r="D217" t="str">
            <v>1/1, 53X33XHT:10cm FLAT TOP TRANSPARENT PC COVER ONLY (*NO BASE)</v>
          </cell>
          <cell r="E217" t="str">
            <v>NO TAG</v>
          </cell>
          <cell r="H217">
            <v>37.15</v>
          </cell>
          <cell r="I217" t="str">
            <v>JS-Janitorial and Stewarding</v>
          </cell>
          <cell r="J217" t="str">
            <v/>
          </cell>
          <cell r="K217" t="str">
            <v/>
          </cell>
          <cell r="L217" t="str">
            <v>1/1 PC 53x33xH10cm Flat Top Cover Transparent</v>
          </cell>
        </row>
        <row r="218">
          <cell r="A218" t="str">
            <v>5712-PC-GN-540512TR</v>
          </cell>
          <cell r="B218" t="str">
            <v>540512TR</v>
          </cell>
          <cell r="D218" t="str">
            <v>1/2, 33X27XHT:10cm FLAT TOP TRANSPARENT PC COVER ONLY (*NO BASE)</v>
          </cell>
          <cell r="E218" t="str">
            <v>NO TAG</v>
          </cell>
          <cell r="H218">
            <v>20.48</v>
          </cell>
          <cell r="I218" t="str">
            <v>JS-Janitorial and Stewarding</v>
          </cell>
          <cell r="J218" t="str">
            <v/>
          </cell>
          <cell r="K218" t="str">
            <v/>
          </cell>
          <cell r="L218" t="str">
            <v>1/2 PC 33x27xH10cm Flat Top Cover Transparent</v>
          </cell>
        </row>
        <row r="219">
          <cell r="A219" t="str">
            <v>5712-PC-GN-540513TR</v>
          </cell>
          <cell r="B219" t="str">
            <v>540513TR</v>
          </cell>
          <cell r="D219" t="str">
            <v>(WSL19)1/3, 33X18.3XHT:10cm FLAT TOP TRANSPARENT PC COVER ONLY (*NO BASE)</v>
          </cell>
          <cell r="E219" t="str">
            <v>WSL WITH STOCK</v>
          </cell>
          <cell r="H219">
            <v>18.809999999999999</v>
          </cell>
          <cell r="I219" t="str">
            <v>JS-Janitorial and Stewarding</v>
          </cell>
          <cell r="J219" t="str">
            <v/>
          </cell>
          <cell r="K219" t="str">
            <v/>
          </cell>
          <cell r="L219" t="str">
            <v>1/3 PC 33x18.3xH10cm Flat Top Cover Transparent</v>
          </cell>
        </row>
        <row r="220">
          <cell r="A220" t="str">
            <v>5712-PC-GN-541111</v>
          </cell>
          <cell r="B220">
            <v>541111</v>
          </cell>
          <cell r="D220" t="str">
            <v>1/1, 53X33XHT:10cm ROLL TOP TRANSPARENT PC COVER ONLY (*NO BASE)</v>
          </cell>
          <cell r="E220" t="str">
            <v>NO TAG</v>
          </cell>
          <cell r="H220">
            <v>37.299999999999997</v>
          </cell>
          <cell r="I220" t="str">
            <v>JS-Janitorial and Stewarding</v>
          </cell>
          <cell r="J220" t="str">
            <v/>
          </cell>
          <cell r="K220" t="str">
            <v/>
          </cell>
          <cell r="L220" t="str">
            <v>1/1 PC 53x33xH10cm Roll Top Cover Transparent</v>
          </cell>
        </row>
        <row r="221">
          <cell r="A221" t="str">
            <v>5712-PC-GN-541112</v>
          </cell>
          <cell r="B221">
            <v>541112</v>
          </cell>
          <cell r="D221" t="str">
            <v>1/2, 33X27XHT:10cm ROLL TOP TRANSPARENT PC COVER ONLY (*NO BASE)</v>
          </cell>
          <cell r="E221" t="str">
            <v>NO TAG</v>
          </cell>
          <cell r="H221">
            <v>26.3</v>
          </cell>
          <cell r="I221" t="str">
            <v>JS-Janitorial and Stewarding</v>
          </cell>
          <cell r="J221" t="str">
            <v/>
          </cell>
          <cell r="K221" t="str">
            <v/>
          </cell>
          <cell r="L221" t="str">
            <v xml:space="preserve">1/2 PC33x27xH10cm Roll Top Cover Transparent </v>
          </cell>
        </row>
        <row r="222">
          <cell r="A222" t="str">
            <v>5712-PC-SO-530207</v>
          </cell>
          <cell r="B222">
            <v>530207</v>
          </cell>
          <cell r="D222" t="str">
            <v>D:17xHT:10.8cm 7" "SOPHIE" CLEAR PC CAKE COVER ONLY (*NO BASE)</v>
          </cell>
          <cell r="E222" t="str">
            <v>NO TAG</v>
          </cell>
          <cell r="H222">
            <v>8</v>
          </cell>
          <cell r="I222" t="str">
            <v>JS-Janitorial and Stewarding</v>
          </cell>
          <cell r="J222" t="str">
            <v>BW-Bakeware</v>
          </cell>
          <cell r="K222" t="str">
            <v/>
          </cell>
          <cell r="L222" t="str">
            <v>Sophie PC Ø17xH10.8cm 7" Cake Cover Clear</v>
          </cell>
        </row>
        <row r="223">
          <cell r="A223" t="str">
            <v>5712-PC-SO-530209</v>
          </cell>
          <cell r="B223">
            <v>530209</v>
          </cell>
          <cell r="D223" t="str">
            <v>D:22xHT:13.4cm 9" "SOPHIE" CLEAR PC CAKE COVER ONLY (*NO BASE)</v>
          </cell>
          <cell r="E223" t="str">
            <v>NO TAG</v>
          </cell>
          <cell r="H223">
            <v>11.6</v>
          </cell>
          <cell r="I223" t="str">
            <v>JS-Janitorial and Stewarding</v>
          </cell>
          <cell r="J223" t="str">
            <v>BW-Bakeware</v>
          </cell>
          <cell r="K223" t="str">
            <v/>
          </cell>
          <cell r="L223" t="str">
            <v>Sophie PC Ø22xH13.4cm 9" Cake Cover Clear</v>
          </cell>
        </row>
        <row r="224">
          <cell r="A224" t="str">
            <v>5712-PC-SO-530211</v>
          </cell>
          <cell r="B224">
            <v>530211</v>
          </cell>
          <cell r="D224" t="str">
            <v>D:27xHT:16.6cm 11" "SOPHIE" CLEAR PC CAKE COVER ONLY (*NO BASE)</v>
          </cell>
          <cell r="E224" t="str">
            <v>NO TAG</v>
          </cell>
          <cell r="H224">
            <v>14.9</v>
          </cell>
          <cell r="I224" t="str">
            <v>JS-Janitorial and Stewarding</v>
          </cell>
          <cell r="J224" t="str">
            <v>BW-Bakeware</v>
          </cell>
          <cell r="K224" t="str">
            <v/>
          </cell>
          <cell r="L224" t="str">
            <v>Sophie PC Ø27xH16.6cm 11" Cake Cover Clear</v>
          </cell>
        </row>
        <row r="225">
          <cell r="A225" t="str">
            <v>5712-R-222410GS-GY</v>
          </cell>
          <cell r="B225" t="str">
            <v>222410GS</v>
          </cell>
          <cell r="D225" t="str">
            <v>222410GS, D:24.5cm  2.5 LTR MELAMINE "ROCKY" TRIANGLE BOWL (GREY)</v>
          </cell>
          <cell r="E225" t="str">
            <v>NO TAG</v>
          </cell>
          <cell r="H225">
            <v>14.96</v>
          </cell>
          <cell r="I225" t="str">
            <v>JS-Janitorial and Stewarding</v>
          </cell>
          <cell r="J225" t="str">
            <v>SVW-Serveware</v>
          </cell>
          <cell r="K225" t="str">
            <v>MSA-Miscellaneous Serving Accessories</v>
          </cell>
          <cell r="L225" t="str">
            <v>222410GS Melamine Ø24.5cm 2.5L Rocky Triangle Bowl Grey</v>
          </cell>
        </row>
        <row r="226">
          <cell r="A226" t="str">
            <v>5712-R-222410WS-WHT</v>
          </cell>
          <cell r="B226" t="str">
            <v>222410WS</v>
          </cell>
          <cell r="D226" t="str">
            <v>222410WS, D:24.5cm  2.5 LTR MELAMINE "ROCKY" TRIANGLE BOWL (WHITE)</v>
          </cell>
          <cell r="E226" t="str">
            <v>NO TAG</v>
          </cell>
          <cell r="H226">
            <v>14.96</v>
          </cell>
          <cell r="I226" t="str">
            <v>JS-Janitorial and Stewarding</v>
          </cell>
          <cell r="J226" t="str">
            <v>SVW-Serveware</v>
          </cell>
          <cell r="K226" t="str">
            <v>MSA-Miscellaneous Serving Accessories</v>
          </cell>
          <cell r="L226" t="str">
            <v>222410WS Melamine Ø24.5cm 2.5L Rocky Triangle Bowl White</v>
          </cell>
        </row>
        <row r="227">
          <cell r="A227" t="str">
            <v>5712-R-222411GS-GY</v>
          </cell>
          <cell r="B227" t="str">
            <v>222411GS</v>
          </cell>
          <cell r="D227" t="str">
            <v>222411GS, D:27.5cm  3.6 LTR MELAMINE "ROCKY" TRIANGLE BOWL (GREY)</v>
          </cell>
          <cell r="E227" t="str">
            <v>NO TAG</v>
          </cell>
          <cell r="H227">
            <v>16.02</v>
          </cell>
          <cell r="I227" t="str">
            <v>JS-Janitorial and Stewarding</v>
          </cell>
          <cell r="J227" t="str">
            <v>SVW-Serveware</v>
          </cell>
          <cell r="K227" t="str">
            <v>MSA-Miscellaneous Serving Accessories</v>
          </cell>
          <cell r="L227" t="str">
            <v>222411GS Melamine Ø27.5cm 3.6L Rocky Triangle Bowl Grey</v>
          </cell>
        </row>
        <row r="228">
          <cell r="A228" t="str">
            <v>5712-R-222411WS-WHT</v>
          </cell>
          <cell r="B228" t="str">
            <v>222411WS</v>
          </cell>
          <cell r="D228" t="str">
            <v>222411WS, D:27.5cm  3.6 LTR MELAMINE "ROCKY" TRIANGLE BOWL (WHITE)</v>
          </cell>
          <cell r="E228" t="str">
            <v>NO TAG</v>
          </cell>
          <cell r="H228">
            <v>16.02</v>
          </cell>
          <cell r="I228" t="str">
            <v>JS-Janitorial and Stewarding</v>
          </cell>
          <cell r="J228" t="str">
            <v>SVW-Serveware</v>
          </cell>
          <cell r="K228" t="str">
            <v>MSA-Miscellaneous Serving Accessories</v>
          </cell>
          <cell r="L228" t="str">
            <v>222411WS Melamine Ø27.5cm 3.6L Rocky Triangle Bowl White</v>
          </cell>
        </row>
        <row r="229">
          <cell r="A229" t="str">
            <v>5712-R-222414GS-GY</v>
          </cell>
          <cell r="B229" t="str">
            <v>222414GS</v>
          </cell>
          <cell r="D229" t="str">
            <v>(WSL22), 222414GS, D:34.5cm  7 LTR MELAMINE "ROCKY" TRIANGLE BOWL (GREY)</v>
          </cell>
          <cell r="E229" t="str">
            <v>WSL WITH STOCK</v>
          </cell>
          <cell r="H229">
            <v>31.26</v>
          </cell>
          <cell r="I229" t="str">
            <v>JS-Janitorial and Stewarding</v>
          </cell>
          <cell r="J229" t="str">
            <v>SVW-Serveware</v>
          </cell>
          <cell r="K229" t="str">
            <v/>
          </cell>
          <cell r="L229" t="str">
            <v>222414GS Ø34.5cm 7L Rocky Triangle Bowl Grey</v>
          </cell>
        </row>
        <row r="230">
          <cell r="A230" t="str">
            <v>5712-R-222414WS-WHT</v>
          </cell>
          <cell r="B230" t="str">
            <v>222414WS</v>
          </cell>
          <cell r="D230" t="str">
            <v>(WSL22) 222414WS, D:34.5cm  7 LTR MELAMINE "ROCKY" TRIANGLE BOWL (WHITE)</v>
          </cell>
          <cell r="E230" t="str">
            <v>WSL WITH STOCK</v>
          </cell>
          <cell r="H230">
            <v>31.26</v>
          </cell>
          <cell r="I230" t="str">
            <v>JS-Janitorial and Stewarding</v>
          </cell>
          <cell r="J230" t="str">
            <v>SVW-Serveware</v>
          </cell>
          <cell r="K230" t="str">
            <v>MSA-Miscellaneous Serving Accessories</v>
          </cell>
          <cell r="L230" t="str">
            <v>222414WS Melamine Ø34.5cm 7L Rocky Triangle Bowl White</v>
          </cell>
        </row>
        <row r="231">
          <cell r="A231" t="str">
            <v>5712-RIP-226003ST</v>
          </cell>
          <cell r="B231" t="str">
            <v>226003ST</v>
          </cell>
          <cell r="D231" t="str">
            <v>#226003ST, Ø7.8x4.3cm 4oz ROUND MELAMINE RAMEKIN, TERRACOTA SAND</v>
          </cell>
          <cell r="E231" t="str">
            <v>NO TAG</v>
          </cell>
          <cell r="H231">
            <v>1.34</v>
          </cell>
          <cell r="I231" t="str">
            <v>JS-Janitorial and Stewarding</v>
          </cell>
          <cell r="J231" t="str">
            <v>SVW-Serveware</v>
          </cell>
          <cell r="K231" t="str">
            <v>MSA-Miscellaneous Serving Accessories</v>
          </cell>
          <cell r="L231" t="str">
            <v>#226003ST Melamine Ø7.8x4.3cm 4oz Round Ramekin Terracotta Sand</v>
          </cell>
        </row>
        <row r="232">
          <cell r="A232" t="str">
            <v>5712-RIP-226008ST</v>
          </cell>
          <cell r="B232" t="str">
            <v>226008ST</v>
          </cell>
          <cell r="D232" t="str">
            <v>#226008ST, Ø20x7cm 8" ROUND LOW BOWL, TERRACOTA SAND</v>
          </cell>
          <cell r="E232" t="str">
            <v>NO TAG</v>
          </cell>
          <cell r="H232">
            <v>6.89</v>
          </cell>
          <cell r="I232" t="str">
            <v>JS-Janitorial and Stewarding</v>
          </cell>
          <cell r="J232" t="str">
            <v>DWR-Dinnerware</v>
          </cell>
          <cell r="K232" t="str">
            <v>BWL-Bowls</v>
          </cell>
          <cell r="L232" t="str">
            <v>#226008ST Ø20x7cm 8" Round Low Bowl Terracota Sand</v>
          </cell>
        </row>
        <row r="233">
          <cell r="A233" t="str">
            <v>5712-RIP-226010ST</v>
          </cell>
          <cell r="B233" t="str">
            <v>226010ST</v>
          </cell>
          <cell r="D233" t="str">
            <v>#226010ST, Ø25x15cm 10" ROUND RIPPLE DEEP BOWL, TERRACOTA SAND</v>
          </cell>
          <cell r="E233" t="str">
            <v>NO TAG</v>
          </cell>
          <cell r="H233">
            <v>15.01</v>
          </cell>
          <cell r="I233" t="str">
            <v>JS-Janitorial and Stewarding</v>
          </cell>
          <cell r="J233" t="str">
            <v>DWR-Dinnerware</v>
          </cell>
          <cell r="K233" t="str">
            <v>BWL-Bowls</v>
          </cell>
          <cell r="L233" t="str">
            <v>#226010ST Ø25x15cm 10" Round Ripple Deep Bowl Terracota Sand</v>
          </cell>
        </row>
        <row r="234">
          <cell r="A234" t="str">
            <v>5712-RIP-226012ST</v>
          </cell>
          <cell r="B234" t="str">
            <v>226012ST</v>
          </cell>
          <cell r="D234" t="str">
            <v>#226012ST, Ø30.5x13cm 12" ROUND RIPPLE SALAD BOWL, TERRACOTA SAND</v>
          </cell>
          <cell r="E234" t="str">
            <v>NO TAG</v>
          </cell>
          <cell r="H234">
            <v>18.32</v>
          </cell>
          <cell r="I234" t="str">
            <v>JS-Janitorial and Stewarding</v>
          </cell>
          <cell r="J234" t="str">
            <v>SVW-Serveware</v>
          </cell>
          <cell r="K234" t="str">
            <v>MSA-Miscellaneous Serving Accessories</v>
          </cell>
          <cell r="L234" t="str">
            <v>#226012ST Ø30.5x13cm 12" Round Ripple Salad Bowl Terracota Sand</v>
          </cell>
        </row>
        <row r="235">
          <cell r="A235" t="str">
            <v>5712-RIP-226025ST</v>
          </cell>
          <cell r="B235" t="str">
            <v>226025ST</v>
          </cell>
          <cell r="D235" t="str">
            <v>#226025ST, Ø6.2x3.5cm 2oz ROUND MELAMINE RAMEKIN, TERRACOTA SAND</v>
          </cell>
          <cell r="E235" t="str">
            <v>NO TAG</v>
          </cell>
          <cell r="H235">
            <v>0.95</v>
          </cell>
          <cell r="I235" t="str">
            <v>JS-Janitorial and Stewarding</v>
          </cell>
          <cell r="J235" t="str">
            <v>SVW-Serveware</v>
          </cell>
          <cell r="K235" t="str">
            <v>MSA-Miscellaneous Serving Accessories</v>
          </cell>
          <cell r="L235" t="str">
            <v>#226025ST Melamine Ø6.2x3.5cm 2oz Round Ramekin Terracotta Sand</v>
          </cell>
        </row>
        <row r="236">
          <cell r="A236" t="str">
            <v>5712-RIP-226028ST</v>
          </cell>
          <cell r="B236" t="str">
            <v>226028ST</v>
          </cell>
          <cell r="D236" t="str">
            <v>#226028ST, Ø6.7x3.6cm 2.4oz ROUND MELAMINE RAMEKIN, TERRACOTA SAND</v>
          </cell>
          <cell r="E236" t="str">
            <v>NO TAG</v>
          </cell>
          <cell r="H236">
            <v>1.02</v>
          </cell>
          <cell r="I236" t="str">
            <v>JS-Janitorial and Stewarding</v>
          </cell>
          <cell r="J236" t="str">
            <v>SVW-Serveware</v>
          </cell>
          <cell r="K236" t="str">
            <v>MSA-Miscellaneous Serving Accessories</v>
          </cell>
          <cell r="L236" t="str">
            <v>#226028ST Melamine Ø6.7xH3.6cm 2.4oz Round Ramekin Terracotta Sand</v>
          </cell>
        </row>
        <row r="237">
          <cell r="A237" t="str">
            <v>5712-RIP-226055ST</v>
          </cell>
          <cell r="B237" t="str">
            <v>226055ST</v>
          </cell>
          <cell r="D237" t="str">
            <v>#226055ST, Ø14x9cm 5.5" ROUND DEEP BOWL, TERRACOTA SAND</v>
          </cell>
          <cell r="E237" t="str">
            <v>NO TAG</v>
          </cell>
          <cell r="H237">
            <v>4.3899999999999997</v>
          </cell>
          <cell r="I237" t="str">
            <v>JS-Janitorial and Stewarding</v>
          </cell>
          <cell r="J237" t="str">
            <v>DWR-Dinnerware</v>
          </cell>
          <cell r="K237" t="str">
            <v>BWL-Bowls</v>
          </cell>
          <cell r="L237" t="str">
            <v>#226055ST Ø14x9cm 5.5" Round Deep Bowl Terracota Sand</v>
          </cell>
        </row>
        <row r="238">
          <cell r="A238" t="str">
            <v>5712-ROC-525901-GS</v>
          </cell>
          <cell r="B238" t="str">
            <v>525901GS</v>
          </cell>
          <cell r="D238" t="str">
            <v>#525901-GS, 1 oz MELAMINE "ROCKY" TRI. RAMEKIN (STONE GREY)</v>
          </cell>
          <cell r="E238" t="str">
            <v>NO TAG</v>
          </cell>
          <cell r="H238">
            <v>0.7</v>
          </cell>
          <cell r="I238" t="str">
            <v>JS-Janitorial and Stewarding</v>
          </cell>
          <cell r="J238" t="str">
            <v>SVW-Serveware</v>
          </cell>
          <cell r="K238" t="str">
            <v>MSA-Miscellaneous Serving Accessories</v>
          </cell>
          <cell r="L238" t="str">
            <v>#525901-GS Melamine 1 oz Rocky Triangular Ramekin Stone Grey</v>
          </cell>
        </row>
        <row r="239">
          <cell r="A239" t="str">
            <v>5712-ROC-525901-WS</v>
          </cell>
          <cell r="B239" t="str">
            <v>525901WS</v>
          </cell>
          <cell r="D239" t="str">
            <v>#525901-WS, 1 oz MELAMINE "ROCKY" TRI. RAMEKIN (WHITE STONE)</v>
          </cell>
          <cell r="E239" t="str">
            <v>NO TAG</v>
          </cell>
          <cell r="H239">
            <v>0.7</v>
          </cell>
          <cell r="I239" t="str">
            <v>JS-Janitorial and Stewarding</v>
          </cell>
          <cell r="J239" t="str">
            <v>DWR-Dinnerware</v>
          </cell>
          <cell r="K239" t="str">
            <v/>
          </cell>
          <cell r="L239" t="str">
            <v>#525901-WS Melamine 1 oz Rocky Triangular Ramekin White Stone</v>
          </cell>
        </row>
        <row r="240">
          <cell r="A240" t="str">
            <v>5712-ROC-526002-GS</v>
          </cell>
          <cell r="B240" t="str">
            <v>526002GS</v>
          </cell>
          <cell r="D240" t="str">
            <v>#526002-GS, 2 oz MELAMINE "ROCKY" TRI. RAMEKIN (STONE GREY)</v>
          </cell>
          <cell r="E240" t="str">
            <v>NO TAG</v>
          </cell>
          <cell r="H240">
            <v>1.02</v>
          </cell>
          <cell r="I240" t="str">
            <v>JS-Janitorial and Stewarding</v>
          </cell>
          <cell r="J240" t="str">
            <v>SVW-Serveware</v>
          </cell>
          <cell r="K240" t="str">
            <v>MSA-Miscellaneous Serving Accessories</v>
          </cell>
          <cell r="L240" t="str">
            <v>#526002-GS Melamine 2 oz Rocky Triangular Ramekin Stone Grey</v>
          </cell>
        </row>
        <row r="241">
          <cell r="A241" t="str">
            <v>5712-ROC-526002-WS</v>
          </cell>
          <cell r="B241" t="str">
            <v>526002WS</v>
          </cell>
          <cell r="D241" t="str">
            <v>(WSL25)#526002-WS, 2 oz MELAMINE "ROCKY" TRI. RAMEKIN (WHITE STONE)</v>
          </cell>
          <cell r="E241" t="str">
            <v>WSL WITH STOCK</v>
          </cell>
          <cell r="H241">
            <v>1.02</v>
          </cell>
          <cell r="I241" t="str">
            <v>JS-Janitorial and Stewarding</v>
          </cell>
          <cell r="J241" t="str">
            <v>SVW-Serveware</v>
          </cell>
          <cell r="K241" t="str">
            <v>MSA-Miscellaneous Serving Accessories</v>
          </cell>
          <cell r="L241" t="str">
            <v>#526002-W Melamine 2 oz Rocky Triangular Ramekin White Stone</v>
          </cell>
        </row>
        <row r="242">
          <cell r="A242" t="str">
            <v>5712-ROC-526103-GS</v>
          </cell>
          <cell r="B242" t="str">
            <v>526103GS</v>
          </cell>
          <cell r="D242" t="str">
            <v>#526103-GS, 3 oz MELAMINE "ROCKY" TRI. RAMEKIN (STONE GREY)</v>
          </cell>
          <cell r="E242" t="str">
            <v>NO TAG</v>
          </cell>
          <cell r="H242">
            <v>1.66</v>
          </cell>
          <cell r="I242" t="str">
            <v>JS-Janitorial and Stewarding</v>
          </cell>
          <cell r="J242" t="str">
            <v>DWR-Dinnerware</v>
          </cell>
          <cell r="K242" t="str">
            <v/>
          </cell>
          <cell r="L242" t="str">
            <v>#526103-GS Melamine 3 oz Rocky Triangular Ramekin Stone Grey</v>
          </cell>
        </row>
        <row r="243">
          <cell r="A243" t="str">
            <v>5712-ROC-526103-WS</v>
          </cell>
          <cell r="B243" t="str">
            <v>526103WS</v>
          </cell>
          <cell r="D243" t="str">
            <v>#526103-WS, 3 oz MELAMINE "ROCKY" TRI. RAMEKIN (WHITE STONE)</v>
          </cell>
          <cell r="E243" t="str">
            <v>NO TAG</v>
          </cell>
          <cell r="H243">
            <v>1.66</v>
          </cell>
          <cell r="I243" t="str">
            <v>JS-Janitorial and Stewarding</v>
          </cell>
          <cell r="J243" t="str">
            <v>DWR-Dinnerware</v>
          </cell>
          <cell r="K243" t="str">
            <v/>
          </cell>
          <cell r="L243" t="str">
            <v>#526103-WS Melamine 3 oz Rocky Triangular Ramekin White Stone</v>
          </cell>
        </row>
        <row r="244">
          <cell r="A244" t="str">
            <v>5712-ROC-526104-GS</v>
          </cell>
          <cell r="B244" t="str">
            <v>526104GS</v>
          </cell>
          <cell r="D244" t="str">
            <v>#526104-GS, 4 oz MELAMINE "ROCKY" TRI. RAMEKIN (STONE GREY)</v>
          </cell>
          <cell r="E244" t="str">
            <v>NO TAG</v>
          </cell>
          <cell r="H244">
            <v>2.57</v>
          </cell>
          <cell r="I244" t="str">
            <v>JS-Janitorial and Stewarding</v>
          </cell>
          <cell r="J244" t="str">
            <v>SVW-Serveware</v>
          </cell>
          <cell r="K244" t="str">
            <v>MSA-Miscellaneous Serving Accessories</v>
          </cell>
          <cell r="L244" t="str">
            <v>#526104-G Melamine 4 oz Rocky Triangular Ramekin Stone Grey</v>
          </cell>
        </row>
        <row r="245">
          <cell r="A245" t="str">
            <v>5712-ROC-526104-WS</v>
          </cell>
          <cell r="B245" t="str">
            <v>526103WS</v>
          </cell>
          <cell r="D245" t="str">
            <v>#526104-WS, 4 oz MELAMINE "ROCKY" TRI. RAMEKIN (WHITE STONE)</v>
          </cell>
          <cell r="E245" t="str">
            <v>NO TAG</v>
          </cell>
          <cell r="H245">
            <v>2.57</v>
          </cell>
          <cell r="I245" t="str">
            <v>JS-Janitorial and Stewarding</v>
          </cell>
          <cell r="J245" t="str">
            <v>DWR-Dinnerware</v>
          </cell>
          <cell r="K245" t="str">
            <v/>
          </cell>
          <cell r="L245" t="str">
            <v>#526104-WS Melamine 4 oz Rocky Triangular Ramekin White Stone</v>
          </cell>
        </row>
        <row r="246">
          <cell r="A246" t="str">
            <v>5712-SG-903920</v>
          </cell>
          <cell r="B246">
            <v>903939</v>
          </cell>
          <cell r="D246" t="str">
            <v>ID, 51X41XH:50cm TRANSPARENT ACRYLIC FOLDABLE BOX, SNEEZE-GUARD,THICK:5MM</v>
          </cell>
          <cell r="E246" t="str">
            <v>ID WITH STOCK</v>
          </cell>
          <cell r="H246">
            <v>440.1</v>
          </cell>
          <cell r="I246" t="str">
            <v>JS-Janitorial and Stewarding</v>
          </cell>
          <cell r="J246" t="str">
            <v/>
          </cell>
          <cell r="K246" t="str">
            <v/>
          </cell>
          <cell r="L246" t="str">
            <v>Acrylic 51x41xH50cm Thick:5mm Foldable Box with Sneeze Guard Transparen</v>
          </cell>
        </row>
        <row r="247">
          <cell r="A247" t="str">
            <v>5712-SG-903939</v>
          </cell>
          <cell r="B247">
            <v>903920</v>
          </cell>
          <cell r="D247" t="str">
            <v>ID, 100X50XH:100cm TRANSPARENT ACRYLIC FOLDABLE BOX, SNEEZE-GUARD,THICK:6MM</v>
          </cell>
          <cell r="E247" t="str">
            <v>ID WITH STOCK</v>
          </cell>
          <cell r="H247">
            <v>159.21</v>
          </cell>
          <cell r="I247" t="str">
            <v>JS-Janitorial and Stewarding</v>
          </cell>
          <cell r="J247" t="str">
            <v/>
          </cell>
          <cell r="K247" t="str">
            <v/>
          </cell>
          <cell r="L247" t="str">
            <v>Acrylic 100x50xH100cm Thick:6mm Foldable Box with Sneeze Guard Transparent</v>
          </cell>
        </row>
        <row r="248">
          <cell r="A248" t="str">
            <v>5712-SG-904124</v>
          </cell>
          <cell r="B248">
            <v>904124</v>
          </cell>
          <cell r="D248" t="str">
            <v>ID, 60X40XH:40cm TRANSPARENT ACRYLIC SNEEZE-GUARD TP SHIELD,THICK:5MM</v>
          </cell>
          <cell r="E248" t="str">
            <v>ID WITH STOCK</v>
          </cell>
          <cell r="H248">
            <v>77.400000000000006</v>
          </cell>
          <cell r="I248" t="str">
            <v>JS-Janitorial and Stewarding</v>
          </cell>
          <cell r="J248" t="str">
            <v/>
          </cell>
          <cell r="K248" t="str">
            <v/>
          </cell>
          <cell r="L248" t="str">
            <v>Acrylic 60x40xH40cm Thickness: 5mm Sneeze Guard TP Shield Transparent</v>
          </cell>
        </row>
        <row r="249">
          <cell r="A249" t="str">
            <v>5712-SG-904139</v>
          </cell>
          <cell r="B249">
            <v>904139</v>
          </cell>
          <cell r="D249" t="str">
            <v>ID, 100X55XH:60cm TRANSPARENT ACRYLIC SNEEZE-GUARD TP SHIELD,THICK:5MM</v>
          </cell>
          <cell r="E249" t="str">
            <v>ID WITH STOCK</v>
          </cell>
          <cell r="H249">
            <v>235.28</v>
          </cell>
          <cell r="I249" t="str">
            <v>JS-Janitorial and Stewarding</v>
          </cell>
          <cell r="J249" t="str">
            <v/>
          </cell>
          <cell r="K249" t="str">
            <v/>
          </cell>
          <cell r="L249" t="str">
            <v>Acrylic 100x55xH60cm Thick:5mm Sneeze Guard TP Shield Transparent</v>
          </cell>
        </row>
        <row r="250">
          <cell r="A250" t="str">
            <v>5712-SGN-1265CBK</v>
          </cell>
          <cell r="B250" t="str">
            <v>1265CBK</v>
          </cell>
          <cell r="D250" t="str">
            <v>(WSL’19)#1265CBK, 1/2X65mm, SILICON GN PAN (BLACK)</v>
          </cell>
          <cell r="E250" t="str">
            <v>WSL WITH STOCK</v>
          </cell>
          <cell r="H250">
            <v>35.68</v>
          </cell>
          <cell r="I250" t="str">
            <v>JS-Janitorial and Stewarding</v>
          </cell>
          <cell r="J250" t="str">
            <v>BW-Bakeware</v>
          </cell>
          <cell r="K250" t="str">
            <v/>
          </cell>
          <cell r="L250" t="str">
            <v>#1265CBK Silicon 1/2x65mm GN Pan Black</v>
          </cell>
        </row>
        <row r="251">
          <cell r="A251" t="str">
            <v>5712-SLATE-407113BK</v>
          </cell>
          <cell r="B251" t="str">
            <v>407113BK</v>
          </cell>
          <cell r="D251" t="str">
            <v>(ID-MOQ) #407113, DIA:9"/L:13" MELAMINE SLATE BOARD (BLACK)</v>
          </cell>
          <cell r="E251" t="str">
            <v>ID NO STOCK</v>
          </cell>
          <cell r="H251">
            <v>11.8</v>
          </cell>
          <cell r="I251" t="str">
            <v>JS-Janitorial and Stewarding</v>
          </cell>
          <cell r="J251" t="str">
            <v>SVW-Serveware</v>
          </cell>
          <cell r="K251" t="str">
            <v>BBC-Bread Boards/Charcuterie Boards</v>
          </cell>
          <cell r="L251" t="str">
            <v>#407113 Melamine Ø9xL13" Slate Board Black</v>
          </cell>
        </row>
        <row r="252">
          <cell r="A252" t="str">
            <v>5712-SLATE-407117BK</v>
          </cell>
          <cell r="B252" t="str">
            <v>407117BK</v>
          </cell>
          <cell r="D252" t="str">
            <v>(ID-MOQ) #407117, DIA 12"/L17" MELAMINE SLATE BOARD (BLACK)</v>
          </cell>
          <cell r="E252" t="str">
            <v>ID NO STOCK</v>
          </cell>
          <cell r="H252">
            <v>21.44</v>
          </cell>
          <cell r="I252" t="str">
            <v>JS-Janitorial and Stewarding</v>
          </cell>
          <cell r="J252" t="str">
            <v>SVW-Serveware</v>
          </cell>
          <cell r="K252" t="str">
            <v>BBC-Bread Boards/Charcuterie Boards</v>
          </cell>
          <cell r="L252" t="str">
            <v>#407117 Melamine Ø12"/L17" Slate Board Black</v>
          </cell>
        </row>
        <row r="253">
          <cell r="A253" t="str">
            <v>5712-SLATE-407121BK</v>
          </cell>
          <cell r="B253" t="str">
            <v>407121BK</v>
          </cell>
          <cell r="D253" t="str">
            <v>(ID-MOQ) #407121, DIA:15"/L:21" MELAMINE SLATE BOARD (BLACK)</v>
          </cell>
          <cell r="E253" t="str">
            <v>ID WITH STOCK</v>
          </cell>
          <cell r="H253">
            <v>35.42</v>
          </cell>
          <cell r="I253" t="str">
            <v>JS-Janitorial and Stewarding</v>
          </cell>
          <cell r="J253" t="str">
            <v>SVW-Serveware</v>
          </cell>
          <cell r="K253" t="str">
            <v>BBC-Bread Boards/Charcuterie Boards</v>
          </cell>
          <cell r="L253" t="str">
            <v>#407121 Melamine Ø15xL21" Slate Board Black</v>
          </cell>
        </row>
        <row r="254">
          <cell r="A254" t="str">
            <v>5712-SOL-224606/CH</v>
          </cell>
          <cell r="B254" t="str">
            <v>224606CH</v>
          </cell>
          <cell r="D254" t="str">
            <v>L:16.9xW:10.3cm SOLAR 6.5" SWING BOWL (CHAMPAGNE)</v>
          </cell>
          <cell r="E254" t="str">
            <v>NO TAG</v>
          </cell>
          <cell r="H254">
            <v>3.16</v>
          </cell>
          <cell r="I254" t="str">
            <v>JS-Janitorial and Stewarding</v>
          </cell>
          <cell r="J254" t="str">
            <v>SVW-Serveware</v>
          </cell>
          <cell r="K254" t="str">
            <v>MSA-Miscellaneous Serving Accessories</v>
          </cell>
          <cell r="L254" t="str">
            <v>Solar 16.9x10.3cm 6.5" Swing Bowl Champagne</v>
          </cell>
        </row>
        <row r="255">
          <cell r="A255" t="str">
            <v>5712-SOL-224606/PO</v>
          </cell>
          <cell r="B255" t="str">
            <v>224606PO</v>
          </cell>
          <cell r="D255" t="str">
            <v>L:16.9xW:10.3cm SOLAR 6.5" SWING BOWL (P.ORANGE)</v>
          </cell>
          <cell r="E255" t="str">
            <v>NO TAG</v>
          </cell>
          <cell r="H255">
            <v>3.16</v>
          </cell>
          <cell r="I255" t="str">
            <v>JS-Janitorial and Stewarding</v>
          </cell>
          <cell r="J255" t="str">
            <v>SVW-Serveware</v>
          </cell>
          <cell r="K255" t="str">
            <v>MSA-Miscellaneous Serving Accessories</v>
          </cell>
          <cell r="L255" t="str">
            <v>Solar 16.9x10.3cm 6.5" Swing Bowl P.Orange</v>
          </cell>
        </row>
        <row r="256">
          <cell r="A256" t="str">
            <v>5712-SOL-224607/CH</v>
          </cell>
          <cell r="B256" t="str">
            <v>224607CH</v>
          </cell>
          <cell r="D256" t="str">
            <v>L:17.9xW:13.3cm SOLAR 7" SWING BOWL (CHAMPAGNE)</v>
          </cell>
          <cell r="E256" t="str">
            <v>NO TAG</v>
          </cell>
          <cell r="H256">
            <v>3.41</v>
          </cell>
          <cell r="I256" t="str">
            <v>JS-Janitorial and Stewarding</v>
          </cell>
          <cell r="J256" t="str">
            <v>SVW-Serveware</v>
          </cell>
          <cell r="K256" t="str">
            <v>MSA-Miscellaneous Serving Accessories</v>
          </cell>
          <cell r="L256" t="str">
            <v>Solar L17.9xW13.3cm 7" Swing Bowl Champagne</v>
          </cell>
        </row>
        <row r="257">
          <cell r="A257" t="str">
            <v>5712-SOL-224607/PO</v>
          </cell>
          <cell r="B257" t="str">
            <v>224607PO</v>
          </cell>
          <cell r="D257" t="str">
            <v>L:17.9xW:13.3cm SOLAR 7" SWING BOWL (P.ORANGE)</v>
          </cell>
          <cell r="E257" t="str">
            <v>NO TAG</v>
          </cell>
          <cell r="H257">
            <v>3.41</v>
          </cell>
          <cell r="I257" t="str">
            <v>JS-Janitorial and Stewarding</v>
          </cell>
          <cell r="J257" t="str">
            <v>SVW-Serveware</v>
          </cell>
          <cell r="K257" t="str">
            <v>MSA-Miscellaneous Serving Accessories</v>
          </cell>
          <cell r="L257" t="str">
            <v>Solar L17.9xW13.3cm 7" Swing Bowl P.Orange</v>
          </cell>
        </row>
        <row r="258">
          <cell r="A258" t="str">
            <v>5712-SOL-224608/CH</v>
          </cell>
          <cell r="B258" t="str">
            <v>224608CH</v>
          </cell>
          <cell r="D258" t="str">
            <v>L:21.5xW:11.3cm SOLAR 8.5" SWING PLATE ( CHAMPAGNE)</v>
          </cell>
          <cell r="E258" t="str">
            <v>NO TAG</v>
          </cell>
          <cell r="H258">
            <v>3.7</v>
          </cell>
          <cell r="I258" t="str">
            <v>JS-Janitorial and Stewarding</v>
          </cell>
          <cell r="J258" t="str">
            <v>DWR-Dinnerware</v>
          </cell>
          <cell r="K258" t="str">
            <v>PLT-Plates</v>
          </cell>
          <cell r="L258" t="str">
            <v>Solar 21.5x11.3cm 8.5" Swing Plate Champagne</v>
          </cell>
        </row>
        <row r="259">
          <cell r="A259" t="str">
            <v>5712-SOL-224608/PO</v>
          </cell>
          <cell r="B259" t="str">
            <v>224608PO</v>
          </cell>
          <cell r="D259" t="str">
            <v>L:21.5xW:11.3cm SOLAR 8.5" SWING PLATE ( P. ORANGE)</v>
          </cell>
          <cell r="E259" t="str">
            <v>NO TAG</v>
          </cell>
          <cell r="H259">
            <v>3.7</v>
          </cell>
          <cell r="I259" t="str">
            <v>JS-Janitorial and Stewarding</v>
          </cell>
          <cell r="J259" t="str">
            <v>DWR-Dinnerware</v>
          </cell>
          <cell r="K259" t="str">
            <v>PLT-Plates</v>
          </cell>
          <cell r="L259" t="str">
            <v>Solar L21.5xW11.3cm 8.5" Swing Plate P. Orange</v>
          </cell>
        </row>
        <row r="260">
          <cell r="A260" t="str">
            <v>5712-SOL-226108/CH</v>
          </cell>
          <cell r="B260" t="str">
            <v>226108CH</v>
          </cell>
          <cell r="D260" t="str">
            <v>L:20xW:15.5cm SOLAR 8" SWING BOWL (CHAMPAGNE)</v>
          </cell>
          <cell r="E260" t="str">
            <v>NO TAG</v>
          </cell>
          <cell r="H260">
            <v>11.02</v>
          </cell>
          <cell r="I260" t="str">
            <v>JS-Janitorial and Stewarding</v>
          </cell>
          <cell r="J260" t="str">
            <v>SVW-Serveware</v>
          </cell>
          <cell r="K260" t="str">
            <v>MSA-Miscellaneous Serving Accessories</v>
          </cell>
          <cell r="L260" t="str">
            <v>Solar L20xW15.5cm 8" Swing Bowl Champagne</v>
          </cell>
        </row>
        <row r="261">
          <cell r="A261" t="str">
            <v>5712-SOL-226108/PO</v>
          </cell>
          <cell r="B261" t="str">
            <v>226108PO</v>
          </cell>
          <cell r="D261" t="str">
            <v>L:20xW:15.5cm SOLAR 8" SWING BOWL (P.ORANGE)</v>
          </cell>
          <cell r="E261" t="str">
            <v>NO TAG</v>
          </cell>
          <cell r="H261">
            <v>11.02</v>
          </cell>
          <cell r="I261" t="str">
            <v>JS-Janitorial and Stewarding</v>
          </cell>
          <cell r="J261" t="str">
            <v>SVW-Serveware</v>
          </cell>
          <cell r="K261" t="str">
            <v>MSA-Miscellaneous Serving Accessories</v>
          </cell>
          <cell r="L261" t="str">
            <v>Solar L20xW15.5cm 8" Swing Bowl P.Orange</v>
          </cell>
        </row>
        <row r="262">
          <cell r="A262" t="str">
            <v>5712-SOL-226112/CH</v>
          </cell>
          <cell r="B262" t="str">
            <v>226112CH</v>
          </cell>
          <cell r="D262" t="str">
            <v>L:32.5xW:26.5cm SOLAR 13" SWING BOWL (CHAMPAGNE)</v>
          </cell>
          <cell r="E262" t="str">
            <v>NO TAG</v>
          </cell>
          <cell r="H262">
            <v>32.630000000000003</v>
          </cell>
          <cell r="I262" t="str">
            <v>JS-Janitorial and Stewarding</v>
          </cell>
          <cell r="J262" t="str">
            <v>SVW-Serveware</v>
          </cell>
          <cell r="K262" t="str">
            <v>MSA-Miscellaneous Serving Accessories</v>
          </cell>
          <cell r="L262" t="str">
            <v>Solar L32.5xW26.5cm 13" Swing Bowl Champagne</v>
          </cell>
        </row>
        <row r="263">
          <cell r="A263" t="str">
            <v>5712-SOL-226112/PO</v>
          </cell>
          <cell r="B263" t="str">
            <v>226112PO</v>
          </cell>
          <cell r="D263" t="str">
            <v>L:32.5xW:26.5cm SOLAR 13" SWING BOWL (P.ORANGE)</v>
          </cell>
          <cell r="E263" t="str">
            <v>NO TAG</v>
          </cell>
          <cell r="H263">
            <v>32.630000000000003</v>
          </cell>
          <cell r="I263" t="str">
            <v>JS-Janitorial and Stewarding</v>
          </cell>
          <cell r="J263" t="str">
            <v>SVW-Serveware</v>
          </cell>
          <cell r="K263" t="str">
            <v>MSA-Miscellaneous Serving Accessories</v>
          </cell>
          <cell r="L263" t="str">
            <v>Solar L32.5xW26.5cm 13" Swing Bowl Pink Orange</v>
          </cell>
        </row>
        <row r="264">
          <cell r="A264" t="str">
            <v>5712-SOL-226204/CH</v>
          </cell>
          <cell r="B264" t="str">
            <v>226204CH</v>
          </cell>
          <cell r="D264" t="str">
            <v>DIA:10xH:10cm SOLAR 4" ROUND SNACK BOWL (CHAMPAGNE)</v>
          </cell>
          <cell r="E264" t="str">
            <v>NO TAG</v>
          </cell>
          <cell r="H264">
            <v>3.55</v>
          </cell>
          <cell r="I264" t="str">
            <v>JS-Janitorial and Stewarding</v>
          </cell>
          <cell r="J264" t="str">
            <v>SVW-Serveware</v>
          </cell>
          <cell r="K264" t="str">
            <v>MSA-Miscellaneous Serving Accessories</v>
          </cell>
          <cell r="L264" t="str">
            <v>Solar 10xH10cm Round Snack Bowl Champagne</v>
          </cell>
        </row>
        <row r="265">
          <cell r="A265" t="str">
            <v>5712-SOL-226204/DP</v>
          </cell>
          <cell r="B265" t="str">
            <v>226204DP</v>
          </cell>
          <cell r="D265" t="str">
            <v>DIA:10xH:10cm SOLAR 4" ROUND SNACK BOWL (DUSTY PINK)</v>
          </cell>
          <cell r="E265" t="str">
            <v>NO TAG</v>
          </cell>
          <cell r="H265">
            <v>3.55</v>
          </cell>
          <cell r="I265" t="str">
            <v>JS-Janitorial and Stewarding</v>
          </cell>
          <cell r="J265" t="str">
            <v>SVW-Serveware</v>
          </cell>
          <cell r="K265" t="str">
            <v>MSA-Miscellaneous Serving Accessories</v>
          </cell>
          <cell r="L265" t="str">
            <v>Solar 10xH10cm 4" Round Snack Bowl Dusty Pink</v>
          </cell>
        </row>
        <row r="266">
          <cell r="A266" t="str">
            <v>5712-SOL-226204/LV</v>
          </cell>
          <cell r="B266" t="str">
            <v>226204LV</v>
          </cell>
          <cell r="D266" t="str">
            <v>DIA:10xH:10cm SOLAR 4" ROUND SNACK BOWL (LAVA GRAY)</v>
          </cell>
          <cell r="E266" t="str">
            <v>NO TAG</v>
          </cell>
          <cell r="H266">
            <v>3.55</v>
          </cell>
          <cell r="I266" t="str">
            <v>JS-Janitorial and Stewarding</v>
          </cell>
          <cell r="J266" t="str">
            <v>SVW-Serveware</v>
          </cell>
          <cell r="K266" t="str">
            <v>MSA-Miscellaneous Serving Accessories</v>
          </cell>
          <cell r="L266" t="str">
            <v>Solar 10xH10cm Round Snack Bowl Lava Grey</v>
          </cell>
        </row>
        <row r="267">
          <cell r="A267" t="str">
            <v>5712-SOL-226212/CH</v>
          </cell>
          <cell r="B267" t="str">
            <v>226212CH</v>
          </cell>
          <cell r="D267" t="str">
            <v>DIA:29xH:10cm SOLAR 11.5" SALAD BOWL (CHAMPAGNE)</v>
          </cell>
          <cell r="E267" t="str">
            <v>NO TAG</v>
          </cell>
          <cell r="H267">
            <v>15.35</v>
          </cell>
          <cell r="I267" t="str">
            <v>JS-Janitorial and Stewarding</v>
          </cell>
          <cell r="J267" t="str">
            <v>SVW-Serveware</v>
          </cell>
          <cell r="K267" t="str">
            <v>MSA-Miscellaneous Serving Accessories</v>
          </cell>
          <cell r="L267" t="str">
            <v>Solar 29xH10cm 11.5" Salad Bowl Champagne</v>
          </cell>
        </row>
        <row r="268">
          <cell r="A268" t="str">
            <v>5712-SOL-226212/LV</v>
          </cell>
          <cell r="B268" t="str">
            <v>226212LV</v>
          </cell>
          <cell r="D268" t="str">
            <v>DIA:29xH:10cm SOLAR 11.5" SALAD BOWL (LAVA GRAY)</v>
          </cell>
          <cell r="E268" t="str">
            <v>NO TAG</v>
          </cell>
          <cell r="H268">
            <v>15.35</v>
          </cell>
          <cell r="I268" t="str">
            <v>JS-Janitorial and Stewarding</v>
          </cell>
          <cell r="J268" t="str">
            <v>SVW-Serveware</v>
          </cell>
          <cell r="K268" t="str">
            <v>MSA-Miscellaneous Serving Accessories</v>
          </cell>
          <cell r="L268" t="str">
            <v>Solar 29xH10cm 11.5" Salad Bowl Lava Grey</v>
          </cell>
        </row>
        <row r="269">
          <cell r="A269" t="str">
            <v>5712-SOL-226214/CH</v>
          </cell>
          <cell r="B269" t="str">
            <v>226214CH</v>
          </cell>
          <cell r="D269" t="str">
            <v>DIA:35xH:7cm SOLAR 14" SALAD BOWL (CHAMPAGNE)</v>
          </cell>
          <cell r="E269" t="str">
            <v>NO TAG</v>
          </cell>
          <cell r="H269">
            <v>17.45</v>
          </cell>
          <cell r="I269" t="str">
            <v>JS-Janitorial and Stewarding</v>
          </cell>
          <cell r="J269" t="str">
            <v>SVW-Serveware</v>
          </cell>
          <cell r="K269" t="str">
            <v>MSA-Miscellaneous Serving Accessories</v>
          </cell>
          <cell r="L269" t="str">
            <v>Solar 35xH7cm 14" Salad Bowl Champagne</v>
          </cell>
        </row>
        <row r="270">
          <cell r="A270" t="str">
            <v>5712-SOL-226214/LV</v>
          </cell>
          <cell r="B270" t="str">
            <v>226214LV</v>
          </cell>
          <cell r="D270" t="str">
            <v>DIA:35xH:7cm SOLAR 14" SALAD BOWL (LAVA GRAY)</v>
          </cell>
          <cell r="E270" t="str">
            <v>NO TAG</v>
          </cell>
          <cell r="H270">
            <v>17.45</v>
          </cell>
          <cell r="I270" t="str">
            <v>JS-Janitorial and Stewarding</v>
          </cell>
          <cell r="J270" t="str">
            <v>SVW-Serveware</v>
          </cell>
          <cell r="K270" t="str">
            <v>MSA-Miscellaneous Serving Accessories</v>
          </cell>
          <cell r="L270" t="str">
            <v>Solar Ø35xH7cm 14" Lava Gray Salad Bowl</v>
          </cell>
        </row>
        <row r="271">
          <cell r="A271" t="str">
            <v>5712-SOL-226222/CH</v>
          </cell>
          <cell r="B271" t="str">
            <v>226222CH</v>
          </cell>
          <cell r="D271" t="str">
            <v>DIA:5.5xH:5.5cm SOLAR 2.2" ROUND SAUCE BOWL (CHAMPAGNE)</v>
          </cell>
          <cell r="E271" t="str">
            <v>NO TAG</v>
          </cell>
          <cell r="H271">
            <v>1.21</v>
          </cell>
          <cell r="I271" t="str">
            <v>JS-Janitorial and Stewarding</v>
          </cell>
          <cell r="J271" t="str">
            <v>SVW-Serveware</v>
          </cell>
          <cell r="K271" t="str">
            <v>CHD-Condiment Holders</v>
          </cell>
          <cell r="L271" t="str">
            <v>Solar Ø5.5xH5.5cm 2.2" Round Sauce Bowl Champagne</v>
          </cell>
        </row>
        <row r="272">
          <cell r="A272" t="str">
            <v>5712-SOL-226222/DP</v>
          </cell>
          <cell r="B272" t="str">
            <v>226222DP</v>
          </cell>
          <cell r="D272" t="str">
            <v>DIA:5.5xH:5.5cm SOLAR 2.2" ROUND SAUCE BOWL (DUSTY PINK)</v>
          </cell>
          <cell r="E272" t="str">
            <v>NO TAG</v>
          </cell>
          <cell r="H272">
            <v>1.21</v>
          </cell>
          <cell r="I272" t="str">
            <v>JS-Janitorial and Stewarding</v>
          </cell>
          <cell r="J272" t="str">
            <v>SVW-Serveware</v>
          </cell>
          <cell r="K272" t="str">
            <v>CHD-Condiment Holders</v>
          </cell>
          <cell r="L272" t="str">
            <v>Solar Ø5.5xH5.5cm 2.2" Round Sauce Bowl Dusty Pink</v>
          </cell>
        </row>
        <row r="273">
          <cell r="A273" t="str">
            <v>5712-SOL-226222/LV</v>
          </cell>
          <cell r="B273" t="str">
            <v>226222LV</v>
          </cell>
          <cell r="D273" t="str">
            <v>DIA:5.5xH:5.5cm SOLAR 2.2" ROUND SAUCE BOWL (LAVA GRAY)</v>
          </cell>
          <cell r="E273" t="str">
            <v>NO TAG</v>
          </cell>
          <cell r="H273">
            <v>1.21</v>
          </cell>
          <cell r="I273" t="str">
            <v>JS-Janitorial and Stewarding</v>
          </cell>
          <cell r="J273" t="str">
            <v>SVW-Serveware</v>
          </cell>
          <cell r="K273" t="str">
            <v>CHD-Condiment Holders</v>
          </cell>
          <cell r="L273" t="str">
            <v>Solar Ø5.5xH5.5cm 2.2"  Round Sauce Bowl Lava Grey</v>
          </cell>
        </row>
        <row r="274">
          <cell r="A274" t="str">
            <v>5712-SOL-226228/CH</v>
          </cell>
          <cell r="B274" t="str">
            <v>226228CH</v>
          </cell>
          <cell r="D274" t="str">
            <v>DIA:7xH:7cm SOLAR 2.8" ROUND SNACK BOWL (CHAMPAGNE)</v>
          </cell>
          <cell r="E274" t="str">
            <v>NO TAG</v>
          </cell>
          <cell r="H274">
            <v>1.89</v>
          </cell>
          <cell r="I274" t="str">
            <v>JS-Janitorial and Stewarding</v>
          </cell>
          <cell r="J274" t="str">
            <v>SVW-Serveware</v>
          </cell>
          <cell r="K274" t="str">
            <v>MSA-Miscellaneous Serving Accessories</v>
          </cell>
          <cell r="L274" t="str">
            <v>Solar Ø7xH7cm 2.8" Round Snack Bowl Champagne</v>
          </cell>
        </row>
        <row r="275">
          <cell r="A275" t="str">
            <v>5712-SOL-226228/DP</v>
          </cell>
          <cell r="B275" t="str">
            <v>226228DP</v>
          </cell>
          <cell r="D275" t="str">
            <v>DIA:7xH:7cm SOLAR 2.8" ROUND SNACK BOWL (DUSTY PINK)</v>
          </cell>
          <cell r="E275" t="str">
            <v>NO TAG</v>
          </cell>
          <cell r="H275">
            <v>1.89</v>
          </cell>
          <cell r="I275" t="str">
            <v>JS-Janitorial and Stewarding</v>
          </cell>
          <cell r="J275" t="str">
            <v>SVW-Serveware</v>
          </cell>
          <cell r="K275" t="str">
            <v>MSA-Miscellaneous Serving Accessories</v>
          </cell>
          <cell r="L275" t="str">
            <v>Solar Ø7xH7cm 2.8" Round Snack Bowl Dusty Pink</v>
          </cell>
        </row>
        <row r="276">
          <cell r="A276" t="str">
            <v>5712-SOL-226228/LV</v>
          </cell>
          <cell r="B276" t="str">
            <v>226228LV</v>
          </cell>
          <cell r="D276" t="str">
            <v>DIA:7xH:7cm SOLAR 2.8" ROUND SNACK BOWL (LAVA GRAY)</v>
          </cell>
          <cell r="E276" t="str">
            <v>NO TAG</v>
          </cell>
          <cell r="H276">
            <v>1.89</v>
          </cell>
          <cell r="I276" t="str">
            <v>JS-Janitorial and Stewarding</v>
          </cell>
          <cell r="J276" t="str">
            <v>SVW-Serveware</v>
          </cell>
          <cell r="K276" t="str">
            <v>MSA-Miscellaneous Serving Accessories</v>
          </cell>
          <cell r="L276" t="str">
            <v>Solar Ø7xH7cm 2.8" Round Snack Bowl Lava Grey</v>
          </cell>
        </row>
        <row r="277">
          <cell r="A277" t="str">
            <v>5712-SOL-226235/CH</v>
          </cell>
          <cell r="B277" t="str">
            <v>226235CH</v>
          </cell>
          <cell r="D277" t="str">
            <v>DIA:8.5xH:8.5cm SOLAR 3.5" ROUND SNACK BOWL (CHAMPAGNE)</v>
          </cell>
          <cell r="E277" t="str">
            <v>NO TAG</v>
          </cell>
          <cell r="H277">
            <v>2.4700000000000002</v>
          </cell>
          <cell r="I277" t="str">
            <v>JS-Janitorial and Stewarding</v>
          </cell>
          <cell r="J277" t="str">
            <v>SVW-Serveware</v>
          </cell>
          <cell r="K277" t="str">
            <v>MSA-Miscellaneous Serving Accessories</v>
          </cell>
          <cell r="L277" t="str">
            <v>Solar Ø8.5xH8.5cm 3.5" Round Snack Bowl Champagne</v>
          </cell>
        </row>
        <row r="278">
          <cell r="A278" t="str">
            <v>5712-SOL-226235/DP</v>
          </cell>
          <cell r="B278" t="str">
            <v>226235DP</v>
          </cell>
          <cell r="D278" t="str">
            <v>DIA:8.5xH:8.5cm SOLAR 3.5" ROUND SNACK BOWL (DUSTY PINK)</v>
          </cell>
          <cell r="E278" t="str">
            <v>NO TAG</v>
          </cell>
          <cell r="H278">
            <v>2.4700000000000002</v>
          </cell>
          <cell r="I278" t="str">
            <v>JS-Janitorial and Stewarding</v>
          </cell>
          <cell r="J278" t="str">
            <v>SVW-Serveware</v>
          </cell>
          <cell r="K278" t="str">
            <v>MSA-Miscellaneous Serving Accessories</v>
          </cell>
          <cell r="L278" t="str">
            <v>Solar Ø8.5xH8.5cm 3.5" Round Snack Bowl Dusty Pink</v>
          </cell>
        </row>
        <row r="279">
          <cell r="A279" t="str">
            <v>5712-SOL-226235/LV</v>
          </cell>
          <cell r="B279" t="str">
            <v>226235LV</v>
          </cell>
          <cell r="D279" t="str">
            <v>DIA:8.5xH:8.5cm SOLAR 3.5" ROUND SNACK BOWL (LAVA GRAY)</v>
          </cell>
          <cell r="E279" t="str">
            <v>NO TAG</v>
          </cell>
          <cell r="H279">
            <v>2.4700000000000002</v>
          </cell>
          <cell r="I279" t="str">
            <v>JS-Janitorial and Stewarding</v>
          </cell>
          <cell r="J279" t="str">
            <v>SVW-Serveware</v>
          </cell>
          <cell r="K279" t="str">
            <v>MSA-Miscellaneous Serving Accessories</v>
          </cell>
          <cell r="L279" t="str">
            <v>Solar Ø8.5xH8.5cm 3.5" Round Snack Bowl Lava Grey</v>
          </cell>
        </row>
        <row r="280">
          <cell r="A280" t="str">
            <v>5712-SOL-226285/CH</v>
          </cell>
          <cell r="B280" t="str">
            <v>226285CH</v>
          </cell>
          <cell r="D280" t="str">
            <v>DIA:22.5xH:7.1cm SOLAR 8.5" SALAD BOWL (CHAMPAGNE)</v>
          </cell>
          <cell r="E280" t="str">
            <v>NO TAG</v>
          </cell>
          <cell r="H280">
            <v>9.52</v>
          </cell>
          <cell r="I280" t="str">
            <v>JS-Janitorial and Stewarding</v>
          </cell>
          <cell r="J280" t="str">
            <v>DWR-Dinnerware</v>
          </cell>
          <cell r="K280" t="str">
            <v>BWL-Bowls</v>
          </cell>
          <cell r="L280" t="str">
            <v>Solar Ø22.5xH7.1cm 8.5" Salad Bowl Champagne</v>
          </cell>
        </row>
        <row r="281">
          <cell r="A281" t="str">
            <v>5712-SOL-226285/LV</v>
          </cell>
          <cell r="B281" t="str">
            <v>226285LV</v>
          </cell>
          <cell r="D281" t="str">
            <v>DIA:22.5xH:7.1cm SOLAR 8.5" SALAD BOWL (LAVA GRAY)</v>
          </cell>
          <cell r="E281" t="str">
            <v>NO TAG</v>
          </cell>
          <cell r="H281">
            <v>9.52</v>
          </cell>
          <cell r="I281" t="str">
            <v>JS-Janitorial and Stewarding</v>
          </cell>
          <cell r="J281" t="str">
            <v>SVW-Serveware</v>
          </cell>
          <cell r="K281" t="str">
            <v/>
          </cell>
          <cell r="L281" t="str">
            <v>Solar Ø22.5xH7.1cm 8.5" Salad Bowl Lava Grey</v>
          </cell>
        </row>
        <row r="282">
          <cell r="A282" t="str">
            <v>5712-SOL-532304/DP</v>
          </cell>
          <cell r="B282" t="str">
            <v>532304DP</v>
          </cell>
          <cell r="D282" t="str">
            <v>DIA:16.5xH:10cm SOLAR ROUND TALL BASE STAND (DUSTY PINK)</v>
          </cell>
          <cell r="E282" t="str">
            <v>NO TAG</v>
          </cell>
          <cell r="H282">
            <v>8.56</v>
          </cell>
          <cell r="I282" t="str">
            <v>JS-Janitorial and Stewarding</v>
          </cell>
          <cell r="J282" t="str">
            <v/>
          </cell>
          <cell r="K282" t="str">
            <v/>
          </cell>
          <cell r="L282" t="str">
            <v>Solar Ø16.5xH10cm Round Tall Base Stand Dusty Pink</v>
          </cell>
        </row>
        <row r="283">
          <cell r="A283" t="str">
            <v>5712-SOL-532304/LV</v>
          </cell>
          <cell r="B283" t="str">
            <v>532304LV</v>
          </cell>
          <cell r="D283" t="str">
            <v>DIA:16.5xH:10cm SOLAR ROUND TALL BASE STAND (LAVA GRAY)</v>
          </cell>
          <cell r="E283" t="str">
            <v>NO TAG</v>
          </cell>
          <cell r="H283">
            <v>8.56</v>
          </cell>
          <cell r="I283" t="str">
            <v>JS-Janitorial and Stewarding</v>
          </cell>
          <cell r="J283" t="str">
            <v/>
          </cell>
          <cell r="K283" t="str">
            <v/>
          </cell>
          <cell r="L283" t="str">
            <v>Solar Ø16.5xH10cm Round Tall Base Stand Lava Grey</v>
          </cell>
        </row>
        <row r="284">
          <cell r="A284" t="str">
            <v>5712-SOL-532307/LV</v>
          </cell>
          <cell r="B284" t="str">
            <v>532307LV</v>
          </cell>
          <cell r="D284" t="str">
            <v>DIA:16.5xH:18cm SOLAR ROUND TALL BASE STAND (LAVA GRAY)</v>
          </cell>
          <cell r="E284" t="str">
            <v>NO TAG</v>
          </cell>
          <cell r="H284">
            <v>11.74</v>
          </cell>
          <cell r="I284" t="str">
            <v>JS-Janitorial and Stewarding</v>
          </cell>
          <cell r="J284" t="str">
            <v/>
          </cell>
          <cell r="K284" t="str">
            <v/>
          </cell>
          <cell r="L284" t="str">
            <v>Solar Ø16.5xH18cm Round Tall Base Stand Lava Grey</v>
          </cell>
        </row>
        <row r="285">
          <cell r="A285" t="str">
            <v>5712-SP-STUB</v>
          </cell>
          <cell r="D285" t="str">
            <v>(IDPOA) SPARE STUB "L" RUBBER STUB FOR RECT/OAK/WOOD TRAY BASE USE</v>
          </cell>
          <cell r="E285" t="str">
            <v>ID NO STOCK</v>
          </cell>
          <cell r="H285">
            <v>0.71</v>
          </cell>
          <cell r="I285" t="str">
            <v>JS-Janitorial and Stewarding</v>
          </cell>
          <cell r="J285" t="str">
            <v/>
          </cell>
          <cell r="K285" t="str">
            <v/>
          </cell>
          <cell r="L285" t="str">
            <v>Rubber Spare Stub "L" for Rectangular/Oak/Wood Tray Base</v>
          </cell>
        </row>
        <row r="286">
          <cell r="A286" t="str">
            <v>5712-TERRA-520503TI</v>
          </cell>
          <cell r="B286" t="str">
            <v>520503TI</v>
          </cell>
          <cell r="D286" t="str">
            <v>8X8X3cm ROUND TERRACOTTA DISH (TILES RED)</v>
          </cell>
          <cell r="E286" t="str">
            <v>NO TAG</v>
          </cell>
          <cell r="H286">
            <v>1.52</v>
          </cell>
          <cell r="I286" t="str">
            <v>JS-Janitorial and Stewarding</v>
          </cell>
          <cell r="J286" t="str">
            <v>DWR-Dinnerware</v>
          </cell>
          <cell r="K286" t="str">
            <v/>
          </cell>
          <cell r="L286" t="str">
            <v>Terracotta 8x8x3cm Round Dish Red</v>
          </cell>
        </row>
        <row r="287">
          <cell r="A287" t="str">
            <v>5712-TERRA-520504TI</v>
          </cell>
          <cell r="B287" t="str">
            <v>520504TI</v>
          </cell>
          <cell r="D287" t="str">
            <v>10X10X3cm ROUND TERRACOTTA DISH  (TILES RED)</v>
          </cell>
          <cell r="E287" t="str">
            <v>NO TAG</v>
          </cell>
          <cell r="H287">
            <v>1.82</v>
          </cell>
          <cell r="I287" t="str">
            <v>JS-Janitorial and Stewarding</v>
          </cell>
          <cell r="J287" t="str">
            <v>DWR-Dinnerware</v>
          </cell>
          <cell r="K287" t="str">
            <v/>
          </cell>
          <cell r="L287" t="str">
            <v>Terracotta 10x10x3cm Round Dish Red</v>
          </cell>
        </row>
        <row r="288">
          <cell r="A288" t="str">
            <v>5712-TERRA-520505TI</v>
          </cell>
          <cell r="B288" t="str">
            <v>520505TI</v>
          </cell>
          <cell r="D288" t="str">
            <v>12X12X3cm ROUND TERRACOTTA DISH (TILES RED)</v>
          </cell>
          <cell r="E288" t="str">
            <v>NO TAG</v>
          </cell>
          <cell r="H288">
            <v>2.89</v>
          </cell>
          <cell r="I288" t="str">
            <v>JS-Janitorial and Stewarding</v>
          </cell>
          <cell r="J288" t="str">
            <v>DWR-Dinnerware</v>
          </cell>
          <cell r="K288" t="str">
            <v/>
          </cell>
          <cell r="L288" t="str">
            <v>Terracotta 12x12x3cm Round Dish Red</v>
          </cell>
        </row>
        <row r="289">
          <cell r="A289" t="str">
            <v>5712-TERRA-520554TI</v>
          </cell>
          <cell r="B289" t="str">
            <v>520554TI</v>
          </cell>
          <cell r="D289" t="str">
            <v>13.5X13.5X3cm ROUND TERRACOTTA DISH (TILES RED)</v>
          </cell>
          <cell r="E289" t="str">
            <v>NO TAG</v>
          </cell>
          <cell r="H289">
            <v>3.04</v>
          </cell>
          <cell r="I289" t="str">
            <v>JS-Janitorial and Stewarding</v>
          </cell>
          <cell r="J289" t="str">
            <v>DWR-Dinnerware</v>
          </cell>
          <cell r="K289" t="str">
            <v/>
          </cell>
          <cell r="L289" t="str">
            <v>Terracotta 13.5x13.5x3cm Round Dish Red</v>
          </cell>
        </row>
        <row r="290">
          <cell r="A290" t="str">
            <v>5712-TS-416813IV</v>
          </cell>
          <cell r="B290" t="str">
            <v>416813IV</v>
          </cell>
          <cell r="D290" t="str">
            <v>#416813, 13" RD TABLET MELAMINE TRAY ONLY (STAND SOLD SEPARATELY)</v>
          </cell>
          <cell r="E290" t="str">
            <v>NO TAG</v>
          </cell>
          <cell r="H290">
            <v>21.58</v>
          </cell>
          <cell r="I290" t="str">
            <v>JS-Janitorial and Stewarding</v>
          </cell>
          <cell r="J290" t="str">
            <v>SVW-Serveware</v>
          </cell>
          <cell r="K290" t="str">
            <v>MSA-Miscellaneous Serving Accessories</v>
          </cell>
          <cell r="L290" t="str">
            <v>#416813 Melamine 13" Round Tablet Tray</v>
          </cell>
        </row>
        <row r="291">
          <cell r="A291" t="str">
            <v>5712-TS-516806IV</v>
          </cell>
          <cell r="B291" t="str">
            <v>416813IV</v>
          </cell>
          <cell r="D291" t="str">
            <v>(WSL19)#516806, TABLET STAND ONLY FOR ''TS'' TRAY USE (TRAY SOLD SEPARATELY)</v>
          </cell>
          <cell r="E291" t="str">
            <v>WSL WITH STOCK</v>
          </cell>
          <cell r="H291">
            <v>21.58</v>
          </cell>
          <cell r="I291" t="str">
            <v>JS-Janitorial and Stewarding</v>
          </cell>
          <cell r="J291" t="str">
            <v/>
          </cell>
          <cell r="K291" t="str">
            <v/>
          </cell>
          <cell r="L291" t="str">
            <v>#516806 Tablet Stand Only for "TS" Tray Use</v>
          </cell>
        </row>
        <row r="292">
          <cell r="A292" t="str">
            <v>5712-WOOD-407212ER5</v>
          </cell>
          <cell r="B292" t="str">
            <v>407212ER5</v>
          </cell>
          <cell r="D292" t="str">
            <v>#407212, L:30xW:5cm RECT. WOODY BAKER PASTRY TRAY</v>
          </cell>
          <cell r="E292" t="str">
            <v>NO TAG</v>
          </cell>
          <cell r="H292">
            <v>2.48</v>
          </cell>
          <cell r="I292" t="str">
            <v>JS-Janitorial and Stewarding</v>
          </cell>
          <cell r="J292" t="str">
            <v>BW-Bakeware</v>
          </cell>
          <cell r="K292" t="str">
            <v>BPT-Baking Pans &amp; Trays</v>
          </cell>
          <cell r="L292" t="str">
            <v>L30xW5cm Woody Baker Rectangular Pastry Tray</v>
          </cell>
        </row>
        <row r="293">
          <cell r="A293" t="str">
            <v>5712-WOOD-407312ER5</v>
          </cell>
          <cell r="B293" t="str">
            <v>407312ER5</v>
          </cell>
          <cell r="D293" t="str">
            <v>#407312, L:30xW:10cm RECT. WOODY BAKER PASTRY TRAY</v>
          </cell>
          <cell r="E293" t="str">
            <v>NO TAG</v>
          </cell>
          <cell r="H293">
            <v>4.01</v>
          </cell>
          <cell r="I293" t="str">
            <v>JS-Janitorial and Stewarding</v>
          </cell>
          <cell r="J293" t="str">
            <v>BW-Bakeware</v>
          </cell>
          <cell r="K293" t="str">
            <v>BPT-Baking Pans &amp; Trays</v>
          </cell>
          <cell r="L293" t="str">
            <v>#407212 L30xW10cm Woody Baker Rectangular Pastry Tray</v>
          </cell>
        </row>
        <row r="294">
          <cell r="A294" t="str">
            <v>5712-WOOD-407412/BK</v>
          </cell>
          <cell r="B294" t="str">
            <v>407412BK</v>
          </cell>
          <cell r="D294" t="str">
            <v>#407412BK, L:30xW:15cm RECT. WOODY BAKER PASTRY TRAY</v>
          </cell>
          <cell r="E294" t="str">
            <v>NO TAG</v>
          </cell>
          <cell r="H294">
            <v>6.03</v>
          </cell>
          <cell r="I294" t="str">
            <v>JS-Janitorial and Stewarding</v>
          </cell>
          <cell r="J294" t="str">
            <v>BW-Bakeware</v>
          </cell>
          <cell r="K294" t="str">
            <v>BPT-Baking Pans &amp; Trays</v>
          </cell>
          <cell r="L294" t="str">
            <v>#407412B L30xW15cmWoody Baker Rectangular Pastry Tray</v>
          </cell>
        </row>
        <row r="295">
          <cell r="A295" t="str">
            <v>5712-WOOD-407412ER5</v>
          </cell>
          <cell r="B295" t="str">
            <v>407412ER5</v>
          </cell>
          <cell r="D295" t="str">
            <v>#407412, L:30xW:15cm RECT. WOODY BAKER PASTRY TRAY</v>
          </cell>
          <cell r="E295" t="str">
            <v>NO TAG</v>
          </cell>
          <cell r="H295">
            <v>6.03</v>
          </cell>
          <cell r="I295" t="str">
            <v>JS-Janitorial and Stewarding</v>
          </cell>
          <cell r="J295" t="str">
            <v>BW-Bakeware</v>
          </cell>
          <cell r="K295" t="str">
            <v>BPT-Baking Pans &amp; Trays</v>
          </cell>
          <cell r="L295" t="str">
            <v>#407412 L30xW15cm Woody Baker Rectangular Pastry Tray</v>
          </cell>
        </row>
        <row r="296">
          <cell r="A296" t="str">
            <v>5712-WOOD-407412LW18</v>
          </cell>
          <cell r="B296" t="str">
            <v>407412BK</v>
          </cell>
          <cell r="D296" t="str">
            <v>L:30xW:15cm RECT. WOODY BAKER PASTRY TRAY,LIGHT WOOD</v>
          </cell>
          <cell r="E296" t="str">
            <v>NO TAG</v>
          </cell>
          <cell r="H296">
            <v>6.03</v>
          </cell>
          <cell r="I296" t="str">
            <v>JS-Janitorial and Stewarding</v>
          </cell>
          <cell r="J296" t="str">
            <v>BW-Bakeware</v>
          </cell>
          <cell r="K296" t="str">
            <v>BPT-Baking Pans &amp; Trays</v>
          </cell>
          <cell r="L296" t="str">
            <v>L30x15cm Rectangular Woody Baker Pastry Tray Light Wood</v>
          </cell>
        </row>
        <row r="297">
          <cell r="A297" t="str">
            <v>5712-WOOD-407512ER5</v>
          </cell>
          <cell r="B297" t="str">
            <v>407512ER5</v>
          </cell>
          <cell r="D297" t="str">
            <v>#407512, L:30xW:20cm RECT. WOODY BAKER PASTRY TRAY</v>
          </cell>
          <cell r="E297" t="str">
            <v>NO TAG</v>
          </cell>
          <cell r="H297">
            <v>7.44</v>
          </cell>
          <cell r="I297" t="str">
            <v>JS-Janitorial and Stewarding</v>
          </cell>
          <cell r="J297" t="str">
            <v>BW-Bakeware</v>
          </cell>
          <cell r="K297" t="str">
            <v>BPT-Baking Pans &amp; Trays</v>
          </cell>
          <cell r="L297" t="str">
            <v>#407512 L30xW20cm Woody Baker Rectangular Pastry Tray</v>
          </cell>
        </row>
        <row r="298">
          <cell r="A298" t="str">
            <v>5712-WOOD-407512LW18</v>
          </cell>
          <cell r="B298" t="str">
            <v>407512ER5</v>
          </cell>
          <cell r="D298" t="str">
            <v>L:30xW:20cm RECT. WOODY BAKER PASTRY TRAY，LIGHT WOOD</v>
          </cell>
          <cell r="E298" t="str">
            <v>NO TAG</v>
          </cell>
          <cell r="H298">
            <v>7.44</v>
          </cell>
          <cell r="I298" t="str">
            <v>JS-Janitorial and Stewarding</v>
          </cell>
          <cell r="J298" t="str">
            <v>BW-Bakeware</v>
          </cell>
          <cell r="K298" t="str">
            <v>BPT-Baking Pans &amp; Trays</v>
          </cell>
          <cell r="L298" t="str">
            <v>L30x20cm Rectangular Pastry Tray Light Wood</v>
          </cell>
        </row>
        <row r="299">
          <cell r="A299" t="str">
            <v>5712-WOOD-407612ER5</v>
          </cell>
          <cell r="B299" t="str">
            <v>4076512ER5</v>
          </cell>
          <cell r="D299" t="str">
            <v>#407612, L:30xW:30cm SQUARE WOODY BAKER PASTRY TRAY</v>
          </cell>
          <cell r="E299" t="str">
            <v>NO TAG</v>
          </cell>
          <cell r="H299">
            <v>11.09</v>
          </cell>
          <cell r="I299" t="str">
            <v>JS-Janitorial and Stewarding</v>
          </cell>
          <cell r="J299" t="str">
            <v>BW-Bakeware</v>
          </cell>
          <cell r="K299" t="str">
            <v>BPT-Baking Pans &amp; Trays</v>
          </cell>
          <cell r="L299" t="str">
            <v>#407612 L30xW30cm Woody Square Pastry Tray</v>
          </cell>
        </row>
        <row r="300">
          <cell r="A300" t="str">
            <v>5712-WOOD-407716-BK</v>
          </cell>
          <cell r="B300" t="str">
            <v>407716BK</v>
          </cell>
          <cell r="D300" t="str">
            <v>#407716BK, L:40xW:30cm RECT. WOODY BAKER PASTRY TRAY</v>
          </cell>
          <cell r="E300" t="str">
            <v>NO TAG</v>
          </cell>
          <cell r="H300">
            <v>16.14</v>
          </cell>
          <cell r="I300" t="str">
            <v>JS-Janitorial and Stewarding</v>
          </cell>
          <cell r="J300" t="str">
            <v>BW-Bakeware</v>
          </cell>
          <cell r="K300" t="str">
            <v>BPT-Baking Pans &amp; Trays</v>
          </cell>
          <cell r="L300" t="str">
            <v>#407716BK L40xW30cm Woody Baker Rectangular Pastry Tray</v>
          </cell>
        </row>
        <row r="301">
          <cell r="A301" t="str">
            <v>5712-WOOD-407716ER5</v>
          </cell>
          <cell r="B301" t="str">
            <v>407716ER5</v>
          </cell>
          <cell r="D301" t="str">
            <v>#407716, L:40xW:30cm RECT. WOODY BAKER PASTRY TRAY</v>
          </cell>
          <cell r="E301" t="str">
            <v>NO TAG</v>
          </cell>
          <cell r="H301">
            <v>16.14</v>
          </cell>
          <cell r="I301" t="str">
            <v>JS-Janitorial and Stewarding</v>
          </cell>
          <cell r="J301" t="str">
            <v>BW-Bakeware</v>
          </cell>
          <cell r="K301" t="str">
            <v>BPT-Baking Pans &amp; Trays</v>
          </cell>
          <cell r="L301" t="str">
            <v>#407716 L40xW30cm Woody Baker Rectangular Pastry Tray</v>
          </cell>
        </row>
        <row r="302">
          <cell r="A302" t="str">
            <v>5712-WOOD-407716LW18</v>
          </cell>
          <cell r="B302" t="str">
            <v>407716ER5</v>
          </cell>
          <cell r="D302" t="str">
            <v>L:40xW:30cm RECT. WOODY BAKER PASTRY TRAY,LIGHT WOOD</v>
          </cell>
          <cell r="E302" t="str">
            <v>NO TAG</v>
          </cell>
          <cell r="H302">
            <v>16.14</v>
          </cell>
          <cell r="I302" t="str">
            <v>JS-Janitorial and Stewarding</v>
          </cell>
          <cell r="J302" t="str">
            <v>BW-Bakeware</v>
          </cell>
          <cell r="K302" t="str">
            <v>BPT-Baking Pans &amp; Trays</v>
          </cell>
          <cell r="L302" t="str">
            <v>L40xW30cm Rectangular Pastry Tray Light Wood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3"/>
  <sheetViews>
    <sheetView zoomScaleNormal="100" workbookViewId="0">
      <pane ySplit="1" topLeftCell="A2" activePane="bottomLeft" state="frozen"/>
      <selection pane="bottomLeft" sqref="A1:L1048576"/>
    </sheetView>
  </sheetViews>
  <sheetFormatPr defaultRowHeight="15" x14ac:dyDescent="0.25"/>
  <cols>
    <col min="2" max="2" width="9.140625" style="3"/>
    <col min="5" max="5" width="15.7109375" customWidth="1"/>
    <col min="13" max="13" width="49.140625" style="3" customWidth="1"/>
    <col min="14" max="14" width="31.7109375" style="1" customWidth="1"/>
    <col min="15" max="15" width="15.85546875" style="1" customWidth="1"/>
  </cols>
  <sheetData>
    <row r="1" spans="1:15" x14ac:dyDescent="0.25">
      <c r="A1" s="4" t="s">
        <v>1087</v>
      </c>
      <c r="B1" s="4" t="s">
        <v>1086</v>
      </c>
      <c r="C1" s="4" t="s">
        <v>1088</v>
      </c>
      <c r="D1" s="4" t="s">
        <v>1090</v>
      </c>
      <c r="E1" s="4" t="s">
        <v>1091</v>
      </c>
      <c r="F1" s="4" t="s">
        <v>1092</v>
      </c>
      <c r="G1" s="4" t="s">
        <v>1093</v>
      </c>
      <c r="H1" s="4" t="s">
        <v>1095</v>
      </c>
      <c r="I1" s="5" t="s">
        <v>1096</v>
      </c>
      <c r="J1" s="5" t="s">
        <v>1097</v>
      </c>
      <c r="K1" s="5" t="s">
        <v>1098</v>
      </c>
      <c r="L1" s="5" t="s">
        <v>1099</v>
      </c>
      <c r="M1" s="5" t="s">
        <v>1100</v>
      </c>
      <c r="N1" s="6" t="s">
        <v>1</v>
      </c>
      <c r="O1" s="6" t="s">
        <v>0</v>
      </c>
    </row>
    <row r="2" spans="1:15" x14ac:dyDescent="0.25">
      <c r="A2" t="str">
        <f>_xlfn.XLOOKUP(B2, [1]EFAY!$B:$B,[1]EFAY!$A:$A)</f>
        <v>5712-MINI-530413BK</v>
      </c>
      <c r="B2" s="3" t="s">
        <v>22</v>
      </c>
      <c r="C2" t="s">
        <v>1089</v>
      </c>
      <c r="D2" t="str">
        <f>_xlfn.XLOOKUP(B2, [1]EFAY!$B:$B,[1]EFAY!$D:$D)</f>
        <v>(D:32cm) MELAMINE "LITTLE CHEF" 13" SALAD WOK BOWL, BLACK</v>
      </c>
      <c r="E2" t="str">
        <f>_xlfn.XLOOKUP(B2, [1]EFAY!$B:$B,[1]EFAY!$E:$E)</f>
        <v>NO TAG</v>
      </c>
      <c r="G2" t="s">
        <v>1094</v>
      </c>
      <c r="H2">
        <f>_xlfn.XLOOKUP(B2, [1]EFAY!$B:$B,[1]EFAY!$H:$H)</f>
        <v>13.82</v>
      </c>
      <c r="I2" t="str">
        <f>_xlfn.XLOOKUP(B2, [1]EFAY!$B:$B,[1]EFAY!$I:$I)</f>
        <v>JS-Janitorial and Stewarding</v>
      </c>
      <c r="J2" t="str">
        <f>_xlfn.XLOOKUP(B2, [1]EFAY!$B:$B,[1]EFAY!$J:$J)</f>
        <v>SVW-Serveware</v>
      </c>
      <c r="K2" t="str">
        <f>_xlfn.XLOOKUP(B2, [1]EFAY!$B:$B,[1]EFAY!$K:$K)</f>
        <v>MSA-Miscellaneous Serving Accessories</v>
      </c>
      <c r="L2" t="str">
        <f>_xlfn.XLOOKUP(B2, [1]EFAY!$B:$B,[1]EFAY!$L:$L)</f>
        <v>Melamine Ø32cm 13" "Little Chef" Salad Wok Bowl Black</v>
      </c>
      <c r="M2" s="3" t="s">
        <v>23</v>
      </c>
      <c r="N2" s="1" t="s">
        <v>21</v>
      </c>
      <c r="O2" s="1" t="s">
        <v>20</v>
      </c>
    </row>
    <row r="3" spans="1:15" x14ac:dyDescent="0.25">
      <c r="A3" t="str">
        <f>_xlfn.XLOOKUP(B3, [1]EFAY!$B:$B,[1]EFAY!$A:$A)</f>
        <v>5712-MINI-530415BK</v>
      </c>
      <c r="B3" s="3" t="s">
        <v>26</v>
      </c>
      <c r="C3" t="s">
        <v>1089</v>
      </c>
      <c r="D3" t="str">
        <f>_xlfn.XLOOKUP(B3, [1]EFAY!$B:$B,[1]EFAY!$D:$D)</f>
        <v>(D:39cm) MELAMINE "LITTLE CHEF" 15" SALAD WOK BOWL, BLACK</v>
      </c>
      <c r="E3" t="str">
        <f>_xlfn.XLOOKUP(B3, [1]EFAY!$B:$B,[1]EFAY!$E:$E)</f>
        <v>NO TAG</v>
      </c>
      <c r="G3" t="s">
        <v>1094</v>
      </c>
      <c r="H3">
        <f>_xlfn.XLOOKUP(B3, [1]EFAY!$B:$B,[1]EFAY!$H:$H)</f>
        <v>26.7</v>
      </c>
      <c r="I3" t="str">
        <f>_xlfn.XLOOKUP(B3, [1]EFAY!$B:$B,[1]EFAY!$I:$I)</f>
        <v>JS-Janitorial and Stewarding</v>
      </c>
      <c r="J3" t="str">
        <f>_xlfn.XLOOKUP(B3, [1]EFAY!$B:$B,[1]EFAY!$J:$J)</f>
        <v>SVW-Serveware</v>
      </c>
      <c r="K3" t="str">
        <f>_xlfn.XLOOKUP(B3, [1]EFAY!$B:$B,[1]EFAY!$K:$K)</f>
        <v>MSA-Miscellaneous Serving Accessories</v>
      </c>
      <c r="L3" t="str">
        <f>_xlfn.XLOOKUP(B3, [1]EFAY!$B:$B,[1]EFAY!$L:$L)</f>
        <v>Melamine Ø39cm 15" "Little Chef" Salad Wok Bowl Black</v>
      </c>
      <c r="M3" s="3" t="s">
        <v>27</v>
      </c>
      <c r="N3" s="1" t="s">
        <v>25</v>
      </c>
      <c r="O3" s="1" t="s">
        <v>24</v>
      </c>
    </row>
    <row r="4" spans="1:15" x14ac:dyDescent="0.25">
      <c r="A4" t="str">
        <f>_xlfn.XLOOKUP(B4, [1]EFAY!$B:$B,[1]EFAY!$A:$A)</f>
        <v>5712-MINI-530417BK</v>
      </c>
      <c r="B4" s="3" t="s">
        <v>30</v>
      </c>
      <c r="C4" t="s">
        <v>1089</v>
      </c>
      <c r="D4" t="str">
        <f>_xlfn.XLOOKUP(B4, [1]EFAY!$B:$B,[1]EFAY!$D:$D)</f>
        <v>(D:44cm) MELAMINE "LITTLE CHEF" 17" SALAD WOK BOWL, BLACK</v>
      </c>
      <c r="E4" t="str">
        <f>_xlfn.XLOOKUP(B4, [1]EFAY!$B:$B,[1]EFAY!$E:$E)</f>
        <v>NO TAG</v>
      </c>
      <c r="G4" t="s">
        <v>1094</v>
      </c>
      <c r="H4">
        <f>_xlfn.XLOOKUP(B4, [1]EFAY!$B:$B,[1]EFAY!$H:$H)</f>
        <v>35.6</v>
      </c>
      <c r="I4" t="str">
        <f>_xlfn.XLOOKUP(B4, [1]EFAY!$B:$B,[1]EFAY!$I:$I)</f>
        <v>JS-Janitorial and Stewarding</v>
      </c>
      <c r="J4" t="str">
        <f>_xlfn.XLOOKUP(B4, [1]EFAY!$B:$B,[1]EFAY!$J:$J)</f>
        <v>SVW-Serveware</v>
      </c>
      <c r="K4" t="str">
        <f>_xlfn.XLOOKUP(B4, [1]EFAY!$B:$B,[1]EFAY!$K:$K)</f>
        <v>MSA-Miscellaneous Serving Accessories</v>
      </c>
      <c r="L4" t="str">
        <f>_xlfn.XLOOKUP(B4, [1]EFAY!$B:$B,[1]EFAY!$L:$L)</f>
        <v>Melamine Ø44cm17" "Little Chef"  Salad Wok Bowl Black</v>
      </c>
      <c r="M4" s="3" t="s">
        <v>31</v>
      </c>
      <c r="N4" s="1" t="s">
        <v>29</v>
      </c>
      <c r="O4" s="1" t="s">
        <v>28</v>
      </c>
    </row>
    <row r="5" spans="1:15" x14ac:dyDescent="0.25">
      <c r="A5" t="str">
        <f>_xlfn.XLOOKUP(B5, [1]EFAY!$B:$B,[1]EFAY!$A:$A)</f>
        <v>5712-GN-407812IV47</v>
      </c>
      <c r="B5" s="3" t="s">
        <v>35</v>
      </c>
      <c r="C5" t="s">
        <v>1089</v>
      </c>
      <c r="D5" t="str">
        <f>_xlfn.XLOOKUP(B5, [1]EFAY!$B:$B,[1]EFAY!$D:$D)</f>
        <v>(ID, MOQ:72) #407812-IV47, 1/2 GN BAKER TRAY, JEAN</v>
      </c>
      <c r="E5" t="str">
        <f>_xlfn.XLOOKUP(B5, [1]EFAY!$B:$B,[1]EFAY!$E:$E)</f>
        <v>ID WITH STOCK</v>
      </c>
      <c r="G5" t="s">
        <v>1094</v>
      </c>
      <c r="H5">
        <f>_xlfn.XLOOKUP(B5, [1]EFAY!$B:$B,[1]EFAY!$H:$H)</f>
        <v>11.31</v>
      </c>
      <c r="I5" t="str">
        <f>_xlfn.XLOOKUP(B5, [1]EFAY!$B:$B,[1]EFAY!$I:$I)</f>
        <v>JS-Janitorial and Stewarding</v>
      </c>
      <c r="J5" t="str">
        <f>_xlfn.XLOOKUP(B5, [1]EFAY!$B:$B,[1]EFAY!$J:$J)</f>
        <v>BW-Bakeware</v>
      </c>
      <c r="K5" t="str">
        <f>_xlfn.XLOOKUP(B5, [1]EFAY!$B:$B,[1]EFAY!$K:$K)</f>
        <v>BPT-Baking Pans &amp; Trays</v>
      </c>
      <c r="L5" t="str">
        <f>_xlfn.XLOOKUP(B5, [1]EFAY!$B:$B,[1]EFAY!$L:$L)</f>
        <v>#407812-IV47 1/2 GN Baker Tray Jean</v>
      </c>
      <c r="M5" s="3" t="s">
        <v>36</v>
      </c>
      <c r="N5" s="1" t="s">
        <v>34</v>
      </c>
      <c r="O5" s="1" t="s">
        <v>33</v>
      </c>
    </row>
    <row r="6" spans="1:15" x14ac:dyDescent="0.25">
      <c r="A6" t="str">
        <f>_xlfn.XLOOKUP(B6, [1]EFAY!$B:$B,[1]EFAY!$A:$A)</f>
        <v>5712-ENAMEL-2214123-BK</v>
      </c>
      <c r="B6" s="3">
        <v>2214123</v>
      </c>
      <c r="C6" t="s">
        <v>1089</v>
      </c>
      <c r="D6" t="str">
        <f>_xlfn.XLOOKUP(B6, [1]EFAY!$B:$B,[1]EFAY!$D:$D)</f>
        <v>32.5X26.5cm 1/2 SIZE "ENAMEL LOOK" RECT TRAY (BLACK W/WHITE LINE)</v>
      </c>
      <c r="E6" t="str">
        <f>_xlfn.XLOOKUP(B6, [1]EFAY!$B:$B,[1]EFAY!$E:$E)</f>
        <v>NO TAG</v>
      </c>
      <c r="G6" t="s">
        <v>1094</v>
      </c>
      <c r="H6">
        <f>_xlfn.XLOOKUP(B6, [1]EFAY!$B:$B,[1]EFAY!$H:$H)</f>
        <v>15.35</v>
      </c>
      <c r="I6" t="str">
        <f>_xlfn.XLOOKUP(B6, [1]EFAY!$B:$B,[1]EFAY!$I:$I)</f>
        <v>JS-Janitorial and Stewarding</v>
      </c>
      <c r="J6" t="str">
        <f>_xlfn.XLOOKUP(B6, [1]EFAY!$B:$B,[1]EFAY!$J:$J)</f>
        <v>SVW-Serveware</v>
      </c>
      <c r="K6" t="str">
        <f>_xlfn.XLOOKUP(B6, [1]EFAY!$B:$B,[1]EFAY!$K:$K)</f>
        <v>MSA-Miscellaneous Serving Accessories</v>
      </c>
      <c r="L6" t="str">
        <f>_xlfn.XLOOKUP(B6, [1]EFAY!$B:$B,[1]EFAY!$L:$L)</f>
        <v>32.5x26.5cm 1/2 Size Enamel Look Black Rectangular Tray with White Line</v>
      </c>
      <c r="M6" s="3" t="s">
        <v>39</v>
      </c>
      <c r="N6" s="1" t="s">
        <v>38</v>
      </c>
      <c r="O6" s="1" t="s">
        <v>37</v>
      </c>
    </row>
    <row r="7" spans="1:15" x14ac:dyDescent="0.25">
      <c r="A7" t="str">
        <f>_xlfn.XLOOKUP(B7, [1]EFAY!$B:$B,[1]EFAY!$A:$A)</f>
        <v>5712-ENAMEL-2214122-GY</v>
      </c>
      <c r="B7" s="3">
        <v>2214122</v>
      </c>
      <c r="C7" t="s">
        <v>1089</v>
      </c>
      <c r="D7" t="str">
        <f>_xlfn.XLOOKUP(B7, [1]EFAY!$B:$B,[1]EFAY!$D:$D)</f>
        <v>(WSL24)32.5X26.5cm 1/2 SIZE "ENAMEL LOOK" RECT TRAY (GREY W/WHITE LINE)</v>
      </c>
      <c r="E7" t="str">
        <f>_xlfn.XLOOKUP(B7, [1]EFAY!$B:$B,[1]EFAY!$E:$E)</f>
        <v>WSL WITH STOCK</v>
      </c>
      <c r="G7" t="s">
        <v>1094</v>
      </c>
      <c r="H7">
        <f>_xlfn.XLOOKUP(B7, [1]EFAY!$B:$B,[1]EFAY!$H:$H)</f>
        <v>15.35</v>
      </c>
      <c r="I7" t="str">
        <f>_xlfn.XLOOKUP(B7, [1]EFAY!$B:$B,[1]EFAY!$I:$I)</f>
        <v>JS-Janitorial and Stewarding</v>
      </c>
      <c r="J7" t="str">
        <f>_xlfn.XLOOKUP(B7, [1]EFAY!$B:$B,[1]EFAY!$J:$J)</f>
        <v>SVW-Serveware</v>
      </c>
      <c r="K7" t="str">
        <f>_xlfn.XLOOKUP(B7, [1]EFAY!$B:$B,[1]EFAY!$K:$K)</f>
        <v>MSA-Miscellaneous Serving Accessories</v>
      </c>
      <c r="L7" t="str">
        <f>_xlfn.XLOOKUP(B7, [1]EFAY!$B:$B,[1]EFAY!$L:$L)</f>
        <v>32.5x26.5cm 1/2 Size Enamel Look Grey Rectangular Tray with White Line</v>
      </c>
      <c r="M7" s="3" t="s">
        <v>42</v>
      </c>
      <c r="N7" s="1" t="s">
        <v>41</v>
      </c>
      <c r="O7" s="1" t="s">
        <v>40</v>
      </c>
    </row>
    <row r="8" spans="1:15" x14ac:dyDescent="0.25">
      <c r="A8" t="str">
        <f>_xlfn.XLOOKUP(B8, [1]EFAY!$B:$B,[1]EFAY!$A:$A)</f>
        <v>5712-ENAMEL-2214126WB</v>
      </c>
      <c r="B8" s="3">
        <v>2214121</v>
      </c>
      <c r="C8" t="s">
        <v>1089</v>
      </c>
      <c r="D8" t="str">
        <f>_xlfn.XLOOKUP(B8, [1]EFAY!$B:$B,[1]EFAY!$D:$D)</f>
        <v>(ID) (CODE:2214121) 32.5X26.5X2.5cm  1/2 SIZE "ENAMEL LOOK" RECT TRAY (WHITE W/BLACK LINE)</v>
      </c>
      <c r="E8" t="str">
        <f>_xlfn.XLOOKUP(B8, [1]EFAY!$B:$B,[1]EFAY!$E:$E)</f>
        <v>ID WITH STOCK</v>
      </c>
      <c r="G8" t="s">
        <v>1094</v>
      </c>
      <c r="H8">
        <f>_xlfn.XLOOKUP(B8, [1]EFAY!$B:$B,[1]EFAY!$H:$H)</f>
        <v>15.35</v>
      </c>
      <c r="I8" t="str">
        <f>_xlfn.XLOOKUP(B8, [1]EFAY!$B:$B,[1]EFAY!$I:$I)</f>
        <v>JS-Janitorial and Stewarding</v>
      </c>
      <c r="J8" t="str">
        <f>_xlfn.XLOOKUP(B8, [1]EFAY!$B:$B,[1]EFAY!$J:$J)</f>
        <v>SVW-Serveware</v>
      </c>
      <c r="K8" t="str">
        <f>_xlfn.XLOOKUP(B8, [1]EFAY!$B:$B,[1]EFAY!$K:$K)</f>
        <v>MSA-Miscellaneous Serving Accessories</v>
      </c>
      <c r="L8" t="str">
        <f>_xlfn.XLOOKUP(B8, [1]EFAY!$B:$B,[1]EFAY!$L:$L)</f>
        <v>32.5x26.5x2.5cm 1/2 Size Enamel Look White Rectangular Tray with Black Line</v>
      </c>
      <c r="M8" s="3" t="s">
        <v>45</v>
      </c>
      <c r="N8" s="1" t="s">
        <v>44</v>
      </c>
      <c r="O8" s="1" t="s">
        <v>43</v>
      </c>
    </row>
    <row r="9" spans="1:15" x14ac:dyDescent="0.25">
      <c r="A9" t="str">
        <f>_xlfn.XLOOKUP(B9, [1]EFAY!$B:$B,[1]EFAY!$A:$A)</f>
        <v>5712-ENAMEL-2215133-BK</v>
      </c>
      <c r="B9" s="3">
        <v>2215133</v>
      </c>
      <c r="C9" t="s">
        <v>1089</v>
      </c>
      <c r="D9" t="str">
        <f>_xlfn.XLOOKUP(B9, [1]EFAY!$B:$B,[1]EFAY!$D:$D)</f>
        <v>32.5X17.6X2.5cm  1/3 SIZE "ENAMEL LOOK" RECT TRAY (BLACK W/WHITE  LINE)</v>
      </c>
      <c r="E9" t="str">
        <f>_xlfn.XLOOKUP(B9, [1]EFAY!$B:$B,[1]EFAY!$E:$E)</f>
        <v>NO TAG</v>
      </c>
      <c r="G9" t="s">
        <v>1094</v>
      </c>
      <c r="H9">
        <f>_xlfn.XLOOKUP(B9, [1]EFAY!$B:$B,[1]EFAY!$H:$H)</f>
        <v>11.73</v>
      </c>
      <c r="I9" t="str">
        <f>_xlfn.XLOOKUP(B9, [1]EFAY!$B:$B,[1]EFAY!$I:$I)</f>
        <v>JS-Janitorial and Stewarding</v>
      </c>
      <c r="J9" t="str">
        <f>_xlfn.XLOOKUP(B9, [1]EFAY!$B:$B,[1]EFAY!$J:$J)</f>
        <v>SVW-Serveware</v>
      </c>
      <c r="K9" t="str">
        <f>_xlfn.XLOOKUP(B9, [1]EFAY!$B:$B,[1]EFAY!$K:$K)</f>
        <v>MSA-Miscellaneous Serving Accessories</v>
      </c>
      <c r="L9" t="str">
        <f>_xlfn.XLOOKUP(B9, [1]EFAY!$B:$B,[1]EFAY!$L:$L)</f>
        <v>32.5x17.6x2.5cm 1/3 Size Enamel Look Rectangular Tray Black with White Line</v>
      </c>
      <c r="M9" s="3" t="s">
        <v>49</v>
      </c>
      <c r="N9" s="1" t="s">
        <v>48</v>
      </c>
      <c r="O9" s="1" t="s">
        <v>47</v>
      </c>
    </row>
    <row r="10" spans="1:15" x14ac:dyDescent="0.25">
      <c r="A10" t="str">
        <f>_xlfn.XLOOKUP(B10, [1]EFAY!$B:$B,[1]EFAY!$A:$A)</f>
        <v>5712-ENAMEL-2215132-GY</v>
      </c>
      <c r="B10" s="3">
        <v>2215132</v>
      </c>
      <c r="C10" t="s">
        <v>1089</v>
      </c>
      <c r="D10" t="str">
        <f>_xlfn.XLOOKUP(B10, [1]EFAY!$B:$B,[1]EFAY!$D:$D)</f>
        <v>32.5X17.6X2.5cm  1/3 SIZE "ENAMEL LOOK" RECT TRAY (GREY W/WHITE  LINE)</v>
      </c>
      <c r="E10" t="str">
        <f>_xlfn.XLOOKUP(B10, [1]EFAY!$B:$B,[1]EFAY!$E:$E)</f>
        <v>NO TAG</v>
      </c>
      <c r="G10" t="s">
        <v>1094</v>
      </c>
      <c r="H10">
        <f>_xlfn.XLOOKUP(B10, [1]EFAY!$B:$B,[1]EFAY!$H:$H)</f>
        <v>11.73</v>
      </c>
      <c r="I10" t="str">
        <f>_xlfn.XLOOKUP(B10, [1]EFAY!$B:$B,[1]EFAY!$I:$I)</f>
        <v>JS-Janitorial and Stewarding</v>
      </c>
      <c r="J10" t="str">
        <f>_xlfn.XLOOKUP(B10, [1]EFAY!$B:$B,[1]EFAY!$J:$J)</f>
        <v>SVW-Serveware</v>
      </c>
      <c r="K10" t="str">
        <f>_xlfn.XLOOKUP(B10, [1]EFAY!$B:$B,[1]EFAY!$K:$K)</f>
        <v>MSA-Miscellaneous Serving Accessories</v>
      </c>
      <c r="L10" t="str">
        <f>_xlfn.XLOOKUP(B10, [1]EFAY!$B:$B,[1]EFAY!$L:$L)</f>
        <v>32.5x17.6x2.5cm 1/2 Size Enamel Look Rectangular Tray Grey with White Line</v>
      </c>
      <c r="M10" s="3" t="s">
        <v>52</v>
      </c>
      <c r="N10" s="1" t="s">
        <v>51</v>
      </c>
      <c r="O10" s="1" t="s">
        <v>50</v>
      </c>
    </row>
    <row r="11" spans="1:15" x14ac:dyDescent="0.25">
      <c r="A11" t="str">
        <f>_xlfn.XLOOKUP(B11, [1]EFAY!$B:$B,[1]EFAY!$A:$A)</f>
        <v>5712-ENAMEL-2215136WB</v>
      </c>
      <c r="B11" s="3">
        <v>2215131</v>
      </c>
      <c r="C11" t="s">
        <v>1089</v>
      </c>
      <c r="D11" t="str">
        <f>_xlfn.XLOOKUP(B11, [1]EFAY!$B:$B,[1]EFAY!$D:$D)</f>
        <v>(DCWSL24) (CODE:2215131) 32.5X17.6X2.5cm  1/3 SIZE "ENAMEL LOOK" RECT TRAY (WHITE W/BLACK  LINE)</v>
      </c>
      <c r="E11" t="str">
        <f>_xlfn.XLOOKUP(B11, [1]EFAY!$B:$B,[1]EFAY!$E:$E)</f>
        <v>WSL WITH STOCK</v>
      </c>
      <c r="G11" t="s">
        <v>1094</v>
      </c>
      <c r="H11">
        <f>_xlfn.XLOOKUP(B11, [1]EFAY!$B:$B,[1]EFAY!$H:$H)</f>
        <v>11.73</v>
      </c>
      <c r="I11" t="str">
        <f>_xlfn.XLOOKUP(B11, [1]EFAY!$B:$B,[1]EFAY!$I:$I)</f>
        <v>JS-Janitorial and Stewarding</v>
      </c>
      <c r="J11" t="str">
        <f>_xlfn.XLOOKUP(B11, [1]EFAY!$B:$B,[1]EFAY!$J:$J)</f>
        <v>SVW-Serveware</v>
      </c>
      <c r="K11" t="str">
        <f>_xlfn.XLOOKUP(B11, [1]EFAY!$B:$B,[1]EFAY!$K:$K)</f>
        <v>MSA-Miscellaneous Serving Accessories</v>
      </c>
      <c r="L11" t="str">
        <f>_xlfn.XLOOKUP(B11, [1]EFAY!$B:$B,[1]EFAY!$L:$L)</f>
        <v>32.5x17.6x2.5cm 1/3 Size Enamel Look Rect Tray White with Black Line</v>
      </c>
      <c r="M11" s="3" t="s">
        <v>55</v>
      </c>
      <c r="N11" s="1" t="s">
        <v>54</v>
      </c>
      <c r="O11" s="1" t="s">
        <v>53</v>
      </c>
    </row>
    <row r="12" spans="1:15" x14ac:dyDescent="0.25">
      <c r="A12" t="str">
        <f>_xlfn.XLOOKUP(B12, [1]EFAY!$B:$B,[1]EFAY!$A:$A)</f>
        <v>5712-EGN-1140LIV</v>
      </c>
      <c r="B12" s="3" t="s">
        <v>59</v>
      </c>
      <c r="C12" t="s">
        <v>1089</v>
      </c>
      <c r="D12" t="str">
        <f>_xlfn.XLOOKUP(B12, [1]EFAY!$B:$B,[1]EFAY!$D:$D)</f>
        <v>#1140L, 40MM MELAMINE LUNA GN 1/1 CURVE PLATE (IVORY)</v>
      </c>
      <c r="E12" t="str">
        <f>_xlfn.XLOOKUP(B12, [1]EFAY!$B:$B,[1]EFAY!$E:$E)</f>
        <v>NO TAG</v>
      </c>
      <c r="G12" t="s">
        <v>1094</v>
      </c>
      <c r="H12">
        <f>_xlfn.XLOOKUP(B12, [1]EFAY!$B:$B,[1]EFAY!$H:$H)</f>
        <v>32.520000000000003</v>
      </c>
      <c r="I12" t="str">
        <f>_xlfn.XLOOKUP(B12, [1]EFAY!$B:$B,[1]EFAY!$I:$I)</f>
        <v>JS-Janitorial and Stewarding</v>
      </c>
      <c r="J12" t="str">
        <f>_xlfn.XLOOKUP(B12, [1]EFAY!$B:$B,[1]EFAY!$J:$J)</f>
        <v>DWR-Dinnerware</v>
      </c>
      <c r="K12" t="str">
        <f>_xlfn.XLOOKUP(B12, [1]EFAY!$B:$B,[1]EFAY!$K:$K)</f>
        <v>PLT-Plates</v>
      </c>
      <c r="L12" t="str">
        <f>_xlfn.XLOOKUP(B12, [1]EFAY!$B:$B,[1]EFAY!$L:$L)</f>
        <v>#1140L GN 1/1 Melamine 40mm LunaCurve Plate Ivory</v>
      </c>
      <c r="M12" s="3" t="s">
        <v>60</v>
      </c>
      <c r="N12" s="1" t="s">
        <v>58</v>
      </c>
      <c r="O12" s="1" t="s">
        <v>57</v>
      </c>
    </row>
    <row r="13" spans="1:15" x14ac:dyDescent="0.25">
      <c r="A13" t="str">
        <f>_xlfn.XLOOKUP(B13, [1]EFAY!$B:$B,[1]EFAY!$A:$A)</f>
        <v>5712-EGN-1240LIV</v>
      </c>
      <c r="B13" s="3" t="s">
        <v>63</v>
      </c>
      <c r="C13" t="s">
        <v>1089</v>
      </c>
      <c r="D13" t="str">
        <f>_xlfn.XLOOKUP(B13, [1]EFAY!$B:$B,[1]EFAY!$D:$D)</f>
        <v>#1240L, 40MM MELAMINE LUNA GN 1/2 CURVE PLATE (IVORY)</v>
      </c>
      <c r="E13" t="str">
        <f>_xlfn.XLOOKUP(B13, [1]EFAY!$B:$B,[1]EFAY!$E:$E)</f>
        <v>NO TAG</v>
      </c>
      <c r="G13" t="s">
        <v>1094</v>
      </c>
      <c r="H13">
        <f>_xlfn.XLOOKUP(B13, [1]EFAY!$B:$B,[1]EFAY!$H:$H)</f>
        <v>16.77</v>
      </c>
      <c r="I13" t="str">
        <f>_xlfn.XLOOKUP(B13, [1]EFAY!$B:$B,[1]EFAY!$I:$I)</f>
        <v>JS-Janitorial and Stewarding</v>
      </c>
      <c r="J13" t="str">
        <f>_xlfn.XLOOKUP(B13, [1]EFAY!$B:$B,[1]EFAY!$J:$J)</f>
        <v>SVW-Serveware</v>
      </c>
      <c r="K13" t="str">
        <f>_xlfn.XLOOKUP(B13, [1]EFAY!$B:$B,[1]EFAY!$K:$K)</f>
        <v/>
      </c>
      <c r="L13" t="str">
        <f>_xlfn.XLOOKUP(B13, [1]EFAY!$B:$B,[1]EFAY!$L:$L)</f>
        <v>#1240L GN 1/2 Melamine 40mm Luna Curve Plate Ivory</v>
      </c>
      <c r="M13" s="3" t="s">
        <v>64</v>
      </c>
      <c r="N13" s="1" t="s">
        <v>62</v>
      </c>
      <c r="O13" s="1" t="s">
        <v>61</v>
      </c>
    </row>
    <row r="14" spans="1:15" x14ac:dyDescent="0.25">
      <c r="A14" t="str">
        <f>_xlfn.XLOOKUP(B14, [1]EFAY!$B:$B,[1]EFAY!$A:$A)</f>
        <v>5712-EGN-1340LIV</v>
      </c>
      <c r="B14" s="3" t="s">
        <v>67</v>
      </c>
      <c r="C14" t="s">
        <v>1089</v>
      </c>
      <c r="D14" t="str">
        <f>_xlfn.XLOOKUP(B14, [1]EFAY!$B:$B,[1]EFAY!$D:$D)</f>
        <v>(WSL19)#1340L, 40MM MELAMINE LUNA GN 1/3 CURVE PLATE (IVORY)</v>
      </c>
      <c r="E14" t="str">
        <f>_xlfn.XLOOKUP(B14, [1]EFAY!$B:$B,[1]EFAY!$E:$E)</f>
        <v>WSL WITH STOCK</v>
      </c>
      <c r="G14" t="s">
        <v>1094</v>
      </c>
      <c r="H14">
        <f>_xlfn.XLOOKUP(B14, [1]EFAY!$B:$B,[1]EFAY!$H:$H)</f>
        <v>9.8000000000000007</v>
      </c>
      <c r="I14" t="str">
        <f>_xlfn.XLOOKUP(B14, [1]EFAY!$B:$B,[1]EFAY!$I:$I)</f>
        <v>JS-Janitorial and Stewarding</v>
      </c>
      <c r="J14" t="str">
        <f>_xlfn.XLOOKUP(B14, [1]EFAY!$B:$B,[1]EFAY!$J:$J)</f>
        <v>DWR-Dinnerware</v>
      </c>
      <c r="K14" t="str">
        <f>_xlfn.XLOOKUP(B14, [1]EFAY!$B:$B,[1]EFAY!$K:$K)</f>
        <v>PLT-Plates</v>
      </c>
      <c r="L14" t="str">
        <f>_xlfn.XLOOKUP(B14, [1]EFAY!$B:$B,[1]EFAY!$L:$L)</f>
        <v>#1340L GN 1/3 Melamine 40mm Luna Curve Plate Ivory</v>
      </c>
      <c r="M14" s="3" t="s">
        <v>68</v>
      </c>
      <c r="N14" s="1" t="s">
        <v>66</v>
      </c>
      <c r="O14" s="1" t="s">
        <v>65</v>
      </c>
    </row>
    <row r="15" spans="1:15" x14ac:dyDescent="0.25">
      <c r="A15" t="str">
        <f>_xlfn.XLOOKUP(B15, [1]EFAY!$B:$B,[1]EFAY!$A:$A)</f>
        <v>5712-MELA-409311PW9</v>
      </c>
      <c r="B15" s="3" t="s">
        <v>71</v>
      </c>
      <c r="C15" t="s">
        <v>1089</v>
      </c>
      <c r="D15" t="str">
        <f>_xlfn.XLOOKUP(B15, [1]EFAY!$B:$B,[1]EFAY!$D:$D)</f>
        <v>#409311PW9, DIA 11"/28cm RD MELA 2-WAY USAGE BOARD,WHITE CARRARA</v>
      </c>
      <c r="E15" t="str">
        <f>_xlfn.XLOOKUP(B15, [1]EFAY!$B:$B,[1]EFAY!$E:$E)</f>
        <v>NO TAG</v>
      </c>
      <c r="G15" t="s">
        <v>1094</v>
      </c>
      <c r="H15">
        <f>_xlfn.XLOOKUP(B15, [1]EFAY!$B:$B,[1]EFAY!$H:$H)</f>
        <v>12.4</v>
      </c>
      <c r="I15" t="str">
        <f>_xlfn.XLOOKUP(B15, [1]EFAY!$B:$B,[1]EFAY!$I:$I)</f>
        <v>JS-Janitorial and Stewarding</v>
      </c>
      <c r="J15" t="str">
        <f>_xlfn.XLOOKUP(B15, [1]EFAY!$B:$B,[1]EFAY!$J:$J)</f>
        <v>SVW-Serveware</v>
      </c>
      <c r="K15" t="str">
        <f>_xlfn.XLOOKUP(B15, [1]EFAY!$B:$B,[1]EFAY!$K:$K)</f>
        <v>BBC-Bread Boards/Charcuterie Boards</v>
      </c>
      <c r="L15" t="str">
        <f>_xlfn.XLOOKUP(B15, [1]EFAY!$B:$B,[1]EFAY!$L:$L)</f>
        <v>#409311PW9 Ø11"/28cm 2-Way Usage Round Mela Board White Carrara</v>
      </c>
      <c r="M15" s="3" t="s">
        <v>72</v>
      </c>
      <c r="N15" s="1" t="s">
        <v>70</v>
      </c>
      <c r="O15" s="1" t="s">
        <v>69</v>
      </c>
    </row>
    <row r="16" spans="1:15" x14ac:dyDescent="0.25">
      <c r="A16" t="str">
        <f>_xlfn.XLOOKUP(B16, [1]EFAY!$B:$B,[1]EFAY!$A:$A)</f>
        <v>5712-MELA-409311ERS</v>
      </c>
      <c r="B16" s="3" t="s">
        <v>75</v>
      </c>
      <c r="C16" t="s">
        <v>1089</v>
      </c>
      <c r="D16" t="str">
        <f>_xlfn.XLOOKUP(B16, [1]EFAY!$B:$B,[1]EFAY!$D:$D)</f>
        <v>(WSL24)#409311, DIA 11"/28cm RD MELA 2-WAY USAGE BOARD (OAK) EARTH</v>
      </c>
      <c r="E16" t="str">
        <f>_xlfn.XLOOKUP(B16, [1]EFAY!$B:$B,[1]EFAY!$E:$E)</f>
        <v>WSL WITH STOCK</v>
      </c>
      <c r="G16" t="s">
        <v>1094</v>
      </c>
      <c r="H16">
        <f>_xlfn.XLOOKUP(B16, [1]EFAY!$B:$B,[1]EFAY!$H:$H)</f>
        <v>12.6</v>
      </c>
      <c r="I16" t="str">
        <f>_xlfn.XLOOKUP(B16, [1]EFAY!$B:$B,[1]EFAY!$I:$I)</f>
        <v>JS-Janitorial and Stewarding</v>
      </c>
      <c r="J16" t="str">
        <f>_xlfn.XLOOKUP(B16, [1]EFAY!$B:$B,[1]EFAY!$J:$J)</f>
        <v>SVW-Serveware</v>
      </c>
      <c r="K16" t="str">
        <f>_xlfn.XLOOKUP(B16, [1]EFAY!$B:$B,[1]EFAY!$K:$K)</f>
        <v>BBC-Bread Boards/Charcuterie Boards</v>
      </c>
      <c r="L16" t="str">
        <f>_xlfn.XLOOKUP(B16, [1]EFAY!$B:$B,[1]EFAY!$L:$L)</f>
        <v>#409311 Ø11"/28cm2-Way Usage Round Mela  Board Earth Oak</v>
      </c>
      <c r="M16" s="3" t="s">
        <v>76</v>
      </c>
      <c r="N16" s="1" t="s">
        <v>74</v>
      </c>
      <c r="O16" s="1" t="s">
        <v>73</v>
      </c>
    </row>
    <row r="17" spans="1:15" x14ac:dyDescent="0.25">
      <c r="A17" t="str">
        <f>_xlfn.XLOOKUP(B17, [1]EFAY!$B:$B,[1]EFAY!$A:$A)</f>
        <v>5712-MELA-409307PW9</v>
      </c>
      <c r="B17" s="3" t="s">
        <v>79</v>
      </c>
      <c r="C17" t="s">
        <v>1089</v>
      </c>
      <c r="D17" t="str">
        <f>_xlfn.XLOOKUP(B17, [1]EFAY!$B:$B,[1]EFAY!$D:$D)</f>
        <v>#409307PW9, DIA 7"/18cm RD MELA 2-WAY USAGE BOARD,WHITE CARRARA</v>
      </c>
      <c r="E17" t="str">
        <f>_xlfn.XLOOKUP(B17, [1]EFAY!$B:$B,[1]EFAY!$E:$E)</f>
        <v>NO TAG</v>
      </c>
      <c r="G17" t="s">
        <v>1094</v>
      </c>
      <c r="H17">
        <f>_xlfn.XLOOKUP(B17, [1]EFAY!$B:$B,[1]EFAY!$H:$H)</f>
        <v>5.6</v>
      </c>
      <c r="I17" t="str">
        <f>_xlfn.XLOOKUP(B17, [1]EFAY!$B:$B,[1]EFAY!$I:$I)</f>
        <v>JS-Janitorial and Stewarding</v>
      </c>
      <c r="J17" t="str">
        <f>_xlfn.XLOOKUP(B17, [1]EFAY!$B:$B,[1]EFAY!$J:$J)</f>
        <v>SVW-Serveware</v>
      </c>
      <c r="K17" t="str">
        <f>_xlfn.XLOOKUP(B17, [1]EFAY!$B:$B,[1]EFAY!$K:$K)</f>
        <v>BBC-Bread Boards/Charcuterie Boards</v>
      </c>
      <c r="L17" t="str">
        <f>_xlfn.XLOOKUP(B17, [1]EFAY!$B:$B,[1]EFAY!$L:$L)</f>
        <v>#409307PW9 Ø7"/18cm Round 2-Way Usage Mela Board White Carrara</v>
      </c>
      <c r="M17" s="3" t="s">
        <v>80</v>
      </c>
      <c r="N17" s="1" t="s">
        <v>78</v>
      </c>
      <c r="O17" s="1" t="s">
        <v>77</v>
      </c>
    </row>
    <row r="18" spans="1:15" x14ac:dyDescent="0.25">
      <c r="A18" t="str">
        <f>_xlfn.XLOOKUP(B18, [1]EFAY!$B:$B,[1]EFAY!$A:$A)</f>
        <v>5712-MELA-409307ERS</v>
      </c>
      <c r="B18" s="3" t="s">
        <v>83</v>
      </c>
      <c r="C18" t="s">
        <v>1089</v>
      </c>
      <c r="D18" t="str">
        <f>_xlfn.XLOOKUP(B18, [1]EFAY!$B:$B,[1]EFAY!$D:$D)</f>
        <v>#409307, DIA 7"/18cm RD MELA 2-WAY USAGE BOARD (OAK) EARTH</v>
      </c>
      <c r="E18" t="str">
        <f>_xlfn.XLOOKUP(B18, [1]EFAY!$B:$B,[1]EFAY!$E:$E)</f>
        <v>NO TAG</v>
      </c>
      <c r="G18" t="s">
        <v>1094</v>
      </c>
      <c r="H18">
        <f>_xlfn.XLOOKUP(B18, [1]EFAY!$B:$B,[1]EFAY!$H:$H)</f>
        <v>5.61</v>
      </c>
      <c r="I18" t="str">
        <f>_xlfn.XLOOKUP(B18, [1]EFAY!$B:$B,[1]EFAY!$I:$I)</f>
        <v>JS-Janitorial and Stewarding</v>
      </c>
      <c r="J18" t="str">
        <f>_xlfn.XLOOKUP(B18, [1]EFAY!$B:$B,[1]EFAY!$J:$J)</f>
        <v>SVW-Serveware</v>
      </c>
      <c r="K18" t="str">
        <f>_xlfn.XLOOKUP(B18, [1]EFAY!$B:$B,[1]EFAY!$K:$K)</f>
        <v>BBC-Bread Boards/Charcuterie Boards</v>
      </c>
      <c r="L18" t="str">
        <f>_xlfn.XLOOKUP(B18, [1]EFAY!$B:$B,[1]EFAY!$L:$L)</f>
        <v>#409307 Ø7"/18cm 2-Way Usage Mela Board Oak</v>
      </c>
      <c r="M18" s="3" t="s">
        <v>84</v>
      </c>
      <c r="N18" s="1" t="s">
        <v>82</v>
      </c>
      <c r="O18" s="1" t="s">
        <v>81</v>
      </c>
    </row>
    <row r="19" spans="1:15" x14ac:dyDescent="0.25">
      <c r="A19" t="str">
        <f>_xlfn.XLOOKUP(B19, [1]EFAY!$B:$B,[1]EFAY!$A:$A)</f>
        <v>5712-MELA-409309PW9</v>
      </c>
      <c r="B19" s="3" t="s">
        <v>87</v>
      </c>
      <c r="C19" t="s">
        <v>1089</v>
      </c>
      <c r="D19" t="str">
        <f>_xlfn.XLOOKUP(B19, [1]EFAY!$B:$B,[1]EFAY!$D:$D)</f>
        <v>#409309PW9, DIA 9"/23cm RD MELA 2-WAY USAGE BOARD, WHITE CARRARA</v>
      </c>
      <c r="E19" t="str">
        <f>_xlfn.XLOOKUP(B19, [1]EFAY!$B:$B,[1]EFAY!$E:$E)</f>
        <v>NO TAG</v>
      </c>
      <c r="G19" t="s">
        <v>1094</v>
      </c>
      <c r="H19">
        <f>_xlfn.XLOOKUP(B19, [1]EFAY!$B:$B,[1]EFAY!$H:$H)</f>
        <v>7.5</v>
      </c>
      <c r="I19" t="str">
        <f>_xlfn.XLOOKUP(B19, [1]EFAY!$B:$B,[1]EFAY!$I:$I)</f>
        <v>JS-Janitorial and Stewarding</v>
      </c>
      <c r="J19" t="str">
        <f>_xlfn.XLOOKUP(B19, [1]EFAY!$B:$B,[1]EFAY!$J:$J)</f>
        <v>SVW-Serveware</v>
      </c>
      <c r="K19" t="str">
        <f>_xlfn.XLOOKUP(B19, [1]EFAY!$B:$B,[1]EFAY!$K:$K)</f>
        <v>BBC-Bread Boards/Charcuterie Boards</v>
      </c>
      <c r="L19" t="str">
        <f>_xlfn.XLOOKUP(B19, [1]EFAY!$B:$B,[1]EFAY!$L:$L)</f>
        <v>#409309PW9 Ø9"/23cm 2-Way Usage Round Mela Board White Carrara</v>
      </c>
      <c r="M19" s="3" t="s">
        <v>88</v>
      </c>
      <c r="N19" s="1" t="s">
        <v>86</v>
      </c>
      <c r="O19" s="1" t="s">
        <v>85</v>
      </c>
    </row>
    <row r="20" spans="1:15" x14ac:dyDescent="0.25">
      <c r="A20" t="str">
        <f>_xlfn.XLOOKUP(B20, [1]EFAY!$B:$B,[1]EFAY!$A:$A)</f>
        <v>5712-MELA-409309ERS</v>
      </c>
      <c r="B20" s="3" t="s">
        <v>91</v>
      </c>
      <c r="C20" t="s">
        <v>1089</v>
      </c>
      <c r="D20" t="str">
        <f>_xlfn.XLOOKUP(B20, [1]EFAY!$B:$B,[1]EFAY!$D:$D)</f>
        <v>#409309, DIA 9"/23cm RD MELA 2-WAY USAGE BOARD (OAK) EARTH</v>
      </c>
      <c r="E20" t="str">
        <f>_xlfn.XLOOKUP(B20, [1]EFAY!$B:$B,[1]EFAY!$E:$E)</f>
        <v>NO TAG</v>
      </c>
      <c r="G20" t="s">
        <v>1094</v>
      </c>
      <c r="H20">
        <f>_xlfn.XLOOKUP(B20, [1]EFAY!$B:$B,[1]EFAY!$H:$H)</f>
        <v>8.99</v>
      </c>
      <c r="I20" t="str">
        <f>_xlfn.XLOOKUP(B20, [1]EFAY!$B:$B,[1]EFAY!$I:$I)</f>
        <v>JS-Janitorial and Stewarding</v>
      </c>
      <c r="J20" t="str">
        <f>_xlfn.XLOOKUP(B20, [1]EFAY!$B:$B,[1]EFAY!$J:$J)</f>
        <v>SVW-Serveware</v>
      </c>
      <c r="K20" t="str">
        <f>_xlfn.XLOOKUP(B20, [1]EFAY!$B:$B,[1]EFAY!$K:$K)</f>
        <v>BBC-Bread Boards/Charcuterie Boards</v>
      </c>
      <c r="L20" t="str">
        <f>_xlfn.XLOOKUP(B20, [1]EFAY!$B:$B,[1]EFAY!$L:$L)</f>
        <v>#409309 Ø9" 23cm 2-Way Usage Round Mela Board Earth Oak</v>
      </c>
      <c r="M20" s="3" t="s">
        <v>92</v>
      </c>
      <c r="N20" s="1" t="s">
        <v>90</v>
      </c>
      <c r="O20" s="1" t="s">
        <v>89</v>
      </c>
    </row>
    <row r="21" spans="1:15" x14ac:dyDescent="0.25">
      <c r="A21" t="str">
        <f>_xlfn.XLOOKUP(B21, [1]EFAY!$B:$B,[1]EFAY!$A:$A)</f>
        <v>5712-GAM-904905BK</v>
      </c>
      <c r="B21" s="3" t="s">
        <v>97</v>
      </c>
      <c r="C21" t="s">
        <v>1089</v>
      </c>
      <c r="D21" t="str">
        <f>_xlfn.XLOOKUP(B21, [1]EFAY!$B:$B,[1]EFAY!$D:$D)</f>
        <v>#904905BK, 28x28x12cm 5" METAL CUBE DISLAY STAND, BLACK</v>
      </c>
      <c r="E21" t="str">
        <f>_xlfn.XLOOKUP(B21, [1]EFAY!$B:$B,[1]EFAY!$E:$E)</f>
        <v>NO TAG</v>
      </c>
      <c r="G21" t="s">
        <v>1094</v>
      </c>
      <c r="H21">
        <f>_xlfn.XLOOKUP(B21, [1]EFAY!$B:$B,[1]EFAY!$H:$H)</f>
        <v>72.77</v>
      </c>
      <c r="I21" t="str">
        <f>_xlfn.XLOOKUP(B21, [1]EFAY!$B:$B,[1]EFAY!$I:$I)</f>
        <v>JS-Janitorial and Stewarding</v>
      </c>
      <c r="J21" t="str">
        <f>_xlfn.XLOOKUP(B21, [1]EFAY!$B:$B,[1]EFAY!$J:$J)</f>
        <v>SVW-Serveware</v>
      </c>
      <c r="K21" t="str">
        <f>_xlfn.XLOOKUP(B21, [1]EFAY!$B:$B,[1]EFAY!$K:$K)</f>
        <v>DRA-Display Risers, Stands &amp; Accessories</v>
      </c>
      <c r="L21" t="str">
        <f>_xlfn.XLOOKUP(B21, [1]EFAY!$B:$B,[1]EFAY!$L:$L)</f>
        <v>#904905BK 28x28x12cm 5" Metal Cube Display Stand Black</v>
      </c>
      <c r="M21" s="3" t="s">
        <v>98</v>
      </c>
      <c r="N21" s="1" t="s">
        <v>96</v>
      </c>
      <c r="O21" s="1" t="s">
        <v>95</v>
      </c>
    </row>
    <row r="22" spans="1:15" x14ac:dyDescent="0.25">
      <c r="A22" t="str">
        <f>_xlfn.XLOOKUP(B22, [1]EFAY!$B:$B,[1]EFAY!$A:$A)</f>
        <v>5712-GAM-904911BK</v>
      </c>
      <c r="B22" s="3" t="s">
        <v>101</v>
      </c>
      <c r="C22" t="s">
        <v>1089</v>
      </c>
      <c r="D22" t="str">
        <f>_xlfn.XLOOKUP(B22, [1]EFAY!$B:$B,[1]EFAY!$D:$D)</f>
        <v>#904911BK, 28x28x21.5cm 8.5" METAL CUBE DISLAY STAND, BLACK</v>
      </c>
      <c r="E22" t="str">
        <f>_xlfn.XLOOKUP(B22, [1]EFAY!$B:$B,[1]EFAY!$E:$E)</f>
        <v>NO TAG</v>
      </c>
      <c r="G22" t="s">
        <v>1094</v>
      </c>
      <c r="H22">
        <f>_xlfn.XLOOKUP(B22, [1]EFAY!$B:$B,[1]EFAY!$H:$H)</f>
        <v>79.7</v>
      </c>
      <c r="I22" t="str">
        <f>_xlfn.XLOOKUP(B22, [1]EFAY!$B:$B,[1]EFAY!$I:$I)</f>
        <v>JS-Janitorial and Stewarding</v>
      </c>
      <c r="J22" t="str">
        <f>_xlfn.XLOOKUP(B22, [1]EFAY!$B:$B,[1]EFAY!$J:$J)</f>
        <v>SVW-Serveware</v>
      </c>
      <c r="K22" t="str">
        <f>_xlfn.XLOOKUP(B22, [1]EFAY!$B:$B,[1]EFAY!$K:$K)</f>
        <v>DRA-Display Risers, Stands &amp; Accessories</v>
      </c>
      <c r="L22" t="str">
        <f>_xlfn.XLOOKUP(B22, [1]EFAY!$B:$B,[1]EFAY!$L:$L)</f>
        <v>#904911BK 28x28x21.5cm 8.5" Metal Cube Display Stand Black</v>
      </c>
      <c r="M22" s="3" t="s">
        <v>102</v>
      </c>
      <c r="N22" s="1" t="s">
        <v>100</v>
      </c>
      <c r="O22" s="1" t="s">
        <v>99</v>
      </c>
    </row>
    <row r="23" spans="1:15" x14ac:dyDescent="0.25">
      <c r="A23" t="str">
        <f>_xlfn.XLOOKUP(B23, [1]EFAY!$B:$B,[1]EFAY!$A:$A)</f>
        <v>5712-PC-SO-530207</v>
      </c>
      <c r="B23" s="3">
        <v>530207</v>
      </c>
      <c r="C23" t="s">
        <v>1089</v>
      </c>
      <c r="D23" t="str">
        <f>_xlfn.XLOOKUP(B23, [1]EFAY!$B:$B,[1]EFAY!$D:$D)</f>
        <v>D:17xHT:10.8cm 7" "SOPHIE" CLEAR PC CAKE COVER ONLY (*NO BASE)</v>
      </c>
      <c r="E23" t="str">
        <f>_xlfn.XLOOKUP(B23, [1]EFAY!$B:$B,[1]EFAY!$E:$E)</f>
        <v>NO TAG</v>
      </c>
      <c r="G23" t="s">
        <v>1094</v>
      </c>
      <c r="H23">
        <f>_xlfn.XLOOKUP(B23, [1]EFAY!$B:$B,[1]EFAY!$H:$H)</f>
        <v>8</v>
      </c>
      <c r="I23" t="str">
        <f>_xlfn.XLOOKUP(B23, [1]EFAY!$B:$B,[1]EFAY!$I:$I)</f>
        <v>JS-Janitorial and Stewarding</v>
      </c>
      <c r="J23" t="str">
        <f>_xlfn.XLOOKUP(B23, [1]EFAY!$B:$B,[1]EFAY!$J:$J)</f>
        <v>BW-Bakeware</v>
      </c>
      <c r="K23" t="str">
        <f>_xlfn.XLOOKUP(B23, [1]EFAY!$B:$B,[1]EFAY!$K:$K)</f>
        <v/>
      </c>
      <c r="L23" t="str">
        <f>_xlfn.XLOOKUP(B23, [1]EFAY!$B:$B,[1]EFAY!$L:$L)</f>
        <v>Sophie PC Ø17xH10.8cm 7" Cake Cover Clear</v>
      </c>
      <c r="M23" s="3" t="s">
        <v>105</v>
      </c>
      <c r="N23" s="1" t="s">
        <v>104</v>
      </c>
      <c r="O23" s="1" t="s">
        <v>103</v>
      </c>
    </row>
    <row r="24" spans="1:15" x14ac:dyDescent="0.25">
      <c r="A24" t="str">
        <f>_xlfn.XLOOKUP(B24, [1]EFAY!$B:$B,[1]EFAY!$A:$A)</f>
        <v>5712-PC-SO-530209</v>
      </c>
      <c r="B24" s="3">
        <v>530209</v>
      </c>
      <c r="C24" t="s">
        <v>1089</v>
      </c>
      <c r="D24" t="str">
        <f>_xlfn.XLOOKUP(B24, [1]EFAY!$B:$B,[1]EFAY!$D:$D)</f>
        <v>D:22xHT:13.4cm 9" "SOPHIE" CLEAR PC CAKE COVER ONLY (*NO BASE)</v>
      </c>
      <c r="E24" t="str">
        <f>_xlfn.XLOOKUP(B24, [1]EFAY!$B:$B,[1]EFAY!$E:$E)</f>
        <v>NO TAG</v>
      </c>
      <c r="G24" t="s">
        <v>1094</v>
      </c>
      <c r="H24">
        <f>_xlfn.XLOOKUP(B24, [1]EFAY!$B:$B,[1]EFAY!$H:$H)</f>
        <v>11.6</v>
      </c>
      <c r="I24" t="str">
        <f>_xlfn.XLOOKUP(B24, [1]EFAY!$B:$B,[1]EFAY!$I:$I)</f>
        <v>JS-Janitorial and Stewarding</v>
      </c>
      <c r="J24" t="str">
        <f>_xlfn.XLOOKUP(B24, [1]EFAY!$B:$B,[1]EFAY!$J:$J)</f>
        <v>BW-Bakeware</v>
      </c>
      <c r="K24" t="str">
        <f>_xlfn.XLOOKUP(B24, [1]EFAY!$B:$B,[1]EFAY!$K:$K)</f>
        <v/>
      </c>
      <c r="L24" t="str">
        <f>_xlfn.XLOOKUP(B24, [1]EFAY!$B:$B,[1]EFAY!$L:$L)</f>
        <v>Sophie PC Ø22xH13.4cm 9" Cake Cover Clear</v>
      </c>
      <c r="M24" s="3" t="s">
        <v>107</v>
      </c>
      <c r="N24" s="1" t="s">
        <v>104</v>
      </c>
      <c r="O24" s="1" t="s">
        <v>106</v>
      </c>
    </row>
    <row r="25" spans="1:15" x14ac:dyDescent="0.25">
      <c r="A25" t="str">
        <f>_xlfn.XLOOKUP(B25, [1]EFAY!$B:$B,[1]EFAY!$A:$A)</f>
        <v>5712-PC-SO-530211</v>
      </c>
      <c r="B25" s="3">
        <v>530211</v>
      </c>
      <c r="C25" t="s">
        <v>1089</v>
      </c>
      <c r="D25" t="str">
        <f>_xlfn.XLOOKUP(B25, [1]EFAY!$B:$B,[1]EFAY!$D:$D)</f>
        <v>D:27xHT:16.6cm 11" "SOPHIE" CLEAR PC CAKE COVER ONLY (*NO BASE)</v>
      </c>
      <c r="E25" t="str">
        <f>_xlfn.XLOOKUP(B25, [1]EFAY!$B:$B,[1]EFAY!$E:$E)</f>
        <v>NO TAG</v>
      </c>
      <c r="G25" t="s">
        <v>1094</v>
      </c>
      <c r="H25">
        <f>_xlfn.XLOOKUP(B25, [1]EFAY!$B:$B,[1]EFAY!$H:$H)</f>
        <v>14.9</v>
      </c>
      <c r="I25" t="str">
        <f>_xlfn.XLOOKUP(B25, [1]EFAY!$B:$B,[1]EFAY!$I:$I)</f>
        <v>JS-Janitorial and Stewarding</v>
      </c>
      <c r="J25" t="str">
        <f>_xlfn.XLOOKUP(B25, [1]EFAY!$B:$B,[1]EFAY!$J:$J)</f>
        <v>BW-Bakeware</v>
      </c>
      <c r="K25" t="str">
        <f>_xlfn.XLOOKUP(B25, [1]EFAY!$B:$B,[1]EFAY!$K:$K)</f>
        <v/>
      </c>
      <c r="L25" t="str">
        <f>_xlfn.XLOOKUP(B25, [1]EFAY!$B:$B,[1]EFAY!$L:$L)</f>
        <v>Sophie PC Ø27xH16.6cm 11" Cake Cover Clear</v>
      </c>
      <c r="M25" s="3" t="s">
        <v>109</v>
      </c>
      <c r="N25" s="1" t="s">
        <v>104</v>
      </c>
      <c r="O25" s="1" t="s">
        <v>108</v>
      </c>
    </row>
    <row r="26" spans="1:15" x14ac:dyDescent="0.25">
      <c r="A26" t="str">
        <f>_xlfn.XLOOKUP(B26, [1]EFAY!$B:$B,[1]EFAY!$A:$A)</f>
        <v>5712-PC-GN-541112</v>
      </c>
      <c r="B26" s="3">
        <v>541112</v>
      </c>
      <c r="C26" t="s">
        <v>1089</v>
      </c>
      <c r="D26" t="str">
        <f>_xlfn.XLOOKUP(B26, [1]EFAY!$B:$B,[1]EFAY!$D:$D)</f>
        <v>1/2, 33X27XHT:10cm ROLL TOP TRANSPARENT PC COVER ONLY (*NO BASE)</v>
      </c>
      <c r="E26" t="str">
        <f>_xlfn.XLOOKUP(B26, [1]EFAY!$B:$B,[1]EFAY!$E:$E)</f>
        <v>NO TAG</v>
      </c>
      <c r="G26" t="s">
        <v>1094</v>
      </c>
      <c r="H26">
        <f>_xlfn.XLOOKUP(B26, [1]EFAY!$B:$B,[1]EFAY!$H:$H)</f>
        <v>26.3</v>
      </c>
      <c r="I26" t="str">
        <f>_xlfn.XLOOKUP(B26, [1]EFAY!$B:$B,[1]EFAY!$I:$I)</f>
        <v>JS-Janitorial and Stewarding</v>
      </c>
      <c r="J26" t="str">
        <f>_xlfn.XLOOKUP(B26, [1]EFAY!$B:$B,[1]EFAY!$J:$J)</f>
        <v/>
      </c>
      <c r="K26" t="str">
        <f>_xlfn.XLOOKUP(B26, [1]EFAY!$B:$B,[1]EFAY!$K:$K)</f>
        <v/>
      </c>
      <c r="L26" t="str">
        <f>_xlfn.XLOOKUP(B26, [1]EFAY!$B:$B,[1]EFAY!$L:$L)</f>
        <v xml:space="preserve">1/2 PC33x27xH10cm Roll Top Cover Transparent </v>
      </c>
      <c r="M26" s="3" t="s">
        <v>112</v>
      </c>
      <c r="N26" s="1" t="s">
        <v>111</v>
      </c>
      <c r="O26" s="1" t="s">
        <v>110</v>
      </c>
    </row>
    <row r="27" spans="1:15" x14ac:dyDescent="0.25">
      <c r="A27" t="str">
        <f>_xlfn.XLOOKUP(B27, [1]EFAY!$B:$B,[1]EFAY!$A:$A)</f>
        <v>5712-921112-RC</v>
      </c>
      <c r="B27" s="3" t="s">
        <v>124</v>
      </c>
      <c r="C27" t="s">
        <v>1089</v>
      </c>
      <c r="D27" t="str">
        <f>_xlfn.XLOOKUP(B27, [1]EFAY!$B:$B,[1]EFAY!$D:$D)</f>
        <v>D:25XW:21.2XHT:30cm, 3D "CROWN" NON-SLIP DISPLAY STAND</v>
      </c>
      <c r="E27" t="str">
        <f>_xlfn.XLOOKUP(B27, [1]EFAY!$B:$B,[1]EFAY!$E:$E)</f>
        <v>NO TAG</v>
      </c>
      <c r="G27" t="s">
        <v>1094</v>
      </c>
      <c r="H27">
        <f>_xlfn.XLOOKUP(B27, [1]EFAY!$B:$B,[1]EFAY!$H:$H)</f>
        <v>16.170000000000002</v>
      </c>
      <c r="I27" t="str">
        <f>_xlfn.XLOOKUP(B27, [1]EFAY!$B:$B,[1]EFAY!$I:$I)</f>
        <v>JS-Janitorial and Stewarding</v>
      </c>
      <c r="J27" t="str">
        <f>_xlfn.XLOOKUP(B27, [1]EFAY!$B:$B,[1]EFAY!$J:$J)</f>
        <v/>
      </c>
      <c r="K27" t="str">
        <f>_xlfn.XLOOKUP(B27, [1]EFAY!$B:$B,[1]EFAY!$K:$K)</f>
        <v/>
      </c>
      <c r="L27" t="str">
        <f>_xlfn.XLOOKUP(B27, [1]EFAY!$B:$B,[1]EFAY!$L:$L)</f>
        <v>Ø25xW21.2xH30cm 3D Crown Non-Slip Display Stand</v>
      </c>
      <c r="M27" s="3" t="s">
        <v>125</v>
      </c>
      <c r="N27" s="1" t="s">
        <v>123</v>
      </c>
      <c r="O27" s="1" t="s">
        <v>122</v>
      </c>
    </row>
    <row r="28" spans="1:15" x14ac:dyDescent="0.25">
      <c r="A28" t="str">
        <f>_xlfn.XLOOKUP(B28, [1]EFAY!$B:$B,[1]EFAY!$A:$A)</f>
        <v>5712-920904-RC</v>
      </c>
      <c r="B28" s="3" t="s">
        <v>129</v>
      </c>
      <c r="C28" t="s">
        <v>1089</v>
      </c>
      <c r="D28" t="str">
        <f>_xlfn.XLOOKUP(B28, [1]EFAY!$B:$B,[1]EFAY!$D:$D)</f>
        <v>(CODE:921104RC) D:25XW:21.2XHT:10cm, 3D "CROWN" NON-SLIP DISPLAY STAND</v>
      </c>
      <c r="E28" t="str">
        <f>_xlfn.XLOOKUP(B28, [1]EFAY!$B:$B,[1]EFAY!$E:$E)</f>
        <v>NO TAG</v>
      </c>
      <c r="G28" t="s">
        <v>1094</v>
      </c>
      <c r="H28">
        <f>_xlfn.XLOOKUP(B28, [1]EFAY!$B:$B,[1]EFAY!$H:$H)</f>
        <v>9.6999999999999993</v>
      </c>
      <c r="I28" t="str">
        <f>_xlfn.XLOOKUP(B28, [1]EFAY!$B:$B,[1]EFAY!$I:$I)</f>
        <v>JS-Janitorial and Stewarding</v>
      </c>
      <c r="J28" t="str">
        <f>_xlfn.XLOOKUP(B28, [1]EFAY!$B:$B,[1]EFAY!$J:$J)</f>
        <v/>
      </c>
      <c r="K28" t="str">
        <f>_xlfn.XLOOKUP(B28, [1]EFAY!$B:$B,[1]EFAY!$K:$K)</f>
        <v/>
      </c>
      <c r="L28" t="str">
        <f>_xlfn.XLOOKUP(B28, [1]EFAY!$B:$B,[1]EFAY!$L:$L)</f>
        <v>Ø25xW21.2xH10cm 3D Crown Non-Slip Display Stand</v>
      </c>
      <c r="M28" s="3" t="s">
        <v>130</v>
      </c>
      <c r="N28" s="1" t="s">
        <v>128</v>
      </c>
      <c r="O28" s="1" t="s">
        <v>127</v>
      </c>
    </row>
    <row r="29" spans="1:15" x14ac:dyDescent="0.25">
      <c r="A29" t="str">
        <f>_xlfn.XLOOKUP(B29, [1]EFAY!$B:$B,[1]EFAY!$A:$A)</f>
        <v>5712-921100-RC</v>
      </c>
      <c r="B29" s="3" t="s">
        <v>138</v>
      </c>
      <c r="C29" t="s">
        <v>1089</v>
      </c>
      <c r="D29" t="str">
        <f>_xlfn.XLOOKUP(B29, [1]EFAY!$B:$B,[1]EFAY!$D:$D)</f>
        <v>D:15XW:10XHT:10cm, 3D "CROWN" NON-SLIP DISPLAY STAND</v>
      </c>
      <c r="E29" t="str">
        <f>_xlfn.XLOOKUP(B29, [1]EFAY!$B:$B,[1]EFAY!$E:$E)</f>
        <v>NO TAG</v>
      </c>
      <c r="G29" t="s">
        <v>1094</v>
      </c>
      <c r="H29">
        <f>_xlfn.XLOOKUP(B29, [1]EFAY!$B:$B,[1]EFAY!$H:$H)</f>
        <v>7.33</v>
      </c>
      <c r="I29" t="str">
        <f>_xlfn.XLOOKUP(B29, [1]EFAY!$B:$B,[1]EFAY!$I:$I)</f>
        <v>JS-Janitorial and Stewarding</v>
      </c>
      <c r="J29" t="str">
        <f>_xlfn.XLOOKUP(B29, [1]EFAY!$B:$B,[1]EFAY!$J:$J)</f>
        <v/>
      </c>
      <c r="K29" t="str">
        <f>_xlfn.XLOOKUP(B29, [1]EFAY!$B:$B,[1]EFAY!$K:$K)</f>
        <v/>
      </c>
      <c r="L29" t="str">
        <f>_xlfn.XLOOKUP(B29, [1]EFAY!$B:$B,[1]EFAY!$L:$L)</f>
        <v>Ø15xW10xH10cm 3D Crown Non-Slip Display Stand</v>
      </c>
      <c r="M29" s="3" t="s">
        <v>139</v>
      </c>
      <c r="N29" s="1" t="s">
        <v>137</v>
      </c>
      <c r="O29" s="1" t="s">
        <v>136</v>
      </c>
    </row>
    <row r="30" spans="1:15" x14ac:dyDescent="0.25">
      <c r="A30" t="str">
        <f>_xlfn.XLOOKUP(B30, [1]EFAY!$B:$B,[1]EFAY!$A:$A)</f>
        <v>5712-MINI-520208BK</v>
      </c>
      <c r="B30" s="3" t="s">
        <v>154</v>
      </c>
      <c r="C30" t="s">
        <v>1089</v>
      </c>
      <c r="D30" t="str">
        <f>_xlfn.XLOOKUP(B30, [1]EFAY!$B:$B,[1]EFAY!$D:$D)</f>
        <v>(D:20cm) MELAMINE "LITTLE CHEF" 8" ROUND PAN W/ONE HDLE (BLACK)</v>
      </c>
      <c r="E30" t="str">
        <f>_xlfn.XLOOKUP(B30, [1]EFAY!$B:$B,[1]EFAY!$E:$E)</f>
        <v>NO TAG</v>
      </c>
      <c r="G30" t="s">
        <v>1094</v>
      </c>
      <c r="H30">
        <f>_xlfn.XLOOKUP(B30, [1]EFAY!$B:$B,[1]EFAY!$H:$H)</f>
        <v>8.08</v>
      </c>
      <c r="I30" t="str">
        <f>_xlfn.XLOOKUP(B30, [1]EFAY!$B:$B,[1]EFAY!$I:$I)</f>
        <v>JS-Janitorial and Stewarding</v>
      </c>
      <c r="J30" t="str">
        <f>_xlfn.XLOOKUP(B30, [1]EFAY!$B:$B,[1]EFAY!$J:$J)</f>
        <v>CW-Cookware</v>
      </c>
      <c r="K30" t="str">
        <f>_xlfn.XLOOKUP(B30, [1]EFAY!$B:$B,[1]EFAY!$K:$K)</f>
        <v>PN-Pans</v>
      </c>
      <c r="L30" t="str">
        <f>_xlfn.XLOOKUP(B30, [1]EFAY!$B:$B,[1]EFAY!$L:$L)</f>
        <v>Melamine Ø20cm 8" "Little Chef" Round Pan Black with One Handle</v>
      </c>
      <c r="M30" s="3" t="s">
        <v>155</v>
      </c>
      <c r="N30" s="1" t="s">
        <v>153</v>
      </c>
      <c r="O30" s="1" t="s">
        <v>152</v>
      </c>
    </row>
    <row r="31" spans="1:15" x14ac:dyDescent="0.25">
      <c r="A31" t="str">
        <f>_xlfn.XLOOKUP(B31, [1]EFAY!$B:$B,[1]EFAY!$A:$A)</f>
        <v>5712-R-222414GS-GY</v>
      </c>
      <c r="B31" s="3" t="s">
        <v>158</v>
      </c>
      <c r="C31" t="s">
        <v>1089</v>
      </c>
      <c r="D31" t="str">
        <f>_xlfn.XLOOKUP(B31, [1]EFAY!$B:$B,[1]EFAY!$D:$D)</f>
        <v>(WSL22), 222414GS, D:34.5cm  7 LTR MELAMINE "ROCKY" TRIANGLE BOWL (GREY)</v>
      </c>
      <c r="E31" t="str">
        <f>_xlfn.XLOOKUP(B31, [1]EFAY!$B:$B,[1]EFAY!$E:$E)</f>
        <v>WSL WITH STOCK</v>
      </c>
      <c r="G31" t="s">
        <v>1094</v>
      </c>
      <c r="H31">
        <f>_xlfn.XLOOKUP(B31, [1]EFAY!$B:$B,[1]EFAY!$H:$H)</f>
        <v>31.26</v>
      </c>
      <c r="I31" t="str">
        <f>_xlfn.XLOOKUP(B31, [1]EFAY!$B:$B,[1]EFAY!$I:$I)</f>
        <v>JS-Janitorial and Stewarding</v>
      </c>
      <c r="J31" t="str">
        <f>_xlfn.XLOOKUP(B31, [1]EFAY!$B:$B,[1]EFAY!$J:$J)</f>
        <v>SVW-Serveware</v>
      </c>
      <c r="K31" t="str">
        <f>_xlfn.XLOOKUP(B31, [1]EFAY!$B:$B,[1]EFAY!$K:$K)</f>
        <v/>
      </c>
      <c r="L31" t="str">
        <f>_xlfn.XLOOKUP(B31, [1]EFAY!$B:$B,[1]EFAY!$L:$L)</f>
        <v>222414GS Ø34.5cm 7L Rocky Triangle Bowl Grey</v>
      </c>
      <c r="M31" s="3" t="s">
        <v>159</v>
      </c>
      <c r="N31" s="1" t="s">
        <v>157</v>
      </c>
      <c r="O31" s="1" t="s">
        <v>156</v>
      </c>
    </row>
    <row r="32" spans="1:15" x14ac:dyDescent="0.25">
      <c r="A32" t="str">
        <f>_xlfn.XLOOKUP(B32, [1]EFAY!$B:$B,[1]EFAY!$A:$A)</f>
        <v>5712-R-222411WS-WHT</v>
      </c>
      <c r="B32" s="3" t="s">
        <v>163</v>
      </c>
      <c r="C32" t="s">
        <v>1089</v>
      </c>
      <c r="D32" t="str">
        <f>_xlfn.XLOOKUP(B32, [1]EFAY!$B:$B,[1]EFAY!$D:$D)</f>
        <v>222411WS, D:27.5cm  3.6 LTR MELAMINE "ROCKY" TRIANGLE BOWL (WHITE)</v>
      </c>
      <c r="E32" t="str">
        <f>_xlfn.XLOOKUP(B32, [1]EFAY!$B:$B,[1]EFAY!$E:$E)</f>
        <v>NO TAG</v>
      </c>
      <c r="G32" t="s">
        <v>1094</v>
      </c>
      <c r="H32">
        <f>_xlfn.XLOOKUP(B32, [1]EFAY!$B:$B,[1]EFAY!$H:$H)</f>
        <v>16.02</v>
      </c>
      <c r="I32" t="str">
        <f>_xlfn.XLOOKUP(B32, [1]EFAY!$B:$B,[1]EFAY!$I:$I)</f>
        <v>JS-Janitorial and Stewarding</v>
      </c>
      <c r="J32" t="str">
        <f>_xlfn.XLOOKUP(B32, [1]EFAY!$B:$B,[1]EFAY!$J:$J)</f>
        <v>SVW-Serveware</v>
      </c>
      <c r="K32" t="str">
        <f>_xlfn.XLOOKUP(B32, [1]EFAY!$B:$B,[1]EFAY!$K:$K)</f>
        <v>MSA-Miscellaneous Serving Accessories</v>
      </c>
      <c r="L32" t="str">
        <f>_xlfn.XLOOKUP(B32, [1]EFAY!$B:$B,[1]EFAY!$L:$L)</f>
        <v>222411WS Melamine Ø27.5cm 3.6L Rocky Triangle Bowl White</v>
      </c>
      <c r="M32" s="3" t="s">
        <v>164</v>
      </c>
      <c r="N32" s="1" t="s">
        <v>162</v>
      </c>
      <c r="O32" s="1" t="s">
        <v>161</v>
      </c>
    </row>
    <row r="33" spans="1:15" x14ac:dyDescent="0.25">
      <c r="A33" t="str">
        <f>_xlfn.XLOOKUP(B33, [1]EFAY!$B:$B,[1]EFAY!$A:$A)</f>
        <v>5712-EDA-517904IV</v>
      </c>
      <c r="B33" s="3" t="s">
        <v>169</v>
      </c>
      <c r="C33" t="s">
        <v>1089</v>
      </c>
      <c r="D33" t="str">
        <f>_xlfn.XLOOKUP(B33, [1]EFAY!$B:$B,[1]EFAY!$D:$D)</f>
        <v>(WSL19)&lt;4171809&gt; #517904, 4'' MELAMINE PETIT DO DISH, 100x70x48mm (IVORY)</v>
      </c>
      <c r="E33" t="str">
        <f>_xlfn.XLOOKUP(B33, [1]EFAY!$B:$B,[1]EFAY!$E:$E)</f>
        <v>WSL WITH STOCK</v>
      </c>
      <c r="G33" t="s">
        <v>1094</v>
      </c>
      <c r="H33">
        <f>_xlfn.XLOOKUP(B33, [1]EFAY!$B:$B,[1]EFAY!$H:$H)</f>
        <v>1.45</v>
      </c>
      <c r="I33" t="str">
        <f>_xlfn.XLOOKUP(B33, [1]EFAY!$B:$B,[1]EFAY!$I:$I)</f>
        <v>JS-Janitorial and Stewarding</v>
      </c>
      <c r="J33" t="str">
        <f>_xlfn.XLOOKUP(B33, [1]EFAY!$B:$B,[1]EFAY!$J:$J)</f>
        <v>DWR-Dinnerware</v>
      </c>
      <c r="K33" t="str">
        <f>_xlfn.XLOOKUP(B33, [1]EFAY!$B:$B,[1]EFAY!$K:$K)</f>
        <v>BWL-Bowls</v>
      </c>
      <c r="L33" t="str">
        <f>_xlfn.XLOOKUP(B33, [1]EFAY!$B:$B,[1]EFAY!$L:$L)</f>
        <v>#517904 Melamine 100x70x48mm 4" Petit Do Dish Ivory</v>
      </c>
      <c r="M33" s="3" t="s">
        <v>170</v>
      </c>
      <c r="N33" s="1" t="s">
        <v>168</v>
      </c>
      <c r="O33" s="1" t="s">
        <v>167</v>
      </c>
    </row>
    <row r="34" spans="1:15" x14ac:dyDescent="0.25">
      <c r="A34" t="str">
        <f>_xlfn.XLOOKUP(B34, [1]EFAY!$B:$B,[1]EFAY!$A:$A)</f>
        <v>5712-EDA-516104IV</v>
      </c>
      <c r="B34" s="3" t="s">
        <v>174</v>
      </c>
      <c r="C34" t="s">
        <v>1089</v>
      </c>
      <c r="D34" t="str">
        <f>_xlfn.XLOOKUP(B34, [1]EFAY!$B:$B,[1]EFAY!$D:$D)</f>
        <v>(WSL19)&lt;4171807&gt; #516104, 4'' MELAMINE PETIT VENUS DISH, 89x68x20mm (IVORY)</v>
      </c>
      <c r="E34" t="str">
        <f>_xlfn.XLOOKUP(B34, [1]EFAY!$B:$B,[1]EFAY!$E:$E)</f>
        <v>WSL WITH STOCK</v>
      </c>
      <c r="G34" t="s">
        <v>1094</v>
      </c>
      <c r="H34">
        <f>_xlfn.XLOOKUP(B34, [1]EFAY!$B:$B,[1]EFAY!$H:$H)</f>
        <v>0.71</v>
      </c>
      <c r="I34" t="str">
        <f>_xlfn.XLOOKUP(B34, [1]EFAY!$B:$B,[1]EFAY!$I:$I)</f>
        <v>JS-Janitorial and Stewarding</v>
      </c>
      <c r="J34" t="str">
        <f>_xlfn.XLOOKUP(B34, [1]EFAY!$B:$B,[1]EFAY!$J:$J)</f>
        <v>DWR-Dinnerware</v>
      </c>
      <c r="K34" t="str">
        <f>_xlfn.XLOOKUP(B34, [1]EFAY!$B:$B,[1]EFAY!$K:$K)</f>
        <v>PLTR-Platters</v>
      </c>
      <c r="L34" t="str">
        <f>_xlfn.XLOOKUP(B34, [1]EFAY!$B:$B,[1]EFAY!$L:$L)</f>
        <v>#51610 Melamine 89x68x20mm 4" Petit Venus Dish Ivory</v>
      </c>
      <c r="M34" s="3" t="s">
        <v>175</v>
      </c>
      <c r="N34" s="1" t="s">
        <v>173</v>
      </c>
      <c r="O34" s="1" t="s">
        <v>172</v>
      </c>
    </row>
    <row r="35" spans="1:15" x14ac:dyDescent="0.25">
      <c r="A35" t="str">
        <f>_xlfn.XLOOKUP(B35, [1]EFAY!$B:$B,[1]EFAY!$A:$A)</f>
        <v>5712-TERRA-520505TI</v>
      </c>
      <c r="B35" s="3" t="s">
        <v>178</v>
      </c>
      <c r="C35" t="s">
        <v>1089</v>
      </c>
      <c r="D35" t="str">
        <f>_xlfn.XLOOKUP(B35, [1]EFAY!$B:$B,[1]EFAY!$D:$D)</f>
        <v>12X12X3cm ROUND TERRACOTTA DISH (TILES RED)</v>
      </c>
      <c r="E35" t="str">
        <f>_xlfn.XLOOKUP(B35, [1]EFAY!$B:$B,[1]EFAY!$E:$E)</f>
        <v>NO TAG</v>
      </c>
      <c r="G35" t="s">
        <v>1094</v>
      </c>
      <c r="H35">
        <f>_xlfn.XLOOKUP(B35, [1]EFAY!$B:$B,[1]EFAY!$H:$H)</f>
        <v>2.89</v>
      </c>
      <c r="I35" t="str">
        <f>_xlfn.XLOOKUP(B35, [1]EFAY!$B:$B,[1]EFAY!$I:$I)</f>
        <v>JS-Janitorial and Stewarding</v>
      </c>
      <c r="J35" t="str">
        <f>_xlfn.XLOOKUP(B35, [1]EFAY!$B:$B,[1]EFAY!$J:$J)</f>
        <v>DWR-Dinnerware</v>
      </c>
      <c r="K35" t="str">
        <f>_xlfn.XLOOKUP(B35, [1]EFAY!$B:$B,[1]EFAY!$K:$K)</f>
        <v/>
      </c>
      <c r="L35" t="str">
        <f>_xlfn.XLOOKUP(B35, [1]EFAY!$B:$B,[1]EFAY!$L:$L)</f>
        <v>Terracotta 12x12x3cm Round Dish Red</v>
      </c>
      <c r="M35" s="3" t="s">
        <v>179</v>
      </c>
      <c r="N35" s="1" t="s">
        <v>177</v>
      </c>
      <c r="O35" s="1" t="s">
        <v>176</v>
      </c>
    </row>
    <row r="36" spans="1:15" x14ac:dyDescent="0.25">
      <c r="A36" t="str">
        <f>_xlfn.XLOOKUP(B36, [1]EFAY!$B:$B,[1]EFAY!$A:$A)</f>
        <v>5712-TERRA-520503TI</v>
      </c>
      <c r="B36" s="3" t="s">
        <v>183</v>
      </c>
      <c r="C36" t="s">
        <v>1089</v>
      </c>
      <c r="D36" t="str">
        <f>_xlfn.XLOOKUP(B36, [1]EFAY!$B:$B,[1]EFAY!$D:$D)</f>
        <v>8X8X3cm ROUND TERRACOTTA DISH (TILES RED)</v>
      </c>
      <c r="E36" t="str">
        <f>_xlfn.XLOOKUP(B36, [1]EFAY!$B:$B,[1]EFAY!$E:$E)</f>
        <v>NO TAG</v>
      </c>
      <c r="G36" t="s">
        <v>1094</v>
      </c>
      <c r="H36">
        <f>_xlfn.XLOOKUP(B36, [1]EFAY!$B:$B,[1]EFAY!$H:$H)</f>
        <v>1.52</v>
      </c>
      <c r="I36" t="str">
        <f>_xlfn.XLOOKUP(B36, [1]EFAY!$B:$B,[1]EFAY!$I:$I)</f>
        <v>JS-Janitorial and Stewarding</v>
      </c>
      <c r="J36" t="str">
        <f>_xlfn.XLOOKUP(B36, [1]EFAY!$B:$B,[1]EFAY!$J:$J)</f>
        <v>DWR-Dinnerware</v>
      </c>
      <c r="K36" t="str">
        <f>_xlfn.XLOOKUP(B36, [1]EFAY!$B:$B,[1]EFAY!$K:$K)</f>
        <v/>
      </c>
      <c r="L36" t="str">
        <f>_xlfn.XLOOKUP(B36, [1]EFAY!$B:$B,[1]EFAY!$L:$L)</f>
        <v>Terracotta 8x8x3cm Round Dish Red</v>
      </c>
      <c r="M36" s="3" t="s">
        <v>184</v>
      </c>
      <c r="N36" s="1" t="s">
        <v>182</v>
      </c>
      <c r="O36" s="1" t="s">
        <v>181</v>
      </c>
    </row>
    <row r="37" spans="1:15" x14ac:dyDescent="0.25">
      <c r="A37" t="str">
        <f>_xlfn.XLOOKUP(B37, [1]EFAY!$B:$B,[1]EFAY!$A:$A)</f>
        <v>5712-EDA-516404IV</v>
      </c>
      <c r="B37" s="3" t="s">
        <v>188</v>
      </c>
      <c r="C37" t="s">
        <v>1089</v>
      </c>
      <c r="D37" t="str">
        <f>_xlfn.XLOOKUP(B37, [1]EFAY!$B:$B,[1]EFAY!$D:$D)</f>
        <v>(WSL19)&lt;4171804&gt; #516404, 4'' MELAMINE PETIT DROP BOWL (IVORY)</v>
      </c>
      <c r="E37" t="str">
        <f>_xlfn.XLOOKUP(B37, [1]EFAY!$B:$B,[1]EFAY!$E:$E)</f>
        <v>WSL WITH STOCK</v>
      </c>
      <c r="G37" t="s">
        <v>1094</v>
      </c>
      <c r="H37">
        <f>_xlfn.XLOOKUP(B37, [1]EFAY!$B:$B,[1]EFAY!$H:$H)</f>
        <v>1.22</v>
      </c>
      <c r="I37" t="str">
        <f>_xlfn.XLOOKUP(B37, [1]EFAY!$B:$B,[1]EFAY!$I:$I)</f>
        <v>JS-Janitorial and Stewarding</v>
      </c>
      <c r="J37" t="str">
        <f>_xlfn.XLOOKUP(B37, [1]EFAY!$B:$B,[1]EFAY!$J:$J)</f>
        <v>SVW-Serveware</v>
      </c>
      <c r="K37" t="str">
        <f>_xlfn.XLOOKUP(B37, [1]EFAY!$B:$B,[1]EFAY!$K:$K)</f>
        <v>MSA-Miscellaneous Serving Accessories</v>
      </c>
      <c r="L37" t="str">
        <f>_xlfn.XLOOKUP(B37, [1]EFAY!$B:$B,[1]EFAY!$L:$L)</f>
        <v>#516404 Melamine 4" Petit Drop Bowl Ivory</v>
      </c>
      <c r="M37" s="3" t="s">
        <v>189</v>
      </c>
      <c r="N37" s="1" t="s">
        <v>187</v>
      </c>
      <c r="O37" s="1" t="s">
        <v>186</v>
      </c>
    </row>
    <row r="38" spans="1:15" x14ac:dyDescent="0.25">
      <c r="A38" t="str">
        <f>_xlfn.XLOOKUP(B38, [1]EFAY!$B:$B,[1]EFAY!$A:$A)</f>
        <v>5712-ROC-526002-GS</v>
      </c>
      <c r="B38" s="3" t="s">
        <v>192</v>
      </c>
      <c r="C38" t="s">
        <v>1089</v>
      </c>
      <c r="D38" t="str">
        <f>_xlfn.XLOOKUP(B38, [1]EFAY!$B:$B,[1]EFAY!$D:$D)</f>
        <v>#526002-GS, 2 oz MELAMINE "ROCKY" TRI. RAMEKIN (STONE GREY)</v>
      </c>
      <c r="E38" t="str">
        <f>_xlfn.XLOOKUP(B38, [1]EFAY!$B:$B,[1]EFAY!$E:$E)</f>
        <v>NO TAG</v>
      </c>
      <c r="G38" t="s">
        <v>1094</v>
      </c>
      <c r="H38">
        <f>_xlfn.XLOOKUP(B38, [1]EFAY!$B:$B,[1]EFAY!$H:$H)</f>
        <v>1.02</v>
      </c>
      <c r="I38" t="str">
        <f>_xlfn.XLOOKUP(B38, [1]EFAY!$B:$B,[1]EFAY!$I:$I)</f>
        <v>JS-Janitorial and Stewarding</v>
      </c>
      <c r="J38" t="str">
        <f>_xlfn.XLOOKUP(B38, [1]EFAY!$B:$B,[1]EFAY!$J:$J)</f>
        <v>SVW-Serveware</v>
      </c>
      <c r="K38" t="str">
        <f>_xlfn.XLOOKUP(B38, [1]EFAY!$B:$B,[1]EFAY!$K:$K)</f>
        <v>MSA-Miscellaneous Serving Accessories</v>
      </c>
      <c r="L38" t="str">
        <f>_xlfn.XLOOKUP(B38, [1]EFAY!$B:$B,[1]EFAY!$L:$L)</f>
        <v>#526002-GS Melamine 2 oz Rocky Triangular Ramekin Stone Grey</v>
      </c>
      <c r="M38" s="3" t="s">
        <v>193</v>
      </c>
      <c r="N38" s="1" t="s">
        <v>191</v>
      </c>
      <c r="O38" s="1" t="s">
        <v>190</v>
      </c>
    </row>
    <row r="39" spans="1:15" x14ac:dyDescent="0.25">
      <c r="A39" t="str">
        <f>_xlfn.XLOOKUP(B39, [1]EFAY!$B:$B,[1]EFAY!$A:$A)</f>
        <v>5712-EDA-516205IV</v>
      </c>
      <c r="B39" s="3" t="s">
        <v>196</v>
      </c>
      <c r="C39" t="s">
        <v>1089</v>
      </c>
      <c r="D39" t="str">
        <f>_xlfn.XLOOKUP(B39, [1]EFAY!$B:$B,[1]EFAY!$D:$D)</f>
        <v>(WSL19)&lt;4171805&gt; #516205, 5'' MELAMINE PETIT ROYAL ASCOT DISH, 119x88x34mm (IVORY)</v>
      </c>
      <c r="E39" t="str">
        <f>_xlfn.XLOOKUP(B39, [1]EFAY!$B:$B,[1]EFAY!$E:$E)</f>
        <v>WSL WITH STOCK</v>
      </c>
      <c r="G39" t="s">
        <v>1094</v>
      </c>
      <c r="H39">
        <f>_xlfn.XLOOKUP(B39, [1]EFAY!$B:$B,[1]EFAY!$H:$H)</f>
        <v>1.59</v>
      </c>
      <c r="I39" t="str">
        <f>_xlfn.XLOOKUP(B39, [1]EFAY!$B:$B,[1]EFAY!$I:$I)</f>
        <v>JS-Janitorial and Stewarding</v>
      </c>
      <c r="J39" t="str">
        <f>_xlfn.XLOOKUP(B39, [1]EFAY!$B:$B,[1]EFAY!$J:$J)</f>
        <v>DWR-Dinnerware</v>
      </c>
      <c r="K39" t="str">
        <f>_xlfn.XLOOKUP(B39, [1]EFAY!$B:$B,[1]EFAY!$K:$K)</f>
        <v>PLTR-Platters</v>
      </c>
      <c r="L39" t="str">
        <f>_xlfn.XLOOKUP(B39, [1]EFAY!$B:$B,[1]EFAY!$L:$L)</f>
        <v>#516205 Melamine 119x88x34mm 5" Petit Royal Ascot Dish Ivory</v>
      </c>
      <c r="M39" s="3" t="s">
        <v>197</v>
      </c>
      <c r="N39" s="1" t="s">
        <v>195</v>
      </c>
      <c r="O39" s="1" t="s">
        <v>194</v>
      </c>
    </row>
    <row r="40" spans="1:15" x14ac:dyDescent="0.25">
      <c r="A40" t="str">
        <f>_xlfn.XLOOKUP(B40, [1]EFAY!$B:$B,[1]EFAY!$A:$A)</f>
        <v>5712-R-222410WS-WHT</v>
      </c>
      <c r="B40" s="3" t="s">
        <v>201</v>
      </c>
      <c r="C40" t="s">
        <v>1089</v>
      </c>
      <c r="D40" t="str">
        <f>_xlfn.XLOOKUP(B40, [1]EFAY!$B:$B,[1]EFAY!$D:$D)</f>
        <v>222410WS, D:24.5cm  2.5 LTR MELAMINE "ROCKY" TRIANGLE BOWL (WHITE)</v>
      </c>
      <c r="E40" t="str">
        <f>_xlfn.XLOOKUP(B40, [1]EFAY!$B:$B,[1]EFAY!$E:$E)</f>
        <v>NO TAG</v>
      </c>
      <c r="G40" t="s">
        <v>1094</v>
      </c>
      <c r="H40">
        <f>_xlfn.XLOOKUP(B40, [1]EFAY!$B:$B,[1]EFAY!$H:$H)</f>
        <v>14.96</v>
      </c>
      <c r="I40" t="str">
        <f>_xlfn.XLOOKUP(B40, [1]EFAY!$B:$B,[1]EFAY!$I:$I)</f>
        <v>JS-Janitorial and Stewarding</v>
      </c>
      <c r="J40" t="str">
        <f>_xlfn.XLOOKUP(B40, [1]EFAY!$B:$B,[1]EFAY!$J:$J)</f>
        <v>SVW-Serveware</v>
      </c>
      <c r="K40" t="str">
        <f>_xlfn.XLOOKUP(B40, [1]EFAY!$B:$B,[1]EFAY!$K:$K)</f>
        <v>MSA-Miscellaneous Serving Accessories</v>
      </c>
      <c r="L40" t="str">
        <f>_xlfn.XLOOKUP(B40, [1]EFAY!$B:$B,[1]EFAY!$L:$L)</f>
        <v>222410WS Melamine Ø24.5cm 2.5L Rocky Triangle Bowl White</v>
      </c>
      <c r="M40" s="3" t="s">
        <v>202</v>
      </c>
      <c r="N40" s="1" t="s">
        <v>200</v>
      </c>
      <c r="O40" s="1" t="s">
        <v>199</v>
      </c>
    </row>
    <row r="41" spans="1:15" x14ac:dyDescent="0.25">
      <c r="A41" t="str">
        <f>_xlfn.XLOOKUP(B41, [1]EFAY!$B:$B,[1]EFAY!$A:$A)</f>
        <v>5712-R-222411GS-GY</v>
      </c>
      <c r="B41" s="3" t="s">
        <v>205</v>
      </c>
      <c r="C41" t="s">
        <v>1089</v>
      </c>
      <c r="D41" t="str">
        <f>_xlfn.XLOOKUP(B41, [1]EFAY!$B:$B,[1]EFAY!$D:$D)</f>
        <v>222411GS, D:27.5cm  3.6 LTR MELAMINE "ROCKY" TRIANGLE BOWL (GREY)</v>
      </c>
      <c r="E41" t="str">
        <f>_xlfn.XLOOKUP(B41, [1]EFAY!$B:$B,[1]EFAY!$E:$E)</f>
        <v>NO TAG</v>
      </c>
      <c r="G41" t="s">
        <v>1094</v>
      </c>
      <c r="H41">
        <f>_xlfn.XLOOKUP(B41, [1]EFAY!$B:$B,[1]EFAY!$H:$H)</f>
        <v>16.02</v>
      </c>
      <c r="I41" t="str">
        <f>_xlfn.XLOOKUP(B41, [1]EFAY!$B:$B,[1]EFAY!$I:$I)</f>
        <v>JS-Janitorial and Stewarding</v>
      </c>
      <c r="J41" t="str">
        <f>_xlfn.XLOOKUP(B41, [1]EFAY!$B:$B,[1]EFAY!$J:$J)</f>
        <v>SVW-Serveware</v>
      </c>
      <c r="K41" t="str">
        <f>_xlfn.XLOOKUP(B41, [1]EFAY!$B:$B,[1]EFAY!$K:$K)</f>
        <v>MSA-Miscellaneous Serving Accessories</v>
      </c>
      <c r="L41" t="str">
        <f>_xlfn.XLOOKUP(B41, [1]EFAY!$B:$B,[1]EFAY!$L:$L)</f>
        <v>222411GS Melamine Ø27.5cm 3.6L Rocky Triangle Bowl Grey</v>
      </c>
      <c r="M41" s="3" t="s">
        <v>206</v>
      </c>
      <c r="N41" s="1" t="s">
        <v>204</v>
      </c>
      <c r="O41" s="1" t="s">
        <v>203</v>
      </c>
    </row>
    <row r="42" spans="1:15" x14ac:dyDescent="0.25">
      <c r="A42" t="str">
        <f>_xlfn.XLOOKUP(B42, [1]EFAY!$B:$B,[1]EFAY!$A:$A)</f>
        <v>5712-R-222410GS-GY</v>
      </c>
      <c r="B42" s="3" t="s">
        <v>212</v>
      </c>
      <c r="C42" t="s">
        <v>1089</v>
      </c>
      <c r="D42" t="str">
        <f>_xlfn.XLOOKUP(B42, [1]EFAY!$B:$B,[1]EFAY!$D:$D)</f>
        <v>222410GS, D:24.5cm  2.5 LTR MELAMINE "ROCKY" TRIANGLE BOWL (GREY)</v>
      </c>
      <c r="E42" t="str">
        <f>_xlfn.XLOOKUP(B42, [1]EFAY!$B:$B,[1]EFAY!$E:$E)</f>
        <v>NO TAG</v>
      </c>
      <c r="G42" t="s">
        <v>1094</v>
      </c>
      <c r="H42">
        <f>_xlfn.XLOOKUP(B42, [1]EFAY!$B:$B,[1]EFAY!$H:$H)</f>
        <v>14.96</v>
      </c>
      <c r="I42" t="str">
        <f>_xlfn.XLOOKUP(B42, [1]EFAY!$B:$B,[1]EFAY!$I:$I)</f>
        <v>JS-Janitorial and Stewarding</v>
      </c>
      <c r="J42" t="str">
        <f>_xlfn.XLOOKUP(B42, [1]EFAY!$B:$B,[1]EFAY!$J:$J)</f>
        <v>SVW-Serveware</v>
      </c>
      <c r="K42" t="str">
        <f>_xlfn.XLOOKUP(B42, [1]EFAY!$B:$B,[1]EFAY!$K:$K)</f>
        <v>MSA-Miscellaneous Serving Accessories</v>
      </c>
      <c r="L42" t="str">
        <f>_xlfn.XLOOKUP(B42, [1]EFAY!$B:$B,[1]EFAY!$L:$L)</f>
        <v>222410GS Melamine Ø24.5cm 2.5L Rocky Triangle Bowl Grey</v>
      </c>
      <c r="M42" s="3" t="s">
        <v>213</v>
      </c>
      <c r="N42" s="1" t="s">
        <v>211</v>
      </c>
      <c r="O42" s="1" t="s">
        <v>210</v>
      </c>
    </row>
    <row r="43" spans="1:15" x14ac:dyDescent="0.25">
      <c r="A43" t="str">
        <f>_xlfn.XLOOKUP(B43, [1]EFAY!$B:$B,[1]EFAY!$A:$A)</f>
        <v>5712-GN-407812CG40</v>
      </c>
      <c r="B43" s="3" t="s">
        <v>216</v>
      </c>
      <c r="C43" t="s">
        <v>1089</v>
      </c>
      <c r="D43" t="str">
        <f>_xlfn.XLOOKUP(B43, [1]EFAY!$B:$B,[1]EFAY!$D:$D)</f>
        <v>(ID, MOQ:72) #407812-CG40, 1/2 GN BAKER TRAY, CORRASE TERRAZZO</v>
      </c>
      <c r="E43" t="str">
        <f>_xlfn.XLOOKUP(B43, [1]EFAY!$B:$B,[1]EFAY!$E:$E)</f>
        <v>ID NO STOCK</v>
      </c>
      <c r="G43" t="s">
        <v>1094</v>
      </c>
      <c r="H43">
        <f>_xlfn.XLOOKUP(B43, [1]EFAY!$B:$B,[1]EFAY!$H:$H)</f>
        <v>11.31</v>
      </c>
      <c r="I43" t="str">
        <f>_xlfn.XLOOKUP(B43, [1]EFAY!$B:$B,[1]EFAY!$I:$I)</f>
        <v>JS-Janitorial and Stewarding</v>
      </c>
      <c r="J43" t="str">
        <f>_xlfn.XLOOKUP(B43, [1]EFAY!$B:$B,[1]EFAY!$J:$J)</f>
        <v>BW-Bakeware</v>
      </c>
      <c r="K43" t="str">
        <f>_xlfn.XLOOKUP(B43, [1]EFAY!$B:$B,[1]EFAY!$K:$K)</f>
        <v>BPT-Baking Pans &amp; Trays</v>
      </c>
      <c r="L43" t="str">
        <f>_xlfn.XLOOKUP(B43, [1]EFAY!$B:$B,[1]EFAY!$L:$L)</f>
        <v>#407812-CG40 1/2 GN Baker Tray Corraise Terrazzo</v>
      </c>
      <c r="M43" s="3" t="s">
        <v>217</v>
      </c>
      <c r="N43" s="1" t="s">
        <v>215</v>
      </c>
      <c r="O43" s="1" t="s">
        <v>214</v>
      </c>
    </row>
    <row r="44" spans="1:15" x14ac:dyDescent="0.25">
      <c r="A44" t="str">
        <f>_xlfn.XLOOKUP(B44, [1]EFAY!$B:$B,[1]EFAY!$A:$A)</f>
        <v>5712-GN-407811CG39</v>
      </c>
      <c r="B44" s="3" t="s">
        <v>221</v>
      </c>
      <c r="C44" t="s">
        <v>1089</v>
      </c>
      <c r="D44" t="str">
        <f>_xlfn.XLOOKUP(B44, [1]EFAY!$B:$B,[1]EFAY!$D:$D)</f>
        <v>(ID, MOQ:60) #407811-CG39, 1/1 GN BAKER TRAY, THIN TERRAZZO</v>
      </c>
      <c r="E44" t="str">
        <f>_xlfn.XLOOKUP(B44, [1]EFAY!$B:$B,[1]EFAY!$E:$E)</f>
        <v>ID WITH STOCK</v>
      </c>
      <c r="G44" t="s">
        <v>1094</v>
      </c>
      <c r="H44">
        <f>_xlfn.XLOOKUP(B44, [1]EFAY!$B:$B,[1]EFAY!$H:$H)</f>
        <v>25.34</v>
      </c>
      <c r="I44" t="str">
        <f>_xlfn.XLOOKUP(B44, [1]EFAY!$B:$B,[1]EFAY!$I:$I)</f>
        <v>JS-Janitorial and Stewarding</v>
      </c>
      <c r="J44" t="str">
        <f>_xlfn.XLOOKUP(B44, [1]EFAY!$B:$B,[1]EFAY!$J:$J)</f>
        <v>BW-Bakeware</v>
      </c>
      <c r="K44" t="str">
        <f>_xlfn.XLOOKUP(B44, [1]EFAY!$B:$B,[1]EFAY!$K:$K)</f>
        <v>BPT-Baking Pans &amp; Trays</v>
      </c>
      <c r="L44" t="str">
        <f>_xlfn.XLOOKUP(B44, [1]EFAY!$B:$B,[1]EFAY!$L:$L)</f>
        <v>#407811-CG39 1/1 GN Baker Tray Thin Terrazzo</v>
      </c>
      <c r="M44" s="3" t="s">
        <v>222</v>
      </c>
      <c r="N44" s="1" t="s">
        <v>220</v>
      </c>
      <c r="O44" s="1" t="s">
        <v>219</v>
      </c>
    </row>
    <row r="45" spans="1:15" x14ac:dyDescent="0.25">
      <c r="A45" t="str">
        <f>_xlfn.XLOOKUP(B45, [1]EFAY!$B:$B,[1]EFAY!$A:$A)</f>
        <v>5712-TERRA-520554TI</v>
      </c>
      <c r="B45" s="3" t="s">
        <v>227</v>
      </c>
      <c r="C45" t="s">
        <v>1089</v>
      </c>
      <c r="D45" t="str">
        <f>_xlfn.XLOOKUP(B45, [1]EFAY!$B:$B,[1]EFAY!$D:$D)</f>
        <v>13.5X13.5X3cm ROUND TERRACOTTA DISH (TILES RED)</v>
      </c>
      <c r="E45" t="str">
        <f>_xlfn.XLOOKUP(B45, [1]EFAY!$B:$B,[1]EFAY!$E:$E)</f>
        <v>NO TAG</v>
      </c>
      <c r="G45" t="s">
        <v>1094</v>
      </c>
      <c r="H45">
        <f>_xlfn.XLOOKUP(B45, [1]EFAY!$B:$B,[1]EFAY!$H:$H)</f>
        <v>3.04</v>
      </c>
      <c r="I45" t="str">
        <f>_xlfn.XLOOKUP(B45, [1]EFAY!$B:$B,[1]EFAY!$I:$I)</f>
        <v>JS-Janitorial and Stewarding</v>
      </c>
      <c r="J45" t="str">
        <f>_xlfn.XLOOKUP(B45, [1]EFAY!$B:$B,[1]EFAY!$J:$J)</f>
        <v>DWR-Dinnerware</v>
      </c>
      <c r="K45" t="str">
        <f>_xlfn.XLOOKUP(B45, [1]EFAY!$B:$B,[1]EFAY!$K:$K)</f>
        <v/>
      </c>
      <c r="L45" t="str">
        <f>_xlfn.XLOOKUP(B45, [1]EFAY!$B:$B,[1]EFAY!$L:$L)</f>
        <v>Terracotta 13.5x13.5x3cm Round Dish Red</v>
      </c>
      <c r="M45" s="3" t="s">
        <v>228</v>
      </c>
      <c r="N45" s="1" t="s">
        <v>226</v>
      </c>
      <c r="O45" s="1" t="s">
        <v>225</v>
      </c>
    </row>
    <row r="46" spans="1:15" x14ac:dyDescent="0.25">
      <c r="A46" t="str">
        <f>_xlfn.XLOOKUP(B46, [1]EFAY!$B:$B,[1]EFAY!$A:$A)</f>
        <v>5712-EDA-515904IV</v>
      </c>
      <c r="B46" s="3" t="s">
        <v>232</v>
      </c>
      <c r="C46" t="s">
        <v>1089</v>
      </c>
      <c r="D46" t="str">
        <f>_xlfn.XLOOKUP(B46, [1]EFAY!$B:$B,[1]EFAY!$D:$D)</f>
        <v>(WSL19)&lt;4171806&gt;#515904, 4'' MELAMINE PETIT DROP DISH, 100x70x24mm (IVORY)</v>
      </c>
      <c r="E46" t="str">
        <f>_xlfn.XLOOKUP(B46, [1]EFAY!$B:$B,[1]EFAY!$E:$E)</f>
        <v>WSL WITH STOCK</v>
      </c>
      <c r="G46" t="s">
        <v>1094</v>
      </c>
      <c r="H46">
        <f>_xlfn.XLOOKUP(B46, [1]EFAY!$B:$B,[1]EFAY!$H:$H)</f>
        <v>0.85</v>
      </c>
      <c r="I46" t="str">
        <f>_xlfn.XLOOKUP(B46, [1]EFAY!$B:$B,[1]EFAY!$I:$I)</f>
        <v>JS-Janitorial and Stewarding</v>
      </c>
      <c r="J46" t="str">
        <f>_xlfn.XLOOKUP(B46, [1]EFAY!$B:$B,[1]EFAY!$J:$J)</f>
        <v>DWR-Dinnerware</v>
      </c>
      <c r="K46" t="str">
        <f>_xlfn.XLOOKUP(B46, [1]EFAY!$B:$B,[1]EFAY!$K:$K)</f>
        <v/>
      </c>
      <c r="L46" t="str">
        <f>_xlfn.XLOOKUP(B46, [1]EFAY!$B:$B,[1]EFAY!$L:$L)</f>
        <v>#515904 Melamine 100x70x24mm 4" Petit Drop Dish Ivory</v>
      </c>
      <c r="M46" s="3" t="s">
        <v>233</v>
      </c>
      <c r="N46" s="1" t="s">
        <v>231</v>
      </c>
      <c r="O46" s="1" t="s">
        <v>230</v>
      </c>
    </row>
    <row r="47" spans="1:15" x14ac:dyDescent="0.25">
      <c r="A47" t="str">
        <f>_xlfn.XLOOKUP(B47, [1]EFAY!$B:$B,[1]EFAY!$A:$A)</f>
        <v>5712-GN-CB803206-WHT</v>
      </c>
      <c r="B47" s="3">
        <v>803206</v>
      </c>
      <c r="C47" t="s">
        <v>1089</v>
      </c>
      <c r="D47" t="str">
        <f>_xlfn.XLOOKUP(B47, [1]EFAY!$B:$B,[1]EFAY!$D:$D)</f>
        <v>#803206,1/2 SIZE,  325X253X150mm GN RECT CLOUD BOX (WHT)</v>
      </c>
      <c r="E47" t="str">
        <f>_xlfn.XLOOKUP(B47, [1]EFAY!$B:$B,[1]EFAY!$E:$E)</f>
        <v>NO TAG</v>
      </c>
      <c r="G47" t="s">
        <v>1094</v>
      </c>
      <c r="H47">
        <f>_xlfn.XLOOKUP(B47, [1]EFAY!$B:$B,[1]EFAY!$H:$H)</f>
        <v>63.87</v>
      </c>
      <c r="I47" t="str">
        <f>_xlfn.XLOOKUP(B47, [1]EFAY!$B:$B,[1]EFAY!$I:$I)</f>
        <v>JS-Janitorial and Stewarding</v>
      </c>
      <c r="J47" t="str">
        <f>_xlfn.XLOOKUP(B47, [1]EFAY!$B:$B,[1]EFAY!$J:$J)</f>
        <v>SS-Storage Solutions</v>
      </c>
      <c r="K47" t="str">
        <f>_xlfn.XLOOKUP(B47, [1]EFAY!$B:$B,[1]EFAY!$K:$K)</f>
        <v>FP-Food Pans</v>
      </c>
      <c r="L47" t="str">
        <f>_xlfn.XLOOKUP(B47, [1]EFAY!$B:$B,[1]EFAY!$L:$L)</f>
        <v>#803206 1/2 Size 325x253x150mm GN Rect Cloud Box White</v>
      </c>
      <c r="M47" s="3" t="s">
        <v>239</v>
      </c>
      <c r="N47" s="1" t="s">
        <v>238</v>
      </c>
      <c r="O47" s="1" t="s">
        <v>237</v>
      </c>
    </row>
    <row r="48" spans="1:15" x14ac:dyDescent="0.25">
      <c r="A48" t="str">
        <f>_xlfn.XLOOKUP(B48, [1]EFAY!$B:$B,[1]EFAY!$A:$A)</f>
        <v>5712-GN-CB803304-WHT</v>
      </c>
      <c r="B48" s="3">
        <v>803304</v>
      </c>
      <c r="C48" t="s">
        <v>1089</v>
      </c>
      <c r="D48" t="str">
        <f>_xlfn.XLOOKUP(B48, [1]EFAY!$B:$B,[1]EFAY!$D:$D)</f>
        <v>#803304, 1/3 SIZE,  325X173X100mm GN RECT CLOUD BOX (WHT)</v>
      </c>
      <c r="E48" t="str">
        <f>_xlfn.XLOOKUP(B48, [1]EFAY!$B:$B,[1]EFAY!$E:$E)</f>
        <v>NO TAG</v>
      </c>
      <c r="G48" t="s">
        <v>1094</v>
      </c>
      <c r="H48">
        <f>_xlfn.XLOOKUP(B48, [1]EFAY!$B:$B,[1]EFAY!$H:$H)</f>
        <v>55.63</v>
      </c>
      <c r="I48" t="str">
        <f>_xlfn.XLOOKUP(B48, [1]EFAY!$B:$B,[1]EFAY!$I:$I)</f>
        <v>JS-Janitorial and Stewarding</v>
      </c>
      <c r="J48" t="str">
        <f>_xlfn.XLOOKUP(B48, [1]EFAY!$B:$B,[1]EFAY!$J:$J)</f>
        <v>SS-Storage Solutions</v>
      </c>
      <c r="K48" t="str">
        <f>_xlfn.XLOOKUP(B48, [1]EFAY!$B:$B,[1]EFAY!$K:$K)</f>
        <v>FP-Food Pans</v>
      </c>
      <c r="L48" t="str">
        <f>_xlfn.XLOOKUP(B48, [1]EFAY!$B:$B,[1]EFAY!$L:$L)</f>
        <v>#803304 1/3 Size 325x173x100mm GN Rect Cloud Box White</v>
      </c>
      <c r="M48" s="3" t="s">
        <v>244</v>
      </c>
      <c r="N48" s="1" t="s">
        <v>243</v>
      </c>
      <c r="O48" s="1" t="s">
        <v>242</v>
      </c>
    </row>
    <row r="49" spans="1:15" x14ac:dyDescent="0.25">
      <c r="A49" t="str">
        <f>_xlfn.XLOOKUP(B49, [1]EFAY!$B:$B,[1]EFAY!$A:$A)</f>
        <v>5712-GN-CB803204-WHT</v>
      </c>
      <c r="B49" s="3">
        <v>803204</v>
      </c>
      <c r="C49" t="s">
        <v>1089</v>
      </c>
      <c r="D49" t="str">
        <f>_xlfn.XLOOKUP(B49, [1]EFAY!$B:$B,[1]EFAY!$D:$D)</f>
        <v>#803204,1/2 SIZE,  325X253X100mm GN RECT CLOUD BOX (WHT)</v>
      </c>
      <c r="E49" t="str">
        <f>_xlfn.XLOOKUP(B49, [1]EFAY!$B:$B,[1]EFAY!$E:$E)</f>
        <v>NO TAG</v>
      </c>
      <c r="G49" t="s">
        <v>1094</v>
      </c>
      <c r="H49">
        <f>_xlfn.XLOOKUP(B49, [1]EFAY!$B:$B,[1]EFAY!$H:$H)</f>
        <v>55.63</v>
      </c>
      <c r="I49" t="str">
        <f>_xlfn.XLOOKUP(B49, [1]EFAY!$B:$B,[1]EFAY!$I:$I)</f>
        <v>JS-Janitorial and Stewarding</v>
      </c>
      <c r="J49" t="str">
        <f>_xlfn.XLOOKUP(B49, [1]EFAY!$B:$B,[1]EFAY!$J:$J)</f>
        <v>SS-Storage Solutions</v>
      </c>
      <c r="K49" t="str">
        <f>_xlfn.XLOOKUP(B49, [1]EFAY!$B:$B,[1]EFAY!$K:$K)</f>
        <v>FP-Food Pans</v>
      </c>
      <c r="L49" t="str">
        <f>_xlfn.XLOOKUP(B49, [1]EFAY!$B:$B,[1]EFAY!$L:$L)</f>
        <v>#803204 1/2 Size 325x253x100mm GN Rect Cloud Box White</v>
      </c>
      <c r="M49" s="3" t="s">
        <v>247</v>
      </c>
      <c r="N49" s="1" t="s">
        <v>246</v>
      </c>
      <c r="O49" s="1" t="s">
        <v>245</v>
      </c>
    </row>
    <row r="50" spans="1:15" x14ac:dyDescent="0.25">
      <c r="A50" t="str">
        <f>_xlfn.XLOOKUP(B50, [1]EFAY!$B:$B,[1]EFAY!$A:$A)</f>
        <v>5712-GN-407811CP48</v>
      </c>
      <c r="B50" s="3" t="s">
        <v>250</v>
      </c>
      <c r="C50" t="s">
        <v>1089</v>
      </c>
      <c r="D50" t="str">
        <f>_xlfn.XLOOKUP(B50, [1]EFAY!$B:$B,[1]EFAY!$D:$D)</f>
        <v>(ID, MOQ:60) #407811-CP48, 1/1 GN BAKER TRAY, CANDY FLOSS</v>
      </c>
      <c r="E50" t="str">
        <f>_xlfn.XLOOKUP(B50, [1]EFAY!$B:$B,[1]EFAY!$E:$E)</f>
        <v>ID WITH STOCK</v>
      </c>
      <c r="G50" t="s">
        <v>1094</v>
      </c>
      <c r="H50">
        <f>_xlfn.XLOOKUP(B50, [1]EFAY!$B:$B,[1]EFAY!$H:$H)</f>
        <v>25.34</v>
      </c>
      <c r="I50" t="str">
        <f>_xlfn.XLOOKUP(B50, [1]EFAY!$B:$B,[1]EFAY!$I:$I)</f>
        <v>JS-Janitorial and Stewarding</v>
      </c>
      <c r="J50" t="str">
        <f>_xlfn.XLOOKUP(B50, [1]EFAY!$B:$B,[1]EFAY!$J:$J)</f>
        <v>BW-Bakeware</v>
      </c>
      <c r="K50" t="str">
        <f>_xlfn.XLOOKUP(B50, [1]EFAY!$B:$B,[1]EFAY!$K:$K)</f>
        <v>BPT-Baking Pans &amp; Trays</v>
      </c>
      <c r="L50" t="str">
        <f>_xlfn.XLOOKUP(B50, [1]EFAY!$B:$B,[1]EFAY!$L:$L)</f>
        <v>#407811-CP48 1/1 GN Baker Tray Candy Floss</v>
      </c>
      <c r="M50" s="3" t="s">
        <v>251</v>
      </c>
      <c r="N50" s="1" t="s">
        <v>249</v>
      </c>
      <c r="O50" s="1" t="s">
        <v>248</v>
      </c>
    </row>
    <row r="51" spans="1:15" x14ac:dyDescent="0.25">
      <c r="A51" t="str">
        <f>_xlfn.XLOOKUP(B51, [1]EFAY!$B:$B,[1]EFAY!$A:$A)</f>
        <v>5712-GN-407812CG39</v>
      </c>
      <c r="B51" s="3" t="s">
        <v>254</v>
      </c>
      <c r="C51" t="s">
        <v>1089</v>
      </c>
      <c r="D51" t="str">
        <f>_xlfn.XLOOKUP(B51, [1]EFAY!$B:$B,[1]EFAY!$D:$D)</f>
        <v>(ID, MOQ:72) #407812-CG39, 1/2 GN BAKER TRAY, THIN TERRAZZO</v>
      </c>
      <c r="E51" t="str">
        <f>_xlfn.XLOOKUP(B51, [1]EFAY!$B:$B,[1]EFAY!$E:$E)</f>
        <v>ID NO STOCK</v>
      </c>
      <c r="G51" t="s">
        <v>1094</v>
      </c>
      <c r="H51">
        <f>_xlfn.XLOOKUP(B51, [1]EFAY!$B:$B,[1]EFAY!$H:$H)</f>
        <v>11.31</v>
      </c>
      <c r="I51" t="str">
        <f>_xlfn.XLOOKUP(B51, [1]EFAY!$B:$B,[1]EFAY!$I:$I)</f>
        <v>JS-Janitorial and Stewarding</v>
      </c>
      <c r="J51" t="str">
        <f>_xlfn.XLOOKUP(B51, [1]EFAY!$B:$B,[1]EFAY!$J:$J)</f>
        <v>BW-Bakeware</v>
      </c>
      <c r="K51" t="str">
        <f>_xlfn.XLOOKUP(B51, [1]EFAY!$B:$B,[1]EFAY!$K:$K)</f>
        <v>BPT-Baking Pans &amp; Trays</v>
      </c>
      <c r="L51" t="str">
        <f>_xlfn.XLOOKUP(B51, [1]EFAY!$B:$B,[1]EFAY!$L:$L)</f>
        <v>407812-CG39 1/2 GN Baker Tray Thin Terrazzo</v>
      </c>
      <c r="M51" s="3" t="s">
        <v>255</v>
      </c>
      <c r="N51" s="1" t="s">
        <v>253</v>
      </c>
      <c r="O51" s="1" t="s">
        <v>252</v>
      </c>
    </row>
    <row r="52" spans="1:15" x14ac:dyDescent="0.25">
      <c r="A52" t="str">
        <f>_xlfn.XLOOKUP(B52, [1]EFAY!$B:$B,[1]EFAY!$A:$A)</f>
        <v>5712-GN-CB803406-WHT</v>
      </c>
      <c r="B52" s="3">
        <v>803406</v>
      </c>
      <c r="C52" t="s">
        <v>1089</v>
      </c>
      <c r="D52" t="str">
        <f>_xlfn.XLOOKUP(B52, [1]EFAY!$B:$B,[1]EFAY!$D:$D)</f>
        <v>#803406,2/4 SIZE, 530X150X150mm GN RECT CLOUD BOX (WHT)</v>
      </c>
      <c r="E52" t="str">
        <f>_xlfn.XLOOKUP(B52, [1]EFAY!$B:$B,[1]EFAY!$E:$E)</f>
        <v>NO TAG</v>
      </c>
      <c r="G52" t="s">
        <v>1094</v>
      </c>
      <c r="H52">
        <f>_xlfn.XLOOKUP(B52, [1]EFAY!$B:$B,[1]EFAY!$H:$H)</f>
        <v>66.62</v>
      </c>
      <c r="I52" t="str">
        <f>_xlfn.XLOOKUP(B52, [1]EFAY!$B:$B,[1]EFAY!$I:$I)</f>
        <v>JS-Janitorial and Stewarding</v>
      </c>
      <c r="J52" t="str">
        <f>_xlfn.XLOOKUP(B52, [1]EFAY!$B:$B,[1]EFAY!$J:$J)</f>
        <v>SS-Storage Solutions</v>
      </c>
      <c r="K52" t="str">
        <f>_xlfn.XLOOKUP(B52, [1]EFAY!$B:$B,[1]EFAY!$K:$K)</f>
        <v>FP-Food Pans</v>
      </c>
      <c r="L52" t="str">
        <f>_xlfn.XLOOKUP(B52, [1]EFAY!$B:$B,[1]EFAY!$L:$L)</f>
        <v>#803406 2/4 Size 530x150x150mm GN Rect Cloud Box White</v>
      </c>
      <c r="M52" s="3" t="s">
        <v>260</v>
      </c>
      <c r="N52" s="1" t="s">
        <v>259</v>
      </c>
      <c r="O52" s="1" t="s">
        <v>258</v>
      </c>
    </row>
    <row r="53" spans="1:15" x14ac:dyDescent="0.25">
      <c r="A53" t="str">
        <f>_xlfn.XLOOKUP(B53, [1]EFAY!$B:$B,[1]EFAY!$A:$A)</f>
        <v>5712-ETW-5025ER5</v>
      </c>
      <c r="B53" s="3" t="s">
        <v>114</v>
      </c>
      <c r="C53" t="s">
        <v>1089</v>
      </c>
      <c r="D53" t="str">
        <f>_xlfn.XLOOKUP(B53, [1]EFAY!$B:$B,[1]EFAY!$D:$D)</f>
        <v>&lt;4170550&gt;#5025, 50x25CM MELAMINE WOODY BOARD (OAK)</v>
      </c>
      <c r="E53" t="str">
        <f>_xlfn.XLOOKUP(B53, [1]EFAY!$B:$B,[1]EFAY!$E:$E)</f>
        <v>NO TAG</v>
      </c>
      <c r="G53" t="s">
        <v>1094</v>
      </c>
      <c r="H53">
        <f>_xlfn.XLOOKUP(B53, [1]EFAY!$B:$B,[1]EFAY!$H:$H)</f>
        <v>32.17</v>
      </c>
      <c r="I53" t="str">
        <f>_xlfn.XLOOKUP(B53, [1]EFAY!$B:$B,[1]EFAY!$I:$I)</f>
        <v>JS-Janitorial and Stewarding</v>
      </c>
      <c r="J53" t="str">
        <f>_xlfn.XLOOKUP(B53, [1]EFAY!$B:$B,[1]EFAY!$J:$J)</f>
        <v>SVW-Serveware</v>
      </c>
      <c r="K53" t="str">
        <f>_xlfn.XLOOKUP(B53, [1]EFAY!$B:$B,[1]EFAY!$K:$K)</f>
        <v>BBC-Bread Boards/Charcuterie Boards</v>
      </c>
      <c r="L53" t="str">
        <f>_xlfn.XLOOKUP(B53, [1]EFAY!$B:$B,[1]EFAY!$L:$L)</f>
        <v>#5025 Melamine 50x25cm Woody Board Oak</v>
      </c>
      <c r="M53" s="3" t="s">
        <v>269</v>
      </c>
      <c r="N53" s="1" t="s">
        <v>268</v>
      </c>
      <c r="O53" s="1" t="s">
        <v>267</v>
      </c>
    </row>
    <row r="54" spans="1:15" x14ac:dyDescent="0.25">
      <c r="A54" t="str">
        <f>_xlfn.XLOOKUP(B54, [1]EFAY!$B:$B,[1]EFAY!$A:$A)</f>
        <v>5712-ETW-2515ER5</v>
      </c>
      <c r="B54" s="3" t="s">
        <v>113</v>
      </c>
      <c r="C54" t="s">
        <v>1089</v>
      </c>
      <c r="D54" t="str">
        <f>_xlfn.XLOOKUP(B54, [1]EFAY!$B:$B,[1]EFAY!$D:$D)</f>
        <v>&lt;4170525&gt; #2515, 25x15CM MELAMINE WOODY BOARD (OAK)</v>
      </c>
      <c r="E54" t="str">
        <f>_xlfn.XLOOKUP(B54, [1]EFAY!$B:$B,[1]EFAY!$E:$E)</f>
        <v>NO TAG</v>
      </c>
      <c r="G54" t="s">
        <v>1094</v>
      </c>
      <c r="H54">
        <f>_xlfn.XLOOKUP(B54, [1]EFAY!$B:$B,[1]EFAY!$H:$H)</f>
        <v>11.82</v>
      </c>
      <c r="I54" t="str">
        <f>_xlfn.XLOOKUP(B54, [1]EFAY!$B:$B,[1]EFAY!$I:$I)</f>
        <v>JS-Janitorial and Stewarding</v>
      </c>
      <c r="J54" t="str">
        <f>_xlfn.XLOOKUP(B54, [1]EFAY!$B:$B,[1]EFAY!$J:$J)</f>
        <v>SVW-Serveware</v>
      </c>
      <c r="K54" t="str">
        <f>_xlfn.XLOOKUP(B54, [1]EFAY!$B:$B,[1]EFAY!$K:$K)</f>
        <v>BBC-Bread Boards/Charcuterie Boards</v>
      </c>
      <c r="L54" t="str">
        <f>_xlfn.XLOOKUP(B54, [1]EFAY!$B:$B,[1]EFAY!$L:$L)</f>
        <v>#2515 Melamine 25x15cm Woody Board Oak</v>
      </c>
      <c r="M54" s="3" t="s">
        <v>273</v>
      </c>
      <c r="N54" s="1" t="s">
        <v>272</v>
      </c>
      <c r="O54" s="1" t="s">
        <v>271</v>
      </c>
    </row>
    <row r="55" spans="1:15" x14ac:dyDescent="0.25">
      <c r="A55" t="str">
        <f>_xlfn.XLOOKUP(B55, [1]EFAY!$B:$B,[1]EFAY!$A:$A)</f>
        <v>5712-EDA-515510IV</v>
      </c>
      <c r="B55" s="3" t="s">
        <v>277</v>
      </c>
      <c r="C55" t="s">
        <v>1089</v>
      </c>
      <c r="D55" t="str">
        <f>_xlfn.XLOOKUP(B55, [1]EFAY!$B:$B,[1]EFAY!$D:$D)</f>
        <v>(WSL20) &lt;4170810&gt;(BLK STAND SOLD SEPARATELY)  #515510, 10" MELAMINE GEOMETRY CONE CUP (IVORY)</v>
      </c>
      <c r="E55" t="str">
        <f>_xlfn.XLOOKUP(B55, [1]EFAY!$B:$B,[1]EFAY!$E:$E)</f>
        <v>WSL WITH STOCK</v>
      </c>
      <c r="G55" t="s">
        <v>1094</v>
      </c>
      <c r="H55">
        <f>_xlfn.XLOOKUP(B55, [1]EFAY!$B:$B,[1]EFAY!$H:$H)</f>
        <v>5.55</v>
      </c>
      <c r="I55" t="str">
        <f>_xlfn.XLOOKUP(B55, [1]EFAY!$B:$B,[1]EFAY!$I:$I)</f>
        <v>JS-Janitorial and Stewarding</v>
      </c>
      <c r="J55" t="str">
        <f>_xlfn.XLOOKUP(B55, [1]EFAY!$B:$B,[1]EFAY!$J:$J)</f>
        <v>BWR-Beverageware</v>
      </c>
      <c r="K55" t="str">
        <f>_xlfn.XLOOKUP(B55, [1]EFAY!$B:$B,[1]EFAY!$K:$K)</f>
        <v>CM-Cup/Mugs</v>
      </c>
      <c r="L55" t="str">
        <f>_xlfn.XLOOKUP(B55, [1]EFAY!$B:$B,[1]EFAY!$L:$L)</f>
        <v>#515510 Melamine 10" Geometry Cone Cup Ivory</v>
      </c>
      <c r="M55" s="3" t="s">
        <v>278</v>
      </c>
      <c r="N55" s="1" t="s">
        <v>276</v>
      </c>
      <c r="O55" s="1" t="s">
        <v>275</v>
      </c>
    </row>
    <row r="56" spans="1:15" x14ac:dyDescent="0.25">
      <c r="A56" t="str">
        <f>_xlfn.XLOOKUP(B56, [1]EFAY!$B:$B,[1]EFAY!$A:$A)</f>
        <v>5712-EDA-515508IV</v>
      </c>
      <c r="B56" s="3" t="s">
        <v>282</v>
      </c>
      <c r="C56" t="s">
        <v>1089</v>
      </c>
      <c r="D56" t="str">
        <f>_xlfn.XLOOKUP(B56, [1]EFAY!$B:$B,[1]EFAY!$D:$D)</f>
        <v>(WSL20) &lt;4170808&gt;(BLK STAND SOLD SEPARATELY) #515508, 8" MELAMINE GEOMETRY CONE CUP (IVORY)</v>
      </c>
      <c r="E56" t="str">
        <f>_xlfn.XLOOKUP(B56, [1]EFAY!$B:$B,[1]EFAY!$E:$E)</f>
        <v>WSL WITH STOCK</v>
      </c>
      <c r="G56" t="s">
        <v>1094</v>
      </c>
      <c r="H56">
        <f>_xlfn.XLOOKUP(B56, [1]EFAY!$B:$B,[1]EFAY!$H:$H)</f>
        <v>3.94</v>
      </c>
      <c r="I56" t="str">
        <f>_xlfn.XLOOKUP(B56, [1]EFAY!$B:$B,[1]EFAY!$I:$I)</f>
        <v>JS-Janitorial and Stewarding</v>
      </c>
      <c r="J56" t="str">
        <f>_xlfn.XLOOKUP(B56, [1]EFAY!$B:$B,[1]EFAY!$J:$J)</f>
        <v>BWR-Beverageware</v>
      </c>
      <c r="K56" t="str">
        <f>_xlfn.XLOOKUP(B56, [1]EFAY!$B:$B,[1]EFAY!$K:$K)</f>
        <v>CM-Cup/Mugs</v>
      </c>
      <c r="L56" t="str">
        <f>_xlfn.XLOOKUP(B56, [1]EFAY!$B:$B,[1]EFAY!$L:$L)</f>
        <v>#515508 Melamine 8" Geometry Cone Cup Ivory</v>
      </c>
      <c r="M56" s="3" t="s">
        <v>283</v>
      </c>
      <c r="N56" s="1" t="s">
        <v>281</v>
      </c>
      <c r="O56" s="1" t="s">
        <v>280</v>
      </c>
    </row>
    <row r="57" spans="1:15" x14ac:dyDescent="0.25">
      <c r="A57" t="str">
        <f>_xlfn.XLOOKUP(B57, [1]EFAY!$B:$B,[1]EFAY!$A:$A)</f>
        <v>5712-590706-BK</v>
      </c>
      <c r="B57" s="3" t="s">
        <v>287</v>
      </c>
      <c r="C57" t="s">
        <v>1089</v>
      </c>
      <c r="D57" t="str">
        <f>_xlfn.XLOOKUP(B57, [1]EFAY!$B:$B,[1]EFAY!$D:$D)</f>
        <v>-MUST SELL BY PKT- L:14XW:7.8XHT:0.085cm, OVAL SIGNAGE STICK (6PCS/PKT)(BLACK) (SELL BY PKT)</v>
      </c>
      <c r="E57" t="str">
        <f>_xlfn.XLOOKUP(B57, [1]EFAY!$B:$B,[1]EFAY!$E:$E)</f>
        <v>NO TAG</v>
      </c>
      <c r="G57" t="s">
        <v>1094</v>
      </c>
      <c r="H57">
        <f>_xlfn.XLOOKUP(B57, [1]EFAY!$B:$B,[1]EFAY!$H:$H)</f>
        <v>10.17</v>
      </c>
      <c r="I57" t="str">
        <f>_xlfn.XLOOKUP(B57, [1]EFAY!$B:$B,[1]EFAY!$I:$I)</f>
        <v>JS-Janitorial and Stewarding</v>
      </c>
      <c r="J57" t="str">
        <f>_xlfn.XLOOKUP(B57, [1]EFAY!$B:$B,[1]EFAY!$J:$J)</f>
        <v>SM-Signage &amp; Miscellaneous</v>
      </c>
      <c r="K57" t="str">
        <f>_xlfn.XLOOKUP(B57, [1]EFAY!$B:$B,[1]EFAY!$K:$K)</f>
        <v>SGN-Signage</v>
      </c>
      <c r="L57" t="str">
        <f>_xlfn.XLOOKUP(B57, [1]EFAY!$B:$B,[1]EFAY!$L:$L)</f>
        <v>L14xW7.8xH0.085cm Oval Signage Stick Black</v>
      </c>
      <c r="M57" s="3" t="s">
        <v>288</v>
      </c>
      <c r="N57" s="1" t="s">
        <v>286</v>
      </c>
      <c r="O57" s="1" t="s">
        <v>285</v>
      </c>
    </row>
    <row r="58" spans="1:15" x14ac:dyDescent="0.25">
      <c r="A58" t="str">
        <f>_xlfn.XLOOKUP(B58, [1]EFAY!$B:$B,[1]EFAY!$A:$A)</f>
        <v>5712-590606-BK</v>
      </c>
      <c r="B58" s="3" t="s">
        <v>292</v>
      </c>
      <c r="C58" t="s">
        <v>1089</v>
      </c>
      <c r="D58" t="str">
        <f>_xlfn.XLOOKUP(B58, [1]EFAY!$B:$B,[1]EFAY!$D:$D)</f>
        <v>-MUST SELL BY PKT- L:14XW:7.8XHT:0.085cm, RECTANGLE SIGNAGE STICK (6PCS/PKT)(BLACK) (SELL BY PKT)</v>
      </c>
      <c r="E58" t="str">
        <f>_xlfn.XLOOKUP(B58, [1]EFAY!$B:$B,[1]EFAY!$E:$E)</f>
        <v>NO TAG</v>
      </c>
      <c r="G58" t="s">
        <v>1094</v>
      </c>
      <c r="H58">
        <f>_xlfn.XLOOKUP(B58, [1]EFAY!$B:$B,[1]EFAY!$H:$H)</f>
        <v>10.17</v>
      </c>
      <c r="I58" t="str">
        <f>_xlfn.XLOOKUP(B58, [1]EFAY!$B:$B,[1]EFAY!$I:$I)</f>
        <v>JS-Janitorial and Stewarding</v>
      </c>
      <c r="J58" t="str">
        <f>_xlfn.XLOOKUP(B58, [1]EFAY!$B:$B,[1]EFAY!$J:$J)</f>
        <v>SM-Signage &amp; Miscellaneous</v>
      </c>
      <c r="K58" t="str">
        <f>_xlfn.XLOOKUP(B58, [1]EFAY!$B:$B,[1]EFAY!$K:$K)</f>
        <v>SGN-Signage</v>
      </c>
      <c r="L58" t="str">
        <f>_xlfn.XLOOKUP(B58, [1]EFAY!$B:$B,[1]EFAY!$L:$L)</f>
        <v>L14xW7.8xH0.085cm Rectangle Signage Stick Black</v>
      </c>
      <c r="M58" s="3" t="s">
        <v>293</v>
      </c>
      <c r="N58" s="1" t="s">
        <v>291</v>
      </c>
      <c r="O58" s="1" t="s">
        <v>290</v>
      </c>
    </row>
    <row r="59" spans="1:15" x14ac:dyDescent="0.25">
      <c r="A59" t="str">
        <f>_xlfn.XLOOKUP(B59, [1]EFAY!$B:$B,[1]EFAY!$A:$A)</f>
        <v>5712-WOOD-407716-BK</v>
      </c>
      <c r="B59" s="3" t="s">
        <v>299</v>
      </c>
      <c r="C59" t="s">
        <v>1089</v>
      </c>
      <c r="D59" t="str">
        <f>_xlfn.XLOOKUP(B59, [1]EFAY!$B:$B,[1]EFAY!$D:$D)</f>
        <v>#407716BK, L:40xW:30cm RECT. WOODY BAKER PASTRY TRAY</v>
      </c>
      <c r="E59" t="str">
        <f>_xlfn.XLOOKUP(B59, [1]EFAY!$B:$B,[1]EFAY!$E:$E)</f>
        <v>NO TAG</v>
      </c>
      <c r="G59" t="s">
        <v>1094</v>
      </c>
      <c r="H59">
        <f>_xlfn.XLOOKUP(B59, [1]EFAY!$B:$B,[1]EFAY!$H:$H)</f>
        <v>16.14</v>
      </c>
      <c r="I59" t="str">
        <f>_xlfn.XLOOKUP(B59, [1]EFAY!$B:$B,[1]EFAY!$I:$I)</f>
        <v>JS-Janitorial and Stewarding</v>
      </c>
      <c r="J59" t="str">
        <f>_xlfn.XLOOKUP(B59, [1]EFAY!$B:$B,[1]EFAY!$J:$J)</f>
        <v>BW-Bakeware</v>
      </c>
      <c r="K59" t="str">
        <f>_xlfn.XLOOKUP(B59, [1]EFAY!$B:$B,[1]EFAY!$K:$K)</f>
        <v>BPT-Baking Pans &amp; Trays</v>
      </c>
      <c r="L59" t="str">
        <f>_xlfn.XLOOKUP(B59, [1]EFAY!$B:$B,[1]EFAY!$L:$L)</f>
        <v>#407716BK L40xW30cm Woody Baker Rectangular Pastry Tray</v>
      </c>
      <c r="M59" s="3" t="s">
        <v>300</v>
      </c>
      <c r="N59" s="1" t="s">
        <v>298</v>
      </c>
      <c r="O59" s="1" t="s">
        <v>297</v>
      </c>
    </row>
    <row r="60" spans="1:15" x14ac:dyDescent="0.25">
      <c r="A60" t="str">
        <f>_xlfn.XLOOKUP(B60, [1]EFAY!$B:$B,[1]EFAY!$A:$A)</f>
        <v>5712-BAK-407512-BK</v>
      </c>
      <c r="B60" s="3" t="s">
        <v>208</v>
      </c>
      <c r="C60" t="s">
        <v>1089</v>
      </c>
      <c r="D60" t="e">
        <f>_xlfn.XLOOKUP(B60, [1]EFAY!$B:$B,[1]EFAY!$D:$D)</f>
        <v>#VALUE!</v>
      </c>
      <c r="E60" t="str">
        <f>_xlfn.XLOOKUP(B60, [1]EFAY!$B:$B,[1]EFAY!$E:$E)</f>
        <v>NO TAG</v>
      </c>
      <c r="G60" t="s">
        <v>1094</v>
      </c>
      <c r="H60">
        <f>_xlfn.XLOOKUP(B60, [1]EFAY!$B:$B,[1]EFAY!$H:$H)</f>
        <v>7.44</v>
      </c>
      <c r="I60" t="str">
        <f>_xlfn.XLOOKUP(B60, [1]EFAY!$B:$B,[1]EFAY!$I:$I)</f>
        <v>JS-Janitorial and Stewarding</v>
      </c>
      <c r="J60" t="str">
        <f>_xlfn.XLOOKUP(B60, [1]EFAY!$B:$B,[1]EFAY!$J:$J)</f>
        <v>BW-Bakeware</v>
      </c>
      <c r="K60" t="str">
        <f>_xlfn.XLOOKUP(B60, [1]EFAY!$B:$B,[1]EFAY!$K:$K)</f>
        <v>BPT-Baking Pans &amp; Trays</v>
      </c>
      <c r="L60" t="str">
        <f>_xlfn.XLOOKUP(B60, [1]EFAY!$B:$B,[1]EFAY!$L:$L)</f>
        <v>L30xW20cm Rectangular Woody Baker Pastry Tray Black</v>
      </c>
      <c r="M60" s="3" t="s">
        <v>303</v>
      </c>
      <c r="N60" s="1" t="s">
        <v>302</v>
      </c>
      <c r="O60" s="1" t="s">
        <v>301</v>
      </c>
    </row>
    <row r="61" spans="1:15" x14ac:dyDescent="0.25">
      <c r="A61" t="str">
        <f>_xlfn.XLOOKUP(B61, [1]EFAY!$B:$B,[1]EFAY!$A:$A)</f>
        <v>5712-WOOD-407412/BK</v>
      </c>
      <c r="B61" s="3" t="s">
        <v>209</v>
      </c>
      <c r="C61" t="s">
        <v>1089</v>
      </c>
      <c r="D61" t="str">
        <f>_xlfn.XLOOKUP(B61, [1]EFAY!$B:$B,[1]EFAY!$D:$D)</f>
        <v>#407412BK, L:30xW:15cm RECT. WOODY BAKER PASTRY TRAY</v>
      </c>
      <c r="E61" t="str">
        <f>_xlfn.XLOOKUP(B61, [1]EFAY!$B:$B,[1]EFAY!$E:$E)</f>
        <v>NO TAG</v>
      </c>
      <c r="G61" t="s">
        <v>1094</v>
      </c>
      <c r="H61">
        <f>_xlfn.XLOOKUP(B61, [1]EFAY!$B:$B,[1]EFAY!$H:$H)</f>
        <v>6.03</v>
      </c>
      <c r="I61" t="str">
        <f>_xlfn.XLOOKUP(B61, [1]EFAY!$B:$B,[1]EFAY!$I:$I)</f>
        <v>JS-Janitorial and Stewarding</v>
      </c>
      <c r="J61" t="str">
        <f>_xlfn.XLOOKUP(B61, [1]EFAY!$B:$B,[1]EFAY!$J:$J)</f>
        <v>BW-Bakeware</v>
      </c>
      <c r="K61" t="str">
        <f>_xlfn.XLOOKUP(B61, [1]EFAY!$B:$B,[1]EFAY!$K:$K)</f>
        <v>BPT-Baking Pans &amp; Trays</v>
      </c>
      <c r="L61" t="str">
        <f>_xlfn.XLOOKUP(B61, [1]EFAY!$B:$B,[1]EFAY!$L:$L)</f>
        <v>#407412B L30xW15cmWoody Baker Rectangular Pastry Tray</v>
      </c>
      <c r="M61" s="3" t="s">
        <v>306</v>
      </c>
      <c r="N61" s="1" t="s">
        <v>305</v>
      </c>
      <c r="O61" s="1" t="s">
        <v>304</v>
      </c>
    </row>
    <row r="62" spans="1:15" x14ac:dyDescent="0.25">
      <c r="A62" t="str">
        <f>_xlfn.XLOOKUP(B62, [1]EFAY!$B:$B,[1]EFAY!$A:$A)</f>
        <v>5712-CPT-408717OR</v>
      </c>
      <c r="B62" s="3" t="s">
        <v>314</v>
      </c>
      <c r="C62" t="s">
        <v>1089</v>
      </c>
      <c r="D62" t="str">
        <f>_xlfn.XLOOKUP(B62, [1]EFAY!$B:$B,[1]EFAY!$D:$D)</f>
        <v>(WSL19)L:30XW:40XHT:1.8cm, RECT. CRYSTAL PASTRY TRAY (ORANGE)</v>
      </c>
      <c r="E62" t="str">
        <f>_xlfn.XLOOKUP(B62, [1]EFAY!$B:$B,[1]EFAY!$E:$E)</f>
        <v>WSL WITH STOCK</v>
      </c>
      <c r="G62" t="s">
        <v>1094</v>
      </c>
      <c r="H62">
        <f>_xlfn.XLOOKUP(B62, [1]EFAY!$B:$B,[1]EFAY!$H:$H)</f>
        <v>93.5</v>
      </c>
      <c r="I62" t="str">
        <f>_xlfn.XLOOKUP(B62, [1]EFAY!$B:$B,[1]EFAY!$I:$I)</f>
        <v>JS-Janitorial and Stewarding</v>
      </c>
      <c r="J62" t="str">
        <f>_xlfn.XLOOKUP(B62, [1]EFAY!$B:$B,[1]EFAY!$J:$J)</f>
        <v>SVW-Serveware</v>
      </c>
      <c r="K62" t="str">
        <f>_xlfn.XLOOKUP(B62, [1]EFAY!$B:$B,[1]EFAY!$K:$K)</f>
        <v>MSA-Miscellaneous Serving Accessories</v>
      </c>
      <c r="L62" t="str">
        <f>_xlfn.XLOOKUP(B62, [1]EFAY!$B:$B,[1]EFAY!$L:$L)</f>
        <v>L30xW40xH1.8cm Rectangular Crystal Pastry Tray Orange</v>
      </c>
      <c r="M62" s="3" t="s">
        <v>315</v>
      </c>
      <c r="N62" s="1" t="s">
        <v>313</v>
      </c>
      <c r="O62" s="1" t="s">
        <v>312</v>
      </c>
    </row>
    <row r="63" spans="1:15" x14ac:dyDescent="0.25">
      <c r="A63" t="str">
        <f>_xlfn.XLOOKUP(B63, [1]EFAY!$B:$B,[1]EFAY!$A:$A)</f>
        <v>5712-CPT-408612OR</v>
      </c>
      <c r="B63" s="3" t="s">
        <v>318</v>
      </c>
      <c r="C63" t="s">
        <v>1089</v>
      </c>
      <c r="D63" t="str">
        <f>_xlfn.XLOOKUP(B63, [1]EFAY!$B:$B,[1]EFAY!$D:$D)</f>
        <v>(WSL19)L:30XW:30XHT:1.8cm, SQUARE CRYSTAL PASTRY TRAY (ORANGE)</v>
      </c>
      <c r="E63" t="str">
        <f>_xlfn.XLOOKUP(B63, [1]EFAY!$B:$B,[1]EFAY!$E:$E)</f>
        <v>WSL WITH STOCK</v>
      </c>
      <c r="G63" t="s">
        <v>1094</v>
      </c>
      <c r="H63">
        <f>_xlfn.XLOOKUP(B63, [1]EFAY!$B:$B,[1]EFAY!$H:$H)</f>
        <v>86.75</v>
      </c>
      <c r="I63" t="str">
        <f>_xlfn.XLOOKUP(B63, [1]EFAY!$B:$B,[1]EFAY!$I:$I)</f>
        <v>JS-Janitorial and Stewarding</v>
      </c>
      <c r="J63" t="str">
        <f>_xlfn.XLOOKUP(B63, [1]EFAY!$B:$B,[1]EFAY!$J:$J)</f>
        <v>SVW-Serveware</v>
      </c>
      <c r="K63" t="str">
        <f>_xlfn.XLOOKUP(B63, [1]EFAY!$B:$B,[1]EFAY!$K:$K)</f>
        <v>DRA-Display Risers, Stands &amp; Accessories</v>
      </c>
      <c r="L63" t="str">
        <f>_xlfn.XLOOKUP(B63, [1]EFAY!$B:$B,[1]EFAY!$L:$L)</f>
        <v>L30xW30xH1.8cm Square Crystal Pastry Tray Orange</v>
      </c>
      <c r="M63" s="3" t="s">
        <v>319</v>
      </c>
      <c r="N63" s="1" t="s">
        <v>317</v>
      </c>
      <c r="O63" s="1" t="s">
        <v>316</v>
      </c>
    </row>
    <row r="64" spans="1:15" x14ac:dyDescent="0.25">
      <c r="A64" t="str">
        <f>_xlfn.XLOOKUP(B64, [1]EFAY!$B:$B,[1]EFAY!$A:$A)</f>
        <v>5712-CPT-408512OR</v>
      </c>
      <c r="B64" s="3" t="s">
        <v>322</v>
      </c>
      <c r="C64" t="s">
        <v>1089</v>
      </c>
      <c r="D64" t="str">
        <f>_xlfn.XLOOKUP(B64, [1]EFAY!$B:$B,[1]EFAY!$D:$D)</f>
        <v>(WSL19)L:30XW:20XHT:1.8cm, RECT. CRYSTAL PASTRY TRAY (ORANGE)</v>
      </c>
      <c r="E64" t="str">
        <f>_xlfn.XLOOKUP(B64, [1]EFAY!$B:$B,[1]EFAY!$E:$E)</f>
        <v>WSL WITH STOCK</v>
      </c>
      <c r="G64" t="s">
        <v>1094</v>
      </c>
      <c r="H64">
        <f>_xlfn.XLOOKUP(B64, [1]EFAY!$B:$B,[1]EFAY!$H:$H)</f>
        <v>51.48</v>
      </c>
      <c r="I64" t="str">
        <f>_xlfn.XLOOKUP(B64, [1]EFAY!$B:$B,[1]EFAY!$I:$I)</f>
        <v>JS-Janitorial and Stewarding</v>
      </c>
      <c r="J64" t="str">
        <f>_xlfn.XLOOKUP(B64, [1]EFAY!$B:$B,[1]EFAY!$J:$J)</f>
        <v>SVW-Serveware</v>
      </c>
      <c r="K64" t="str">
        <f>_xlfn.XLOOKUP(B64, [1]EFAY!$B:$B,[1]EFAY!$K:$K)</f>
        <v>DRA-Display Risers, Stands &amp; Accessories</v>
      </c>
      <c r="L64" t="str">
        <f>_xlfn.XLOOKUP(B64, [1]EFAY!$B:$B,[1]EFAY!$L:$L)</f>
        <v>L30xW20xH1.8cm Rectangular Crystal Pastry Tray Orang</v>
      </c>
      <c r="M64" s="3" t="s">
        <v>323</v>
      </c>
      <c r="N64" s="1" t="s">
        <v>321</v>
      </c>
      <c r="O64" s="1" t="s">
        <v>320</v>
      </c>
    </row>
    <row r="65" spans="1:15" x14ac:dyDescent="0.25">
      <c r="A65" t="str">
        <f>_xlfn.XLOOKUP(B65, [1]EFAY!$B:$B,[1]EFAY!$A:$A)</f>
        <v>5712-CPT-408412OR</v>
      </c>
      <c r="B65" s="3" t="s">
        <v>326</v>
      </c>
      <c r="C65" t="s">
        <v>1089</v>
      </c>
      <c r="D65" t="str">
        <f>_xlfn.XLOOKUP(B65, [1]EFAY!$B:$B,[1]EFAY!$D:$D)</f>
        <v>(WSL19)L:30XW:15XHT:1.8cm, RECT. CRYSTAL PASTRY TRAY (ORANGE)</v>
      </c>
      <c r="E65" t="str">
        <f>_xlfn.XLOOKUP(B65, [1]EFAY!$B:$B,[1]EFAY!$E:$E)</f>
        <v>WSL WITH STOCK</v>
      </c>
      <c r="G65" t="s">
        <v>1094</v>
      </c>
      <c r="H65">
        <f>_xlfn.XLOOKUP(B65, [1]EFAY!$B:$B,[1]EFAY!$H:$H)</f>
        <v>42.3</v>
      </c>
      <c r="I65" t="str">
        <f>_xlfn.XLOOKUP(B65, [1]EFAY!$B:$B,[1]EFAY!$I:$I)</f>
        <v>JS-Janitorial and Stewarding</v>
      </c>
      <c r="J65" t="str">
        <f>_xlfn.XLOOKUP(B65, [1]EFAY!$B:$B,[1]EFAY!$J:$J)</f>
        <v>SVW-Serveware</v>
      </c>
      <c r="K65" t="str">
        <f>_xlfn.XLOOKUP(B65, [1]EFAY!$B:$B,[1]EFAY!$K:$K)</f>
        <v>DRA-Display Risers, Stands &amp; Accessories</v>
      </c>
      <c r="L65" t="str">
        <f>_xlfn.XLOOKUP(B65, [1]EFAY!$B:$B,[1]EFAY!$L:$L)</f>
        <v>L30xW15xH1.8cm Rectangular Crystal Pastry Tray Orange</v>
      </c>
      <c r="M65" s="3" t="s">
        <v>327</v>
      </c>
      <c r="N65" s="1" t="s">
        <v>325</v>
      </c>
      <c r="O65" s="1" t="s">
        <v>324</v>
      </c>
    </row>
    <row r="66" spans="1:15" x14ac:dyDescent="0.25">
      <c r="A66" t="str">
        <f>_xlfn.XLOOKUP(B66, [1]EFAY!$B:$B,[1]EFAY!$A:$A)</f>
        <v>5712-MELA-406613ERS</v>
      </c>
      <c r="B66" s="3" t="s">
        <v>10</v>
      </c>
      <c r="C66" t="s">
        <v>1089</v>
      </c>
      <c r="D66" t="str">
        <f>_xlfn.XLOOKUP(B66, [1]EFAY!$B:$B,[1]EFAY!$D:$D)</f>
        <v>#406613, DIA 13"/32.5cm RD MELA BOARD (OAK) EARTH</v>
      </c>
      <c r="E66" t="str">
        <f>_xlfn.XLOOKUP(B66, [1]EFAY!$B:$B,[1]EFAY!$E:$E)</f>
        <v>NO TAG</v>
      </c>
      <c r="G66" t="s">
        <v>1094</v>
      </c>
      <c r="H66">
        <f>_xlfn.XLOOKUP(B66, [1]EFAY!$B:$B,[1]EFAY!$H:$H)</f>
        <v>16.29</v>
      </c>
      <c r="I66" t="str">
        <f>_xlfn.XLOOKUP(B66, [1]EFAY!$B:$B,[1]EFAY!$I:$I)</f>
        <v>JS-Janitorial and Stewarding</v>
      </c>
      <c r="J66" t="str">
        <f>_xlfn.XLOOKUP(B66, [1]EFAY!$B:$B,[1]EFAY!$J:$J)</f>
        <v>SVW-Serveware</v>
      </c>
      <c r="K66" t="str">
        <f>_xlfn.XLOOKUP(B66, [1]EFAY!$B:$B,[1]EFAY!$K:$K)</f>
        <v>BBC-Bread Boards/Charcuterie Boards</v>
      </c>
      <c r="L66" t="str">
        <f>_xlfn.XLOOKUP(B66, [1]EFAY!$B:$B,[1]EFAY!$L:$L)</f>
        <v>#406613 Ø13"/32.5cm Round Mela Board Earth Oak</v>
      </c>
      <c r="M66" s="3" t="s">
        <v>330</v>
      </c>
      <c r="N66" s="1" t="s">
        <v>329</v>
      </c>
      <c r="O66" s="1" t="s">
        <v>328</v>
      </c>
    </row>
    <row r="67" spans="1:15" x14ac:dyDescent="0.25">
      <c r="A67" t="str">
        <f>_xlfn.XLOOKUP(B67, [1]EFAY!$B:$B,[1]EFAY!$A:$A)</f>
        <v>5712-MELA-406717ERS</v>
      </c>
      <c r="B67" s="3" t="s">
        <v>7</v>
      </c>
      <c r="C67" t="s">
        <v>1089</v>
      </c>
      <c r="D67" t="str">
        <f>_xlfn.XLOOKUP(B67, [1]EFAY!$B:$B,[1]EFAY!$D:$D)</f>
        <v>#406717, L:44xW:32.5cm RECT. MELA BOARD (OAK) EARTH</v>
      </c>
      <c r="E67" t="str">
        <f>_xlfn.XLOOKUP(B67, [1]EFAY!$B:$B,[1]EFAY!$E:$E)</f>
        <v>NO TAG</v>
      </c>
      <c r="G67" t="s">
        <v>1094</v>
      </c>
      <c r="H67">
        <f>_xlfn.XLOOKUP(B67, [1]EFAY!$B:$B,[1]EFAY!$H:$H)</f>
        <v>22.81</v>
      </c>
      <c r="I67" t="str">
        <f>_xlfn.XLOOKUP(B67, [1]EFAY!$B:$B,[1]EFAY!$I:$I)</f>
        <v>JS-Janitorial and Stewarding</v>
      </c>
      <c r="J67" t="str">
        <f>_xlfn.XLOOKUP(B67, [1]EFAY!$B:$B,[1]EFAY!$J:$J)</f>
        <v>SVW-Serveware</v>
      </c>
      <c r="K67" t="str">
        <f>_xlfn.XLOOKUP(B67, [1]EFAY!$B:$B,[1]EFAY!$K:$K)</f>
        <v>BBC-Bread Boards/Charcuterie Boards</v>
      </c>
      <c r="L67" t="str">
        <f>_xlfn.XLOOKUP(B67, [1]EFAY!$B:$B,[1]EFAY!$L:$L)</f>
        <v>#406717 L44xW32.5cm Rectangular Mela Board Earth Oak</v>
      </c>
      <c r="M67" s="3" t="s">
        <v>334</v>
      </c>
      <c r="N67" s="1" t="s">
        <v>333</v>
      </c>
      <c r="O67" s="1" t="s">
        <v>332</v>
      </c>
    </row>
    <row r="68" spans="1:15" x14ac:dyDescent="0.25">
      <c r="A68" t="str">
        <f>_xlfn.XLOOKUP(B68, [1]EFAY!$B:$B,[1]EFAY!$A:$A)</f>
        <v>5712-MELA-406610ERS</v>
      </c>
      <c r="B68" s="3" t="s">
        <v>9</v>
      </c>
      <c r="C68" t="s">
        <v>1089</v>
      </c>
      <c r="D68" t="str">
        <f>_xlfn.XLOOKUP(B68, [1]EFAY!$B:$B,[1]EFAY!$D:$D)</f>
        <v>#406610, DIA 10"/25cm RD MELA BOARD (OAK) EARTH</v>
      </c>
      <c r="E68" t="str">
        <f>_xlfn.XLOOKUP(B68, [1]EFAY!$B:$B,[1]EFAY!$E:$E)</f>
        <v>NO TAG</v>
      </c>
      <c r="G68" t="s">
        <v>1094</v>
      </c>
      <c r="H68">
        <f>_xlfn.XLOOKUP(B68, [1]EFAY!$B:$B,[1]EFAY!$H:$H)</f>
        <v>11.12</v>
      </c>
      <c r="I68" t="str">
        <f>_xlfn.XLOOKUP(B68, [1]EFAY!$B:$B,[1]EFAY!$I:$I)</f>
        <v>JS-Janitorial and Stewarding</v>
      </c>
      <c r="J68" t="str">
        <f>_xlfn.XLOOKUP(B68, [1]EFAY!$B:$B,[1]EFAY!$J:$J)</f>
        <v>SVW-Serveware</v>
      </c>
      <c r="K68" t="str">
        <f>_xlfn.XLOOKUP(B68, [1]EFAY!$B:$B,[1]EFAY!$K:$K)</f>
        <v>BBC-Bread Boards/Charcuterie Boards</v>
      </c>
      <c r="L68" t="str">
        <f>_xlfn.XLOOKUP(B68, [1]EFAY!$B:$B,[1]EFAY!$L:$L)</f>
        <v>#406610 Ø10"/25cm Round Mela Board Earth Oak</v>
      </c>
      <c r="M68" s="3" t="s">
        <v>338</v>
      </c>
      <c r="N68" s="1" t="s">
        <v>337</v>
      </c>
      <c r="O68" s="1" t="s">
        <v>336</v>
      </c>
    </row>
    <row r="69" spans="1:15" x14ac:dyDescent="0.25">
      <c r="A69" t="str">
        <f>_xlfn.XLOOKUP(B69, [1]EFAY!$B:$B,[1]EFAY!$A:$A)</f>
        <v>5712-MELA-406713ERS</v>
      </c>
      <c r="B69" s="3" t="s">
        <v>6</v>
      </c>
      <c r="C69" t="s">
        <v>1089</v>
      </c>
      <c r="D69" t="str">
        <f>_xlfn.XLOOKUP(B69, [1]EFAY!$B:$B,[1]EFAY!$D:$D)</f>
        <v>#406713, L:32.5xW:20cm RECT. MELA BOARD (OAK) EARTH</v>
      </c>
      <c r="E69" t="str">
        <f>_xlfn.XLOOKUP(B69, [1]EFAY!$B:$B,[1]EFAY!$E:$E)</f>
        <v>NO TAG</v>
      </c>
      <c r="G69" t="s">
        <v>1094</v>
      </c>
      <c r="H69">
        <f>_xlfn.XLOOKUP(B69, [1]EFAY!$B:$B,[1]EFAY!$H:$H)</f>
        <v>12.92</v>
      </c>
      <c r="I69" t="str">
        <f>_xlfn.XLOOKUP(B69, [1]EFAY!$B:$B,[1]EFAY!$I:$I)</f>
        <v>JS-Janitorial and Stewarding</v>
      </c>
      <c r="J69" t="str">
        <f>_xlfn.XLOOKUP(B69, [1]EFAY!$B:$B,[1]EFAY!$J:$J)</f>
        <v>SVW-Serveware</v>
      </c>
      <c r="K69" t="str">
        <f>_xlfn.XLOOKUP(B69, [1]EFAY!$B:$B,[1]EFAY!$K:$K)</f>
        <v>BBC-Bread Boards/Charcuterie Boards</v>
      </c>
      <c r="L69" t="str">
        <f>_xlfn.XLOOKUP(B69, [1]EFAY!$B:$B,[1]EFAY!$L:$L)</f>
        <v>#406713 L32.5xW20cm Rectangular Mela Board Earth Oak</v>
      </c>
      <c r="M69" s="3" t="s">
        <v>342</v>
      </c>
      <c r="N69" s="1" t="s">
        <v>341</v>
      </c>
      <c r="O69" s="1" t="s">
        <v>340</v>
      </c>
    </row>
    <row r="70" spans="1:15" x14ac:dyDescent="0.25">
      <c r="A70" t="str">
        <f>_xlfn.XLOOKUP(B70, [1]EFAY!$B:$B,[1]EFAY!$A:$A)</f>
        <v>5712-EDB-206504IV</v>
      </c>
      <c r="B70" s="3" t="s">
        <v>348</v>
      </c>
      <c r="C70" t="s">
        <v>1089</v>
      </c>
      <c r="D70" t="str">
        <f>_xlfn.XLOOKUP(B70, [1]EFAY!$B:$B,[1]EFAY!$D:$D)</f>
        <v>#206504 9cmX9cmXH:5.5cm  MELAMINE "CANON" SQUARE BOWL (IVORY)</v>
      </c>
      <c r="E70" t="str">
        <f>_xlfn.XLOOKUP(B70, [1]EFAY!$B:$B,[1]EFAY!$E:$E)</f>
        <v>NO TAG</v>
      </c>
      <c r="G70" t="s">
        <v>1094</v>
      </c>
      <c r="H70">
        <f>_xlfn.XLOOKUP(B70, [1]EFAY!$B:$B,[1]EFAY!$H:$H)</f>
        <v>2.75</v>
      </c>
      <c r="I70" t="str">
        <f>_xlfn.XLOOKUP(B70, [1]EFAY!$B:$B,[1]EFAY!$I:$I)</f>
        <v>JS-Janitorial and Stewarding</v>
      </c>
      <c r="J70" t="str">
        <f>_xlfn.XLOOKUP(B70, [1]EFAY!$B:$B,[1]EFAY!$J:$J)</f>
        <v>SVW-Serveware</v>
      </c>
      <c r="K70" t="str">
        <f>_xlfn.XLOOKUP(B70, [1]EFAY!$B:$B,[1]EFAY!$K:$K)</f>
        <v>MSA-Miscellaneous Serving Accessories</v>
      </c>
      <c r="L70" t="str">
        <f>_xlfn.XLOOKUP(B70, [1]EFAY!$B:$B,[1]EFAY!$L:$L)</f>
        <v>#206504 Melamine 9x9xH5.5cm Canon Square Bowl Ivory</v>
      </c>
      <c r="M70" s="3" t="s">
        <v>349</v>
      </c>
      <c r="N70" s="1" t="s">
        <v>347</v>
      </c>
      <c r="O70" s="1" t="s">
        <v>346</v>
      </c>
    </row>
    <row r="71" spans="1:15" x14ac:dyDescent="0.25">
      <c r="A71" t="str">
        <f>_xlfn.XLOOKUP(B71, [1]EFAY!$B:$B,[1]EFAY!$A:$A)</f>
        <v>5712-EDB-206503IV</v>
      </c>
      <c r="B71" s="3" t="s">
        <v>353</v>
      </c>
      <c r="C71" t="s">
        <v>1089</v>
      </c>
      <c r="D71" t="str">
        <f>_xlfn.XLOOKUP(B71, [1]EFAY!$B:$B,[1]EFAY!$D:$D)</f>
        <v>#206503 7cmX7cmXH:4.2cm  MELAMINE "CANON" SQUARE BOWL (IVORY)</v>
      </c>
      <c r="E71" t="str">
        <f>_xlfn.XLOOKUP(B71, [1]EFAY!$B:$B,[1]EFAY!$E:$E)</f>
        <v>NO TAG</v>
      </c>
      <c r="G71" t="s">
        <v>1094</v>
      </c>
      <c r="H71">
        <f>_xlfn.XLOOKUP(B71, [1]EFAY!$B:$B,[1]EFAY!$H:$H)</f>
        <v>1.57</v>
      </c>
      <c r="I71" t="str">
        <f>_xlfn.XLOOKUP(B71, [1]EFAY!$B:$B,[1]EFAY!$I:$I)</f>
        <v>JS-Janitorial and Stewarding</v>
      </c>
      <c r="J71" t="str">
        <f>_xlfn.XLOOKUP(B71, [1]EFAY!$B:$B,[1]EFAY!$J:$J)</f>
        <v>SVW-Serveware</v>
      </c>
      <c r="K71" t="str">
        <f>_xlfn.XLOOKUP(B71, [1]EFAY!$B:$B,[1]EFAY!$K:$K)</f>
        <v>MSA-Miscellaneous Serving Accessories</v>
      </c>
      <c r="L71" t="str">
        <f>_xlfn.XLOOKUP(B71, [1]EFAY!$B:$B,[1]EFAY!$L:$L)</f>
        <v>#206503 Melamine 7x7xH4.2cm CanonSquare Bowl Ivory</v>
      </c>
      <c r="M71" s="3" t="s">
        <v>354</v>
      </c>
      <c r="N71" s="1" t="s">
        <v>352</v>
      </c>
      <c r="O71" s="1" t="s">
        <v>351</v>
      </c>
    </row>
    <row r="72" spans="1:15" x14ac:dyDescent="0.25">
      <c r="A72" t="str">
        <f>_xlfn.XLOOKUP(B72, [1]EFAY!$B:$B,[1]EFAY!$A:$A)</f>
        <v>5712-EDB-206512IV</v>
      </c>
      <c r="B72" s="3" t="s">
        <v>358</v>
      </c>
      <c r="C72" t="s">
        <v>1089</v>
      </c>
      <c r="D72" t="str">
        <f>_xlfn.XLOOKUP(B72, [1]EFAY!$B:$B,[1]EFAY!$D:$D)</f>
        <v>#206512 30cmX30cmXH:11.5cm  MELAMINE "CANON" SQUARE BOWL (IVORY)</v>
      </c>
      <c r="E72" t="str">
        <f>_xlfn.XLOOKUP(B72, [1]EFAY!$B:$B,[1]EFAY!$E:$E)</f>
        <v>NO TAG</v>
      </c>
      <c r="G72" t="s">
        <v>1094</v>
      </c>
      <c r="H72">
        <f>_xlfn.XLOOKUP(B72, [1]EFAY!$B:$B,[1]EFAY!$H:$H)</f>
        <v>21.99</v>
      </c>
      <c r="I72" t="str">
        <f>_xlfn.XLOOKUP(B72, [1]EFAY!$B:$B,[1]EFAY!$I:$I)</f>
        <v>JS-Janitorial and Stewarding</v>
      </c>
      <c r="J72" t="str">
        <f>_xlfn.XLOOKUP(B72, [1]EFAY!$B:$B,[1]EFAY!$J:$J)</f>
        <v>SVW-Serveware</v>
      </c>
      <c r="K72" t="str">
        <f>_xlfn.XLOOKUP(B72, [1]EFAY!$B:$B,[1]EFAY!$K:$K)</f>
        <v>MSA-Miscellaneous Serving Accessories</v>
      </c>
      <c r="L72" t="str">
        <f>_xlfn.XLOOKUP(B72, [1]EFAY!$B:$B,[1]EFAY!$L:$L)</f>
        <v>#206512 Melamine 30x30xH11.5cm Canon Square Bowl Ivory</v>
      </c>
      <c r="M72" s="3" t="s">
        <v>359</v>
      </c>
      <c r="N72" s="1" t="s">
        <v>357</v>
      </c>
      <c r="O72" s="1" t="s">
        <v>356</v>
      </c>
    </row>
    <row r="73" spans="1:15" x14ac:dyDescent="0.25">
      <c r="A73" t="str">
        <f>_xlfn.XLOOKUP(B73, [1]EFAY!$B:$B,[1]EFAY!$A:$A)</f>
        <v>5712-EDB-206510IV</v>
      </c>
      <c r="B73" s="3" t="s">
        <v>363</v>
      </c>
      <c r="C73" t="s">
        <v>1089</v>
      </c>
      <c r="D73" t="str">
        <f>_xlfn.XLOOKUP(B73, [1]EFAY!$B:$B,[1]EFAY!$D:$D)</f>
        <v>#206510 24cmX24cmXH:10cm  MELAMINE "CANON" SQUARE BOWL (IVORY)</v>
      </c>
      <c r="E73" t="str">
        <f>_xlfn.XLOOKUP(B73, [1]EFAY!$B:$B,[1]EFAY!$E:$E)</f>
        <v>NO TAG</v>
      </c>
      <c r="G73" t="s">
        <v>1094</v>
      </c>
      <c r="H73">
        <f>_xlfn.XLOOKUP(B73, [1]EFAY!$B:$B,[1]EFAY!$H:$H)</f>
        <v>13.85</v>
      </c>
      <c r="I73" t="str">
        <f>_xlfn.XLOOKUP(B73, [1]EFAY!$B:$B,[1]EFAY!$I:$I)</f>
        <v>JS-Janitorial and Stewarding</v>
      </c>
      <c r="J73" t="str">
        <f>_xlfn.XLOOKUP(B73, [1]EFAY!$B:$B,[1]EFAY!$J:$J)</f>
        <v>SVW-Serveware</v>
      </c>
      <c r="K73" t="str">
        <f>_xlfn.XLOOKUP(B73, [1]EFAY!$B:$B,[1]EFAY!$K:$K)</f>
        <v>MSA-Miscellaneous Serving Accessories</v>
      </c>
      <c r="L73" t="str">
        <f>_xlfn.XLOOKUP(B73, [1]EFAY!$B:$B,[1]EFAY!$L:$L)</f>
        <v>#206510 Melamine 24x24xH10cm Canon Square Bowl Ivory</v>
      </c>
      <c r="M73" s="3" t="s">
        <v>364</v>
      </c>
      <c r="N73" s="1" t="s">
        <v>362</v>
      </c>
      <c r="O73" s="1" t="s">
        <v>361</v>
      </c>
    </row>
    <row r="74" spans="1:15" x14ac:dyDescent="0.25">
      <c r="A74" t="str">
        <f>_xlfn.XLOOKUP(B74, [1]EFAY!$B:$B,[1]EFAY!$A:$A)</f>
        <v>5712-EDB-206507IV</v>
      </c>
      <c r="B74" s="3" t="s">
        <v>166</v>
      </c>
      <c r="C74" t="s">
        <v>1089</v>
      </c>
      <c r="D74" t="str">
        <f>_xlfn.XLOOKUP(B74, [1]EFAY!$B:$B,[1]EFAY!$D:$D)</f>
        <v>#206507 18cmX18cmXH:8.5cm  MELAMINE "CANON" SQUARE BOWL (IVORY)</v>
      </c>
      <c r="E74" t="str">
        <f>_xlfn.XLOOKUP(B74, [1]EFAY!$B:$B,[1]EFAY!$E:$E)</f>
        <v>NO TAG</v>
      </c>
      <c r="G74" t="s">
        <v>1094</v>
      </c>
      <c r="H74">
        <f>_xlfn.XLOOKUP(B74, [1]EFAY!$B:$B,[1]EFAY!$H:$H)</f>
        <v>9.1</v>
      </c>
      <c r="I74" t="str">
        <f>_xlfn.XLOOKUP(B74, [1]EFAY!$B:$B,[1]EFAY!$I:$I)</f>
        <v>JS-Janitorial and Stewarding</v>
      </c>
      <c r="J74" t="str">
        <f>_xlfn.XLOOKUP(B74, [1]EFAY!$B:$B,[1]EFAY!$J:$J)</f>
        <v>SVW-Serveware</v>
      </c>
      <c r="K74" t="str">
        <f>_xlfn.XLOOKUP(B74, [1]EFAY!$B:$B,[1]EFAY!$K:$K)</f>
        <v>MSA-Miscellaneous Serving Accessories</v>
      </c>
      <c r="L74" t="str">
        <f>_xlfn.XLOOKUP(B74, [1]EFAY!$B:$B,[1]EFAY!$L:$L)</f>
        <v>#206507 Melamine 18x18xH8.5cm Canon Square Bowl Ivory</v>
      </c>
      <c r="M74" s="3" t="s">
        <v>368</v>
      </c>
      <c r="N74" s="1" t="s">
        <v>367</v>
      </c>
      <c r="O74" s="1" t="s">
        <v>366</v>
      </c>
    </row>
    <row r="75" spans="1:15" x14ac:dyDescent="0.25">
      <c r="A75" t="str">
        <f>_xlfn.XLOOKUP(B75, [1]EFAY!$B:$B,[1]EFAY!$A:$A)</f>
        <v>5712-EDB-206505IV</v>
      </c>
      <c r="B75" s="3" t="s">
        <v>372</v>
      </c>
      <c r="C75" t="s">
        <v>1089</v>
      </c>
      <c r="D75" t="str">
        <f>_xlfn.XLOOKUP(B75, [1]EFAY!$B:$B,[1]EFAY!$D:$D)</f>
        <v>(WSL19)#206505 13cmX13cmXH:7cm  MELAMINE ''CANON'' SQUARE BOWL (IVORY)</v>
      </c>
      <c r="E75" t="str">
        <f>_xlfn.XLOOKUP(B75, [1]EFAY!$B:$B,[1]EFAY!$E:$E)</f>
        <v>WSL NO STOCK</v>
      </c>
      <c r="G75" t="s">
        <v>1094</v>
      </c>
      <c r="H75">
        <f>_xlfn.XLOOKUP(B75, [1]EFAY!$B:$B,[1]EFAY!$H:$H)</f>
        <v>5.74</v>
      </c>
      <c r="I75" t="str">
        <f>_xlfn.XLOOKUP(B75, [1]EFAY!$B:$B,[1]EFAY!$I:$I)</f>
        <v>JS-Janitorial and Stewarding</v>
      </c>
      <c r="J75" t="e">
        <f>_xlfn.XLOOKUP(B75, [1]EFAY!$B:$B,[1]EFAY!$J:$J)</f>
        <v>#N/A</v>
      </c>
      <c r="K75" t="e">
        <f>_xlfn.XLOOKUP(B75, [1]EFAY!$B:$B,[1]EFAY!$K:$K)</f>
        <v>#N/A</v>
      </c>
      <c r="L75" t="e">
        <f>_xlfn.XLOOKUP(B75, [1]EFAY!$B:$B,[1]EFAY!$L:$L)</f>
        <v>#N/A</v>
      </c>
      <c r="M75" s="3" t="s">
        <v>373</v>
      </c>
      <c r="N75" s="1" t="s">
        <v>371</v>
      </c>
      <c r="O75" s="1" t="s">
        <v>370</v>
      </c>
    </row>
    <row r="76" spans="1:15" x14ac:dyDescent="0.25">
      <c r="A76" t="str">
        <f>_xlfn.XLOOKUP(B76, [1]EFAY!$B:$B,[1]EFAY!$A:$A)</f>
        <v>5712-EDP-100316IV</v>
      </c>
      <c r="B76" s="3" t="s">
        <v>377</v>
      </c>
      <c r="C76" t="s">
        <v>1089</v>
      </c>
      <c r="D76" t="str">
        <f>_xlfn.XLOOKUP(B76, [1]EFAY!$B:$B,[1]EFAY!$D:$D)</f>
        <v>(WSL19)#100316, 16'' MELAMINE LUNA CURVED PLATE (IVORY)</v>
      </c>
      <c r="E76" t="str">
        <f>_xlfn.XLOOKUP(B76, [1]EFAY!$B:$B,[1]EFAY!$E:$E)</f>
        <v>WSL WITH STOCK</v>
      </c>
      <c r="G76" t="s">
        <v>1094</v>
      </c>
      <c r="H76">
        <f>_xlfn.XLOOKUP(B76, [1]EFAY!$B:$B,[1]EFAY!$H:$H)</f>
        <v>31.18</v>
      </c>
      <c r="I76" t="str">
        <f>_xlfn.XLOOKUP(B76, [1]EFAY!$B:$B,[1]EFAY!$I:$I)</f>
        <v>JS-Janitorial and Stewarding</v>
      </c>
      <c r="J76" t="str">
        <f>_xlfn.XLOOKUP(B76, [1]EFAY!$B:$B,[1]EFAY!$J:$J)</f>
        <v>DWR-Dinnerware</v>
      </c>
      <c r="K76" t="str">
        <f>_xlfn.XLOOKUP(B76, [1]EFAY!$B:$B,[1]EFAY!$K:$K)</f>
        <v>PLT-Plates</v>
      </c>
      <c r="L76" t="str">
        <f>_xlfn.XLOOKUP(B76, [1]EFAY!$B:$B,[1]EFAY!$L:$L)</f>
        <v>#100316 Melamine 16" Luna Curved Plate Ivory</v>
      </c>
      <c r="M76" s="3" t="s">
        <v>378</v>
      </c>
      <c r="N76" s="1" t="s">
        <v>376</v>
      </c>
      <c r="O76" s="1" t="s">
        <v>375</v>
      </c>
    </row>
    <row r="77" spans="1:15" x14ac:dyDescent="0.25">
      <c r="A77" t="str">
        <f>_xlfn.XLOOKUP(B77, [1]EFAY!$B:$B,[1]EFAY!$A:$A)</f>
        <v>5712-EDP-100314IV</v>
      </c>
      <c r="B77" s="3" t="s">
        <v>382</v>
      </c>
      <c r="C77" t="s">
        <v>1089</v>
      </c>
      <c r="D77" t="str">
        <f>_xlfn.XLOOKUP(B77, [1]EFAY!$B:$B,[1]EFAY!$D:$D)</f>
        <v>(WSL19)#100314, 14'' MELAMINE LUNA CURVED PLATE (IVORY)</v>
      </c>
      <c r="E77" t="str">
        <f>_xlfn.XLOOKUP(B77, [1]EFAY!$B:$B,[1]EFAY!$E:$E)</f>
        <v>WSL WITH STOCK</v>
      </c>
      <c r="G77" t="s">
        <v>1094</v>
      </c>
      <c r="H77">
        <f>_xlfn.XLOOKUP(B77, [1]EFAY!$B:$B,[1]EFAY!$H:$H)</f>
        <v>22</v>
      </c>
      <c r="I77" t="str">
        <f>_xlfn.XLOOKUP(B77, [1]EFAY!$B:$B,[1]EFAY!$I:$I)</f>
        <v>JS-Janitorial and Stewarding</v>
      </c>
      <c r="J77" t="str">
        <f>_xlfn.XLOOKUP(B77, [1]EFAY!$B:$B,[1]EFAY!$J:$J)</f>
        <v>DWR-Dinnerware</v>
      </c>
      <c r="K77" t="str">
        <f>_xlfn.XLOOKUP(B77, [1]EFAY!$B:$B,[1]EFAY!$K:$K)</f>
        <v>PLT-Plates</v>
      </c>
      <c r="L77" t="str">
        <f>_xlfn.XLOOKUP(B77, [1]EFAY!$B:$B,[1]EFAY!$L:$L)</f>
        <v>#100314 Melamine 14" Luna Curved Plate Ivory</v>
      </c>
      <c r="M77" s="3" t="s">
        <v>383</v>
      </c>
      <c r="N77" s="1" t="s">
        <v>381</v>
      </c>
      <c r="O77" s="1" t="s">
        <v>380</v>
      </c>
    </row>
    <row r="78" spans="1:15" x14ac:dyDescent="0.25">
      <c r="A78" t="str">
        <f>_xlfn.XLOOKUP(B78, [1]EFAY!$B:$B,[1]EFAY!$A:$A)</f>
        <v>5712-EDP-100324IV</v>
      </c>
      <c r="B78" s="3" t="s">
        <v>56</v>
      </c>
      <c r="C78" t="s">
        <v>1089</v>
      </c>
      <c r="D78" t="str">
        <f>_xlfn.XLOOKUP(B78, [1]EFAY!$B:$B,[1]EFAY!$D:$D)</f>
        <v>#100324, 24" MELAMINE LUNA CURVED PLATE (IVORY)</v>
      </c>
      <c r="E78" t="str">
        <f>_xlfn.XLOOKUP(B78, [1]EFAY!$B:$B,[1]EFAY!$E:$E)</f>
        <v>NO TAG</v>
      </c>
      <c r="G78" t="s">
        <v>1094</v>
      </c>
      <c r="H78">
        <f>_xlfn.XLOOKUP(B78, [1]EFAY!$B:$B,[1]EFAY!$H:$H)</f>
        <v>39.54</v>
      </c>
      <c r="I78" t="str">
        <f>_xlfn.XLOOKUP(B78, [1]EFAY!$B:$B,[1]EFAY!$I:$I)</f>
        <v>JS-Janitorial and Stewarding</v>
      </c>
      <c r="J78" t="str">
        <f>_xlfn.XLOOKUP(B78, [1]EFAY!$B:$B,[1]EFAY!$J:$J)</f>
        <v>DWR-Dinnerware</v>
      </c>
      <c r="K78" t="str">
        <f>_xlfn.XLOOKUP(B78, [1]EFAY!$B:$B,[1]EFAY!$K:$K)</f>
        <v>PLT-Plates</v>
      </c>
      <c r="L78" t="str">
        <f>_xlfn.XLOOKUP(B78, [1]EFAY!$B:$B,[1]EFAY!$L:$L)</f>
        <v>#100324 Melamine 24" Luna Curved Plate Ivory</v>
      </c>
      <c r="M78" s="3" t="s">
        <v>387</v>
      </c>
      <c r="N78" s="1" t="s">
        <v>386</v>
      </c>
      <c r="O78" s="1" t="s">
        <v>385</v>
      </c>
    </row>
    <row r="79" spans="1:15" x14ac:dyDescent="0.25">
      <c r="A79" t="str">
        <f>_xlfn.XLOOKUP(B79, [1]EFAY!$B:$B,[1]EFAY!$A:$A)</f>
        <v>5712-EDC-302710IVCO</v>
      </c>
      <c r="B79" s="3" t="s">
        <v>3</v>
      </c>
      <c r="C79" t="s">
        <v>1089</v>
      </c>
      <c r="D79" t="str">
        <f>_xlfn.XLOOKUP(B79, [1]EFAY!$B:$B,[1]EFAY!$D:$D)</f>
        <v>(DCWSL19)&lt;7201710-IVCO&gt; #302710, 10 OZ MELAMINE MACARON TUMBLER (IVORY/COCOA)</v>
      </c>
      <c r="E79" t="str">
        <f>_xlfn.XLOOKUP(B79, [1]EFAY!$B:$B,[1]EFAY!$E:$E)</f>
        <v>WSL WITH STOCK</v>
      </c>
      <c r="G79" t="s">
        <v>1094</v>
      </c>
      <c r="H79">
        <f>_xlfn.XLOOKUP(B79, [1]EFAY!$B:$B,[1]EFAY!$H:$H)</f>
        <v>2.7</v>
      </c>
      <c r="I79" t="str">
        <f>_xlfn.XLOOKUP(B79, [1]EFAY!$B:$B,[1]EFAY!$I:$I)</f>
        <v>JS-Janitorial and Stewarding</v>
      </c>
      <c r="J79" t="str">
        <f>_xlfn.XLOOKUP(B79, [1]EFAY!$B:$B,[1]EFAY!$J:$J)</f>
        <v>BWR-Beverageware</v>
      </c>
      <c r="K79" t="str">
        <f>_xlfn.XLOOKUP(B79, [1]EFAY!$B:$B,[1]EFAY!$K:$K)</f>
        <v>TM-Tumblers</v>
      </c>
      <c r="L79" t="str">
        <f>_xlfn.XLOOKUP(B79, [1]EFAY!$B:$B,[1]EFAY!$L:$L)</f>
        <v>#302710 Melamine 10oz Macaron Tumbler Ivory/Cocoa</v>
      </c>
      <c r="M79" s="3" t="s">
        <v>391</v>
      </c>
      <c r="N79" s="1" t="s">
        <v>390</v>
      </c>
      <c r="O79" s="1" t="s">
        <v>389</v>
      </c>
    </row>
    <row r="80" spans="1:15" x14ac:dyDescent="0.25">
      <c r="A80" t="str">
        <f>_xlfn.XLOOKUP(B80, [1]EFAY!$B:$B,[1]EFAY!$A:$A)</f>
        <v>5712-EDC-302710IVGR</v>
      </c>
      <c r="B80" s="3" t="s">
        <v>395</v>
      </c>
      <c r="C80" t="s">
        <v>1089</v>
      </c>
      <c r="D80" t="str">
        <f>_xlfn.XLOOKUP(B80, [1]EFAY!$B:$B,[1]EFAY!$D:$D)</f>
        <v>&lt;7201710-IVGR&gt;#302710, 10 OZ MELAMINE MACARON TUMBLER (IVORY/A GREEN)</v>
      </c>
      <c r="E80" t="str">
        <f>_xlfn.XLOOKUP(B80, [1]EFAY!$B:$B,[1]EFAY!$E:$E)</f>
        <v>NO TAG</v>
      </c>
      <c r="G80" t="s">
        <v>1094</v>
      </c>
      <c r="H80">
        <f>_xlfn.XLOOKUP(B80, [1]EFAY!$B:$B,[1]EFAY!$H:$H)</f>
        <v>2.75</v>
      </c>
      <c r="I80" t="str">
        <f>_xlfn.XLOOKUP(B80, [1]EFAY!$B:$B,[1]EFAY!$I:$I)</f>
        <v>JS-Janitorial and Stewarding</v>
      </c>
      <c r="J80" t="str">
        <f>_xlfn.XLOOKUP(B80, [1]EFAY!$B:$B,[1]EFAY!$J:$J)</f>
        <v>BWR-Beverageware</v>
      </c>
      <c r="K80" t="str">
        <f>_xlfn.XLOOKUP(B80, [1]EFAY!$B:$B,[1]EFAY!$K:$K)</f>
        <v>TM-Tumblers</v>
      </c>
      <c r="L80" t="str">
        <f>_xlfn.XLOOKUP(B80, [1]EFAY!$B:$B,[1]EFAY!$L:$L)</f>
        <v>#302710 Melamine 10oz Macaron Tumbler Ivory/Green</v>
      </c>
      <c r="M80" s="3" t="s">
        <v>396</v>
      </c>
      <c r="N80" s="1" t="s">
        <v>394</v>
      </c>
      <c r="O80" s="1" t="s">
        <v>393</v>
      </c>
    </row>
    <row r="81" spans="1:15" x14ac:dyDescent="0.25">
      <c r="A81" t="str">
        <f>_xlfn.XLOOKUP(B81, [1]EFAY!$B:$B,[1]EFAY!$A:$A)</f>
        <v>5712-EDC-302710IVFB</v>
      </c>
      <c r="B81" s="3" t="s">
        <v>399</v>
      </c>
      <c r="C81" t="s">
        <v>1089</v>
      </c>
      <c r="D81" t="str">
        <f>_xlfn.XLOOKUP(B81, [1]EFAY!$B:$B,[1]EFAY!$D:$D)</f>
        <v>&lt;7201710-IVFB&gt; #302710, 10 OZ MELAMINE MACARON TUMBLER (IVORY/F BLUE)</v>
      </c>
      <c r="E81" t="str">
        <f>_xlfn.XLOOKUP(B81, [1]EFAY!$B:$B,[1]EFAY!$E:$E)</f>
        <v>NO TAG</v>
      </c>
      <c r="G81" t="s">
        <v>1094</v>
      </c>
      <c r="H81">
        <f>_xlfn.XLOOKUP(B81, [1]EFAY!$B:$B,[1]EFAY!$H:$H)</f>
        <v>2.75</v>
      </c>
      <c r="I81" t="str">
        <f>_xlfn.XLOOKUP(B81, [1]EFAY!$B:$B,[1]EFAY!$I:$I)</f>
        <v>JS-Janitorial and Stewarding</v>
      </c>
      <c r="J81" t="str">
        <f>_xlfn.XLOOKUP(B81, [1]EFAY!$B:$B,[1]EFAY!$J:$J)</f>
        <v>BWR-Beverageware</v>
      </c>
      <c r="K81" t="str">
        <f>_xlfn.XLOOKUP(B81, [1]EFAY!$B:$B,[1]EFAY!$K:$K)</f>
        <v>TM-Tumblers</v>
      </c>
      <c r="L81" t="str">
        <f>_xlfn.XLOOKUP(B81, [1]EFAY!$B:$B,[1]EFAY!$L:$L)</f>
        <v>#302710 Melamine 10oz Macaron Tumbler Ivory/Blue</v>
      </c>
      <c r="M81" s="3" t="s">
        <v>400</v>
      </c>
      <c r="N81" s="1" t="s">
        <v>398</v>
      </c>
      <c r="O81" s="1" t="s">
        <v>397</v>
      </c>
    </row>
    <row r="82" spans="1:15" x14ac:dyDescent="0.25">
      <c r="A82" t="str">
        <f>_xlfn.XLOOKUP(B82, [1]EFAY!$B:$B,[1]EFAY!$A:$A)</f>
        <v>5712-EDC-302706IVCO</v>
      </c>
      <c r="B82" s="3" t="s">
        <v>403</v>
      </c>
      <c r="C82" t="s">
        <v>1089</v>
      </c>
      <c r="D82" t="str">
        <f>_xlfn.XLOOKUP(B82, [1]EFAY!$B:$B,[1]EFAY!$D:$D)</f>
        <v>(DCWSL19)&lt;7201706-IVCO&gt;#302706, 6 OZ MELAMINE MACARON TUMBLER (IVORY/COCOA)</v>
      </c>
      <c r="E82" t="str">
        <f>_xlfn.XLOOKUP(B82, [1]EFAY!$B:$B,[1]EFAY!$E:$E)</f>
        <v>WSL WITH STOCK</v>
      </c>
      <c r="G82" t="s">
        <v>1094</v>
      </c>
      <c r="H82">
        <f>_xlfn.XLOOKUP(B82, [1]EFAY!$B:$B,[1]EFAY!$H:$H)</f>
        <v>2.15</v>
      </c>
      <c r="I82" t="str">
        <f>_xlfn.XLOOKUP(B82, [1]EFAY!$B:$B,[1]EFAY!$I:$I)</f>
        <v>JS-Janitorial and Stewarding</v>
      </c>
      <c r="J82" t="str">
        <f>_xlfn.XLOOKUP(B82, [1]EFAY!$B:$B,[1]EFAY!$J:$J)</f>
        <v>BWR-Beverageware</v>
      </c>
      <c r="K82" t="str">
        <f>_xlfn.XLOOKUP(B82, [1]EFAY!$B:$B,[1]EFAY!$K:$K)</f>
        <v>TM-Tumblers</v>
      </c>
      <c r="L82" t="str">
        <f>_xlfn.XLOOKUP(B82, [1]EFAY!$B:$B,[1]EFAY!$L:$L)</f>
        <v>#302706 Melamine 6oz Macaron Tumbler Ivory/Cocoa</v>
      </c>
      <c r="M82" s="3" t="s">
        <v>404</v>
      </c>
      <c r="N82" s="1" t="s">
        <v>402</v>
      </c>
      <c r="O82" s="1" t="s">
        <v>401</v>
      </c>
    </row>
    <row r="83" spans="1:15" x14ac:dyDescent="0.25">
      <c r="A83" t="str">
        <f>_xlfn.XLOOKUP(B83, [1]EFAY!$B:$B,[1]EFAY!$A:$A)</f>
        <v>5712-EDC-302706IVGR</v>
      </c>
      <c r="B83" s="3" t="s">
        <v>408</v>
      </c>
      <c r="C83" t="s">
        <v>1089</v>
      </c>
      <c r="D83" t="str">
        <f>_xlfn.XLOOKUP(B83, [1]EFAY!$B:$B,[1]EFAY!$D:$D)</f>
        <v>(WSL19)&lt;7201706-IVGR&gt; #302706, 6 OZ MELAMINE MACARON TUMBLER (IVORY/A GREEN)</v>
      </c>
      <c r="E83" t="str">
        <f>_xlfn.XLOOKUP(B83, [1]EFAY!$B:$B,[1]EFAY!$E:$E)</f>
        <v>WSL WITH STOCK</v>
      </c>
      <c r="G83" t="s">
        <v>1094</v>
      </c>
      <c r="H83">
        <f>_xlfn.XLOOKUP(B83, [1]EFAY!$B:$B,[1]EFAY!$H:$H)</f>
        <v>1.87</v>
      </c>
      <c r="I83" t="str">
        <f>_xlfn.XLOOKUP(B83, [1]EFAY!$B:$B,[1]EFAY!$I:$I)</f>
        <v>JS-Janitorial and Stewarding</v>
      </c>
      <c r="J83" t="str">
        <f>_xlfn.XLOOKUP(B83, [1]EFAY!$B:$B,[1]EFAY!$J:$J)</f>
        <v>BWR-Beverageware</v>
      </c>
      <c r="K83" t="str">
        <f>_xlfn.XLOOKUP(B83, [1]EFAY!$B:$B,[1]EFAY!$K:$K)</f>
        <v>TM-Tumblers</v>
      </c>
      <c r="L83" t="str">
        <f>_xlfn.XLOOKUP(B83, [1]EFAY!$B:$B,[1]EFAY!$L:$L)</f>
        <v>#302706 Melamine 6oz Macaron Tumbler Ivory/Green</v>
      </c>
      <c r="M83" s="3" t="s">
        <v>409</v>
      </c>
      <c r="N83" s="1" t="s">
        <v>407</v>
      </c>
      <c r="O83" s="1" t="s">
        <v>406</v>
      </c>
    </row>
    <row r="84" spans="1:15" x14ac:dyDescent="0.25">
      <c r="A84" t="str">
        <f>_xlfn.XLOOKUP(B84, [1]EFAY!$B:$B,[1]EFAY!$A:$A)</f>
        <v>5712-EDC-302706IVFB</v>
      </c>
      <c r="B84" s="3" t="s">
        <v>5</v>
      </c>
      <c r="C84" t="s">
        <v>1089</v>
      </c>
      <c r="D84" t="str">
        <f>_xlfn.XLOOKUP(B84, [1]EFAY!$B:$B,[1]EFAY!$D:$D)</f>
        <v>&lt;7201706-IVFB&gt; #302706, 6 OZ MELAMINE MACARON TUMBLER (IVORY/F BLUE)</v>
      </c>
      <c r="E84" t="str">
        <f>_xlfn.XLOOKUP(B84, [1]EFAY!$B:$B,[1]EFAY!$E:$E)</f>
        <v>NO TAG</v>
      </c>
      <c r="G84" t="s">
        <v>1094</v>
      </c>
      <c r="H84">
        <f>_xlfn.XLOOKUP(B84, [1]EFAY!$B:$B,[1]EFAY!$H:$H)</f>
        <v>1.87</v>
      </c>
      <c r="I84" t="str">
        <f>_xlfn.XLOOKUP(B84, [1]EFAY!$B:$B,[1]EFAY!$I:$I)</f>
        <v>JS-Janitorial and Stewarding</v>
      </c>
      <c r="J84" t="str">
        <f>_xlfn.XLOOKUP(B84, [1]EFAY!$B:$B,[1]EFAY!$J:$J)</f>
        <v>BWR-Beverageware</v>
      </c>
      <c r="K84" t="str">
        <f>_xlfn.XLOOKUP(B84, [1]EFAY!$B:$B,[1]EFAY!$K:$K)</f>
        <v>TM-Tumblers</v>
      </c>
      <c r="L84" t="str">
        <f>_xlfn.XLOOKUP(B84, [1]EFAY!$B:$B,[1]EFAY!$L:$L)</f>
        <v>#302706 Melamine 6oz Macaron Tumbler Ivory/Blue</v>
      </c>
      <c r="M84" s="3" t="s">
        <v>412</v>
      </c>
      <c r="N84" s="1" t="s">
        <v>411</v>
      </c>
      <c r="O84" s="1" t="s">
        <v>410</v>
      </c>
    </row>
    <row r="85" spans="1:15" x14ac:dyDescent="0.25">
      <c r="A85" t="str">
        <f>_xlfn.XLOOKUP(B85, [1]EFAY!$B:$B,[1]EFAY!$A:$A)</f>
        <v>5712-EGN-1110WER5</v>
      </c>
      <c r="B85" s="3" t="s">
        <v>207</v>
      </c>
      <c r="C85" t="s">
        <v>1089</v>
      </c>
      <c r="D85" t="str">
        <f>_xlfn.XLOOKUP(B85, [1]EFAY!$B:$B,[1]EFAY!$D:$D)</f>
        <v>&lt;4170411&gt; #1110W, GN 1/1 MELAMINE WOODY BOARD (OAK)</v>
      </c>
      <c r="E85" t="str">
        <f>_xlfn.XLOOKUP(B85, [1]EFAY!$B:$B,[1]EFAY!$E:$E)</f>
        <v>NO TAG</v>
      </c>
      <c r="G85" t="s">
        <v>1094</v>
      </c>
      <c r="H85">
        <f>_xlfn.XLOOKUP(B85, [1]EFAY!$B:$B,[1]EFAY!$H:$H)</f>
        <v>44.47</v>
      </c>
      <c r="I85" t="str">
        <f>_xlfn.XLOOKUP(B85, [1]EFAY!$B:$B,[1]EFAY!$I:$I)</f>
        <v>JS-Janitorial and Stewarding</v>
      </c>
      <c r="J85" t="str">
        <f>_xlfn.XLOOKUP(B85, [1]EFAY!$B:$B,[1]EFAY!$J:$J)</f>
        <v>SVW-Serveware</v>
      </c>
      <c r="K85" t="str">
        <f>_xlfn.XLOOKUP(B85, [1]EFAY!$B:$B,[1]EFAY!$K:$K)</f>
        <v>BBC-Bread Boards/Charcuterie Boards</v>
      </c>
      <c r="L85" t="str">
        <f>_xlfn.XLOOKUP(B85, [1]EFAY!$B:$B,[1]EFAY!$L:$L)</f>
        <v xml:space="preserve"> #1110W GN 1/1 Melamine Woody Board Oak</v>
      </c>
      <c r="M85" s="3" t="s">
        <v>415</v>
      </c>
      <c r="N85" s="1" t="s">
        <v>414</v>
      </c>
      <c r="O85" s="1" t="s">
        <v>413</v>
      </c>
    </row>
    <row r="86" spans="1:15" x14ac:dyDescent="0.25">
      <c r="A86" t="str">
        <f>_xlfn.XLOOKUP(B86, [1]EFAY!$B:$B,[1]EFAY!$A:$A)</f>
        <v>5712-EGN-1210WER5</v>
      </c>
      <c r="B86" s="3" t="s">
        <v>120</v>
      </c>
      <c r="C86" t="s">
        <v>1089</v>
      </c>
      <c r="D86" t="str">
        <f>_xlfn.XLOOKUP(B86, [1]EFAY!$B:$B,[1]EFAY!$D:$D)</f>
        <v>&lt;4170412&gt; #1210W, GN 1/2 MELAMINE WOODY BOARD (OAK)</v>
      </c>
      <c r="E86" t="str">
        <f>_xlfn.XLOOKUP(B86, [1]EFAY!$B:$B,[1]EFAY!$E:$E)</f>
        <v>NO TAG</v>
      </c>
      <c r="G86" t="s">
        <v>1094</v>
      </c>
      <c r="H86">
        <f>_xlfn.XLOOKUP(B86, [1]EFAY!$B:$B,[1]EFAY!$H:$H)</f>
        <v>23.47</v>
      </c>
      <c r="I86" t="str">
        <f>_xlfn.XLOOKUP(B86, [1]EFAY!$B:$B,[1]EFAY!$I:$I)</f>
        <v>JS-Janitorial and Stewarding</v>
      </c>
      <c r="J86" t="str">
        <f>_xlfn.XLOOKUP(B86, [1]EFAY!$B:$B,[1]EFAY!$J:$J)</f>
        <v>SVW-Serveware</v>
      </c>
      <c r="K86" t="str">
        <f>_xlfn.XLOOKUP(B86, [1]EFAY!$B:$B,[1]EFAY!$K:$K)</f>
        <v>BBC-Bread Boards/Charcuterie Boards</v>
      </c>
      <c r="L86" t="str">
        <f>_xlfn.XLOOKUP(B86, [1]EFAY!$B:$B,[1]EFAY!$L:$L)</f>
        <v>#1210W GN 1/2 Melamine  Woody BoardOak</v>
      </c>
      <c r="M86" s="3" t="s">
        <v>419</v>
      </c>
      <c r="N86" s="1" t="s">
        <v>418</v>
      </c>
      <c r="O86" s="1" t="s">
        <v>417</v>
      </c>
    </row>
    <row r="87" spans="1:15" x14ac:dyDescent="0.25">
      <c r="A87" t="str">
        <f>_xlfn.XLOOKUP(B87, [1]EFAY!$B:$B,[1]EFAY!$A:$A)</f>
        <v>5712-EGN-2410WER5</v>
      </c>
      <c r="B87" s="3" t="s">
        <v>144</v>
      </c>
      <c r="C87" t="s">
        <v>1089</v>
      </c>
      <c r="D87" t="str">
        <f>_xlfn.XLOOKUP(B87, [1]EFAY!$B:$B,[1]EFAY!$D:$D)</f>
        <v>&lt;4170424 &gt;#2410W, GN 2/4 MELAMINE WOODY BOARD (OAK)</v>
      </c>
      <c r="E87" t="str">
        <f>_xlfn.XLOOKUP(B87, [1]EFAY!$B:$B,[1]EFAY!$E:$E)</f>
        <v>NO TAG</v>
      </c>
      <c r="G87" t="s">
        <v>1094</v>
      </c>
      <c r="H87">
        <f>_xlfn.XLOOKUP(B87, [1]EFAY!$B:$B,[1]EFAY!$H:$H)</f>
        <v>22.37</v>
      </c>
      <c r="I87" t="str">
        <f>_xlfn.XLOOKUP(B87, [1]EFAY!$B:$B,[1]EFAY!$I:$I)</f>
        <v>JS-Janitorial and Stewarding</v>
      </c>
      <c r="J87" t="str">
        <f>_xlfn.XLOOKUP(B87, [1]EFAY!$B:$B,[1]EFAY!$J:$J)</f>
        <v>SVW-Serveware</v>
      </c>
      <c r="K87" t="str">
        <f>_xlfn.XLOOKUP(B87, [1]EFAY!$B:$B,[1]EFAY!$K:$K)</f>
        <v>BBC-Bread Boards/Charcuterie Boards</v>
      </c>
      <c r="L87" t="str">
        <f>_xlfn.XLOOKUP(B87, [1]EFAY!$B:$B,[1]EFAY!$L:$L)</f>
        <v>#2410W GN 2/4 Melamine Woody Board Oak</v>
      </c>
      <c r="M87" s="3" t="s">
        <v>423</v>
      </c>
      <c r="N87" s="1" t="s">
        <v>422</v>
      </c>
      <c r="O87" s="1" t="s">
        <v>421</v>
      </c>
    </row>
    <row r="88" spans="1:15" x14ac:dyDescent="0.25">
      <c r="A88" t="str">
        <f>_xlfn.XLOOKUP(B88, [1]EFAY!$B:$B,[1]EFAY!$A:$A)</f>
        <v>5712-EGN-1410WER5</v>
      </c>
      <c r="B88" s="3" t="s">
        <v>241</v>
      </c>
      <c r="C88" t="s">
        <v>1089</v>
      </c>
      <c r="D88" t="str">
        <f>_xlfn.XLOOKUP(B88, [1]EFAY!$B:$B,[1]EFAY!$D:$D)</f>
        <v>&lt;4170414&gt; #1410W, GN 1/4 MELAMINE WOODY BOARD (OAK)</v>
      </c>
      <c r="E88" t="str">
        <f>_xlfn.XLOOKUP(B88, [1]EFAY!$B:$B,[1]EFAY!$E:$E)</f>
        <v>NO TAG</v>
      </c>
      <c r="G88" t="s">
        <v>1094</v>
      </c>
      <c r="H88">
        <f>_xlfn.XLOOKUP(B88, [1]EFAY!$B:$B,[1]EFAY!$H:$H)</f>
        <v>13.24</v>
      </c>
      <c r="I88" t="str">
        <f>_xlfn.XLOOKUP(B88, [1]EFAY!$B:$B,[1]EFAY!$I:$I)</f>
        <v>JS-Janitorial and Stewarding</v>
      </c>
      <c r="J88" t="str">
        <f>_xlfn.XLOOKUP(B88, [1]EFAY!$B:$B,[1]EFAY!$J:$J)</f>
        <v>SVW-Serveware</v>
      </c>
      <c r="K88" t="str">
        <f>_xlfn.XLOOKUP(B88, [1]EFAY!$B:$B,[1]EFAY!$K:$K)</f>
        <v>BBC-Bread Boards/Charcuterie Boards</v>
      </c>
      <c r="L88" t="str">
        <f>_xlfn.XLOOKUP(B88, [1]EFAY!$B:$B,[1]EFAY!$L:$L)</f>
        <v>#1410W GN 1/4 Melamine Woody Board Oak</v>
      </c>
      <c r="M88" s="3" t="s">
        <v>427</v>
      </c>
      <c r="N88" s="1" t="s">
        <v>426</v>
      </c>
      <c r="O88" s="1" t="s">
        <v>425</v>
      </c>
    </row>
    <row r="89" spans="1:15" x14ac:dyDescent="0.25">
      <c r="A89" t="str">
        <f>_xlfn.XLOOKUP(B89, [1]EFAY!$B:$B,[1]EFAY!$A:$A)</f>
        <v>5712-EGN-1310WER5</v>
      </c>
      <c r="B89" s="3" t="s">
        <v>133</v>
      </c>
      <c r="C89" t="s">
        <v>1089</v>
      </c>
      <c r="D89" t="str">
        <f>_xlfn.XLOOKUP(B89, [1]EFAY!$B:$B,[1]EFAY!$D:$D)</f>
        <v>(WSL19)&lt;4170413&gt;#1310W, GN 1/3 MELAMINE WOODY BOARD (OAK)</v>
      </c>
      <c r="E89" t="str">
        <f>_xlfn.XLOOKUP(B89, [1]EFAY!$B:$B,[1]EFAY!$E:$E)</f>
        <v>WSL WITH STOCK</v>
      </c>
      <c r="G89" t="s">
        <v>1094</v>
      </c>
      <c r="H89">
        <f>_xlfn.XLOOKUP(B89, [1]EFAY!$B:$B,[1]EFAY!$H:$H)</f>
        <v>15.66</v>
      </c>
      <c r="I89" t="str">
        <f>_xlfn.XLOOKUP(B89, [1]EFAY!$B:$B,[1]EFAY!$I:$I)</f>
        <v>JS-Janitorial and Stewarding</v>
      </c>
      <c r="J89" t="str">
        <f>_xlfn.XLOOKUP(B89, [1]EFAY!$B:$B,[1]EFAY!$J:$J)</f>
        <v>SVW-Serveware</v>
      </c>
      <c r="K89" t="str">
        <f>_xlfn.XLOOKUP(B89, [1]EFAY!$B:$B,[1]EFAY!$K:$K)</f>
        <v>BBC-Bread Boards/Charcuterie Boards</v>
      </c>
      <c r="L89" t="str">
        <f>_xlfn.XLOOKUP(B89, [1]EFAY!$B:$B,[1]EFAY!$L:$L)</f>
        <v>#1310W GN 1/3 Melamine Woody Board Oak</v>
      </c>
      <c r="M89" s="3" t="s">
        <v>431</v>
      </c>
      <c r="N89" s="1" t="s">
        <v>430</v>
      </c>
      <c r="O89" s="1" t="s">
        <v>429</v>
      </c>
    </row>
    <row r="90" spans="1:15" x14ac:dyDescent="0.25">
      <c r="A90" t="str">
        <f>_xlfn.XLOOKUP(B90, [1]EFAY!$B:$B,[1]EFAY!$A:$A)</f>
        <v>5712-BAS-960103BK</v>
      </c>
      <c r="B90" s="3" t="s">
        <v>435</v>
      </c>
      <c r="C90" t="s">
        <v>1089</v>
      </c>
      <c r="D90" t="str">
        <f>_xlfn.XLOOKUP(B90, [1]EFAY!$B:$B,[1]EFAY!$D:$D)</f>
        <v>52X31.5X8CM 1/1 SIZE RECT. "TOWER" DISPLAY BASKET W/HDLE (BLACK)</v>
      </c>
      <c r="E90" t="str">
        <f>_xlfn.XLOOKUP(B90, [1]EFAY!$B:$B,[1]EFAY!$E:$E)</f>
        <v>NO TAG</v>
      </c>
      <c r="G90" t="s">
        <v>1094</v>
      </c>
      <c r="H90">
        <f>_xlfn.XLOOKUP(B90, [1]EFAY!$B:$B,[1]EFAY!$H:$H)</f>
        <v>29.68</v>
      </c>
      <c r="I90" t="str">
        <f>_xlfn.XLOOKUP(B90, [1]EFAY!$B:$B,[1]EFAY!$I:$I)</f>
        <v>JS-Janitorial and Stewarding</v>
      </c>
      <c r="J90" t="str">
        <f>_xlfn.XLOOKUP(B90, [1]EFAY!$B:$B,[1]EFAY!$J:$J)</f>
        <v>SS-Storage Solutions</v>
      </c>
      <c r="K90" t="str">
        <f>_xlfn.XLOOKUP(B90, [1]EFAY!$B:$B,[1]EFAY!$K:$K)</f>
        <v/>
      </c>
      <c r="L90" t="str">
        <f>_xlfn.XLOOKUP(B90, [1]EFAY!$B:$B,[1]EFAY!$L:$L)</f>
        <v>52x31.5x8cm 1/1 Size Rectangular Tower Display Basket Black with Handle</v>
      </c>
      <c r="M90" s="3" t="s">
        <v>436</v>
      </c>
      <c r="N90" s="1" t="s">
        <v>434</v>
      </c>
      <c r="O90" s="1" t="s">
        <v>433</v>
      </c>
    </row>
    <row r="91" spans="1:15" x14ac:dyDescent="0.25">
      <c r="A91" t="str">
        <f>_xlfn.XLOOKUP(B91, [1]EFAY!$B:$B,[1]EFAY!$A:$A)</f>
        <v>5712-BAS-960106BK</v>
      </c>
      <c r="B91" s="3" t="s">
        <v>440</v>
      </c>
      <c r="C91" t="s">
        <v>1089</v>
      </c>
      <c r="D91" t="str">
        <f>_xlfn.XLOOKUP(B91, [1]EFAY!$B:$B,[1]EFAY!$D:$D)</f>
        <v>52X31.5X16CM 1/1 SIZE RECT. "TOWER" DISPLAY BASKET W/HDLE (BLACK)</v>
      </c>
      <c r="E91" t="str">
        <f>_xlfn.XLOOKUP(B91, [1]EFAY!$B:$B,[1]EFAY!$E:$E)</f>
        <v>NO TAG</v>
      </c>
      <c r="G91" t="s">
        <v>1094</v>
      </c>
      <c r="H91">
        <f>_xlfn.XLOOKUP(B91, [1]EFAY!$B:$B,[1]EFAY!$H:$H)</f>
        <v>35.89</v>
      </c>
      <c r="I91" t="str">
        <f>_xlfn.XLOOKUP(B91, [1]EFAY!$B:$B,[1]EFAY!$I:$I)</f>
        <v>JS-Janitorial and Stewarding</v>
      </c>
      <c r="J91" t="str">
        <f>_xlfn.XLOOKUP(B91, [1]EFAY!$B:$B,[1]EFAY!$J:$J)</f>
        <v>SS-Storage Solutions</v>
      </c>
      <c r="K91" t="str">
        <f>_xlfn.XLOOKUP(B91, [1]EFAY!$B:$B,[1]EFAY!$K:$K)</f>
        <v/>
      </c>
      <c r="L91" t="str">
        <f>_xlfn.XLOOKUP(B91, [1]EFAY!$B:$B,[1]EFAY!$L:$L)</f>
        <v>52x31.5x16cm 1/1 Size Rectangular Tower Display Basket Black with Handle</v>
      </c>
      <c r="M91" s="3" t="s">
        <v>441</v>
      </c>
      <c r="N91" s="1" t="s">
        <v>439</v>
      </c>
      <c r="O91" s="1" t="s">
        <v>438</v>
      </c>
    </row>
    <row r="92" spans="1:15" x14ac:dyDescent="0.25">
      <c r="A92" t="str">
        <f>_xlfn.XLOOKUP(B92, [1]EFAY!$B:$B,[1]EFAY!$A:$A)</f>
        <v>5712-BAS-960203BK</v>
      </c>
      <c r="B92" s="3" t="s">
        <v>445</v>
      </c>
      <c r="C92" t="s">
        <v>1089</v>
      </c>
      <c r="D92" t="str">
        <f>_xlfn.XLOOKUP(B92, [1]EFAY!$B:$B,[1]EFAY!$D:$D)</f>
        <v>31.5X25.5X8CM 1/2 SIZE RECT. "TOWER" DISPLAY BASKET W/HDLE (BLACK)</v>
      </c>
      <c r="E92" t="str">
        <f>_xlfn.XLOOKUP(B92, [1]EFAY!$B:$B,[1]EFAY!$E:$E)</f>
        <v>NO TAG</v>
      </c>
      <c r="G92" t="s">
        <v>1094</v>
      </c>
      <c r="H92">
        <f>_xlfn.XLOOKUP(B92, [1]EFAY!$B:$B,[1]EFAY!$H:$H)</f>
        <v>20.99</v>
      </c>
      <c r="I92" t="str">
        <f>_xlfn.XLOOKUP(B92, [1]EFAY!$B:$B,[1]EFAY!$I:$I)</f>
        <v>JS-Janitorial and Stewarding</v>
      </c>
      <c r="J92" t="str">
        <f>_xlfn.XLOOKUP(B92, [1]EFAY!$B:$B,[1]EFAY!$J:$J)</f>
        <v>SS-Storage Solutions</v>
      </c>
      <c r="K92" t="str">
        <f>_xlfn.XLOOKUP(B92, [1]EFAY!$B:$B,[1]EFAY!$K:$K)</f>
        <v/>
      </c>
      <c r="L92" t="str">
        <f>_xlfn.XLOOKUP(B92, [1]EFAY!$B:$B,[1]EFAY!$L:$L)</f>
        <v>31.5x25.5x8cm 1/2 Size Rectangular Tower Display Basket Black with Handle</v>
      </c>
      <c r="M92" s="3" t="s">
        <v>446</v>
      </c>
      <c r="N92" s="1" t="s">
        <v>444</v>
      </c>
      <c r="O92" s="1" t="s">
        <v>443</v>
      </c>
    </row>
    <row r="93" spans="1:15" x14ac:dyDescent="0.25">
      <c r="A93" t="str">
        <f>_xlfn.XLOOKUP(B93, [1]EFAY!$B:$B,[1]EFAY!$A:$A)</f>
        <v>5712-BAS-960206BK</v>
      </c>
      <c r="B93" s="3" t="s">
        <v>450</v>
      </c>
      <c r="C93" t="s">
        <v>1089</v>
      </c>
      <c r="D93" t="str">
        <f>_xlfn.XLOOKUP(B93, [1]EFAY!$B:$B,[1]EFAY!$D:$D)</f>
        <v>31.5X25.5X16CM 1/2 SIZE RECT. "TOWER" BASKET W/HDLE (BLACK)</v>
      </c>
      <c r="E93" t="str">
        <f>_xlfn.XLOOKUP(B93, [1]EFAY!$B:$B,[1]EFAY!$E:$E)</f>
        <v>NO TAG</v>
      </c>
      <c r="G93" t="s">
        <v>1094</v>
      </c>
      <c r="H93">
        <f>_xlfn.XLOOKUP(B93, [1]EFAY!$B:$B,[1]EFAY!$H:$H)</f>
        <v>24.04</v>
      </c>
      <c r="I93" t="str">
        <f>_xlfn.XLOOKUP(B93, [1]EFAY!$B:$B,[1]EFAY!$I:$I)</f>
        <v>JS-Janitorial and Stewarding</v>
      </c>
      <c r="J93" t="str">
        <f>_xlfn.XLOOKUP(B93, [1]EFAY!$B:$B,[1]EFAY!$J:$J)</f>
        <v>SS-Storage Solutions</v>
      </c>
      <c r="K93" t="str">
        <f>_xlfn.XLOOKUP(B93, [1]EFAY!$B:$B,[1]EFAY!$K:$K)</f>
        <v/>
      </c>
      <c r="L93" t="str">
        <f>_xlfn.XLOOKUP(B93, [1]EFAY!$B:$B,[1]EFAY!$L:$L)</f>
        <v>31.5x25.5x16cm 1/2 Size Rectangular Tower Basket Black with Handle</v>
      </c>
      <c r="M93" s="3" t="s">
        <v>451</v>
      </c>
      <c r="N93" s="1" t="s">
        <v>449</v>
      </c>
      <c r="O93" s="1" t="s">
        <v>448</v>
      </c>
    </row>
    <row r="94" spans="1:15" x14ac:dyDescent="0.25">
      <c r="A94" t="str">
        <f>_xlfn.XLOOKUP(B94, [1]EFAY!$B:$B,[1]EFAY!$A:$A)</f>
        <v>5712-BAS-960303BK</v>
      </c>
      <c r="B94" s="3" t="s">
        <v>198</v>
      </c>
      <c r="C94" t="s">
        <v>1089</v>
      </c>
      <c r="D94" t="str">
        <f>_xlfn.XLOOKUP(B94, [1]EFAY!$B:$B,[1]EFAY!$D:$D)</f>
        <v>31.5X17X8CM 1/3 SIZE RECT. "TOWER" DISPLAY BASKET W/HDLE (BLACK)</v>
      </c>
      <c r="E94" t="str">
        <f>_xlfn.XLOOKUP(B94, [1]EFAY!$B:$B,[1]EFAY!$E:$E)</f>
        <v>NO TAG</v>
      </c>
      <c r="G94" t="s">
        <v>1094</v>
      </c>
      <c r="H94">
        <f>_xlfn.XLOOKUP(B94, [1]EFAY!$B:$B,[1]EFAY!$H:$H)</f>
        <v>17.02</v>
      </c>
      <c r="I94" t="str">
        <f>_xlfn.XLOOKUP(B94, [1]EFAY!$B:$B,[1]EFAY!$I:$I)</f>
        <v>JS-Janitorial and Stewarding</v>
      </c>
      <c r="J94" t="str">
        <f>_xlfn.XLOOKUP(B94, [1]EFAY!$B:$B,[1]EFAY!$J:$J)</f>
        <v>SS-Storage Solutions</v>
      </c>
      <c r="K94" t="str">
        <f>_xlfn.XLOOKUP(B94, [1]EFAY!$B:$B,[1]EFAY!$K:$K)</f>
        <v/>
      </c>
      <c r="L94" t="str">
        <f>_xlfn.XLOOKUP(B94, [1]EFAY!$B:$B,[1]EFAY!$L:$L)</f>
        <v>31.5x17x8cm 1/3 Size Rectangular Tower Display Basket Black with Handle</v>
      </c>
      <c r="M94" s="3" t="s">
        <v>455</v>
      </c>
      <c r="N94" s="1" t="s">
        <v>454</v>
      </c>
      <c r="O94" s="1" t="s">
        <v>453</v>
      </c>
    </row>
    <row r="95" spans="1:15" x14ac:dyDescent="0.25">
      <c r="A95" t="str">
        <f>_xlfn.XLOOKUP(B95, [1]EFAY!$B:$B,[1]EFAY!$A:$A)</f>
        <v>5712-BAS-960306BK</v>
      </c>
      <c r="B95" s="3" t="s">
        <v>459</v>
      </c>
      <c r="C95" t="s">
        <v>1089</v>
      </c>
      <c r="D95" t="str">
        <f>_xlfn.XLOOKUP(B95, [1]EFAY!$B:$B,[1]EFAY!$D:$D)</f>
        <v>31.5X17X16CM 1/3 SIZE RECT. "TOWER" DISPLAY BASKET W/HDLE (BLACK)</v>
      </c>
      <c r="E95" t="str">
        <f>_xlfn.XLOOKUP(B95, [1]EFAY!$B:$B,[1]EFAY!$E:$E)</f>
        <v>NO TAG</v>
      </c>
      <c r="G95" t="s">
        <v>1094</v>
      </c>
      <c r="H95">
        <f>_xlfn.XLOOKUP(B95, [1]EFAY!$B:$B,[1]EFAY!$H:$H)</f>
        <v>21.36</v>
      </c>
      <c r="I95" t="str">
        <f>_xlfn.XLOOKUP(B95, [1]EFAY!$B:$B,[1]EFAY!$I:$I)</f>
        <v>JS-Janitorial and Stewarding</v>
      </c>
      <c r="J95" t="str">
        <f>_xlfn.XLOOKUP(B95, [1]EFAY!$B:$B,[1]EFAY!$J:$J)</f>
        <v>SS-Storage Solutions</v>
      </c>
      <c r="K95" t="str">
        <f>_xlfn.XLOOKUP(B95, [1]EFAY!$B:$B,[1]EFAY!$K:$K)</f>
        <v/>
      </c>
      <c r="L95" t="str">
        <f>_xlfn.XLOOKUP(B95, [1]EFAY!$B:$B,[1]EFAY!$L:$L)</f>
        <v>31.5x17x16cm 1/3 Size Rectangular Tower Display Basket Black with Handle</v>
      </c>
      <c r="M95" s="3" t="s">
        <v>460</v>
      </c>
      <c r="N95" s="1" t="s">
        <v>458</v>
      </c>
      <c r="O95" s="1" t="s">
        <v>457</v>
      </c>
    </row>
    <row r="96" spans="1:15" x14ac:dyDescent="0.25">
      <c r="A96" t="str">
        <f>_xlfn.XLOOKUP(B96, [1]EFAY!$B:$B,[1]EFAY!$A:$A)</f>
        <v>5712-BAG-219611-1/1</v>
      </c>
      <c r="B96" s="3">
        <v>219611</v>
      </c>
      <c r="C96" t="s">
        <v>1089</v>
      </c>
      <c r="D96" t="str">
        <f>_xlfn.XLOOKUP(B96, [1]EFAY!$B:$B,[1]EFAY!$D:$D)</f>
        <v>(WSL19)L:53XW:32.5cm, GN 1/1 SIZE CORK BAG/BASKET FOR BUFFET/DISPLAY (BEIGE)</v>
      </c>
      <c r="E96" t="str">
        <f>_xlfn.XLOOKUP(B96, [1]EFAY!$B:$B,[1]EFAY!$E:$E)</f>
        <v>WSL WITH STOCK</v>
      </c>
      <c r="G96" t="s">
        <v>1094</v>
      </c>
      <c r="H96">
        <f>_xlfn.XLOOKUP(B96, [1]EFAY!$B:$B,[1]EFAY!$H:$H)</f>
        <v>25.7</v>
      </c>
      <c r="I96" t="str">
        <f>_xlfn.XLOOKUP(B96, [1]EFAY!$B:$B,[1]EFAY!$I:$I)</f>
        <v>JS-Janitorial and Stewarding</v>
      </c>
      <c r="J96" t="str">
        <f>_xlfn.XLOOKUP(B96, [1]EFAY!$B:$B,[1]EFAY!$J:$J)</f>
        <v>SS-Storage Solutions</v>
      </c>
      <c r="K96" t="str">
        <f>_xlfn.XLOOKUP(B96, [1]EFAY!$B:$B,[1]EFAY!$K:$K)</f>
        <v/>
      </c>
      <c r="L96" t="str">
        <f>_xlfn.XLOOKUP(B96, [1]EFAY!$B:$B,[1]EFAY!$L:$L)</f>
        <v>L53xW32.5cm GN 1/1 Size Cork Bag/Basket Beige for Buffet/Display</v>
      </c>
      <c r="M96" s="3" t="s">
        <v>464</v>
      </c>
      <c r="N96" s="1" t="s">
        <v>463</v>
      </c>
      <c r="O96" s="1" t="s">
        <v>462</v>
      </c>
    </row>
    <row r="97" spans="1:15" x14ac:dyDescent="0.25">
      <c r="A97" t="str">
        <f>_xlfn.XLOOKUP(B97, [1]EFAY!$B:$B,[1]EFAY!$A:$A)</f>
        <v>5712-BAG-219612-1/2</v>
      </c>
      <c r="B97" s="3">
        <v>219612</v>
      </c>
      <c r="C97" t="s">
        <v>1089</v>
      </c>
      <c r="D97" t="str">
        <f>_xlfn.XLOOKUP(B97, [1]EFAY!$B:$B,[1]EFAY!$D:$D)</f>
        <v>(WSL19)L:32.5XW:26.5cm, GN 1/2 SIZE CORK BAG/BASKET FOR BUFFET/DISPLAY (BEIGE)</v>
      </c>
      <c r="E97" t="str">
        <f>_xlfn.XLOOKUP(B97, [1]EFAY!$B:$B,[1]EFAY!$E:$E)</f>
        <v>WSL WITH STOCK</v>
      </c>
      <c r="G97" t="s">
        <v>1094</v>
      </c>
      <c r="H97">
        <f>_xlfn.XLOOKUP(B97, [1]EFAY!$B:$B,[1]EFAY!$H:$H)</f>
        <v>16.86</v>
      </c>
      <c r="I97" t="str">
        <f>_xlfn.XLOOKUP(B97, [1]EFAY!$B:$B,[1]EFAY!$I:$I)</f>
        <v>JS-Janitorial and Stewarding</v>
      </c>
      <c r="J97" t="str">
        <f>_xlfn.XLOOKUP(B97, [1]EFAY!$B:$B,[1]EFAY!$J:$J)</f>
        <v>SS-Storage Solutions</v>
      </c>
      <c r="K97" t="str">
        <f>_xlfn.XLOOKUP(B97, [1]EFAY!$B:$B,[1]EFAY!$K:$K)</f>
        <v/>
      </c>
      <c r="L97" t="str">
        <f>_xlfn.XLOOKUP(B97, [1]EFAY!$B:$B,[1]EFAY!$L:$L)</f>
        <v>L32.5xW26.5cm GN 1/2 Size Cork Bag/Basket Beige for Buffet/Display</v>
      </c>
      <c r="M97" s="3" t="s">
        <v>468</v>
      </c>
      <c r="N97" s="1" t="s">
        <v>467</v>
      </c>
      <c r="O97" s="1" t="s">
        <v>466</v>
      </c>
    </row>
    <row r="98" spans="1:15" x14ac:dyDescent="0.25">
      <c r="A98" t="str">
        <f>_xlfn.XLOOKUP(B98, [1]EFAY!$B:$B,[1]EFAY!$A:$A)</f>
        <v>5712-WOOD-407716ER5</v>
      </c>
      <c r="B98" s="3" t="s">
        <v>257</v>
      </c>
      <c r="C98" t="s">
        <v>1089</v>
      </c>
      <c r="D98" t="str">
        <f>_xlfn.XLOOKUP(B98, [1]EFAY!$B:$B,[1]EFAY!$D:$D)</f>
        <v>#407716, L:40xW:30cm RECT. WOODY BAKER PASTRY TRAY</v>
      </c>
      <c r="E98" t="str">
        <f>_xlfn.XLOOKUP(B98, [1]EFAY!$B:$B,[1]EFAY!$E:$E)</f>
        <v>NO TAG</v>
      </c>
      <c r="G98" t="s">
        <v>1094</v>
      </c>
      <c r="H98">
        <f>_xlfn.XLOOKUP(B98, [1]EFAY!$B:$B,[1]EFAY!$H:$H)</f>
        <v>16.14</v>
      </c>
      <c r="I98" t="str">
        <f>_xlfn.XLOOKUP(B98, [1]EFAY!$B:$B,[1]EFAY!$I:$I)</f>
        <v>JS-Janitorial and Stewarding</v>
      </c>
      <c r="J98" t="str">
        <f>_xlfn.XLOOKUP(B98, [1]EFAY!$B:$B,[1]EFAY!$J:$J)</f>
        <v>BW-Bakeware</v>
      </c>
      <c r="K98" t="str">
        <f>_xlfn.XLOOKUP(B98, [1]EFAY!$B:$B,[1]EFAY!$K:$K)</f>
        <v>BPT-Baking Pans &amp; Trays</v>
      </c>
      <c r="L98" t="str">
        <f>_xlfn.XLOOKUP(B98, [1]EFAY!$B:$B,[1]EFAY!$L:$L)</f>
        <v>#407716 L40xW30cm Woody Baker Rectangular Pastry Tray</v>
      </c>
      <c r="M98" s="3" t="s">
        <v>472</v>
      </c>
      <c r="N98" s="1" t="s">
        <v>471</v>
      </c>
      <c r="O98" s="1" t="s">
        <v>470</v>
      </c>
    </row>
    <row r="99" spans="1:15" x14ac:dyDescent="0.25">
      <c r="A99" t="str">
        <f>_xlfn.XLOOKUP(B99, [1]EFAY!$B:$B,[1]EFAY!$A:$A)</f>
        <v>5712-WOOD-407512ER5</v>
      </c>
      <c r="B99" s="3" t="s">
        <v>264</v>
      </c>
      <c r="C99" t="s">
        <v>1089</v>
      </c>
      <c r="D99" t="str">
        <f>_xlfn.XLOOKUP(B99, [1]EFAY!$B:$B,[1]EFAY!$D:$D)</f>
        <v>#407512, L:30xW:20cm RECT. WOODY BAKER PASTRY TRAY</v>
      </c>
      <c r="E99" t="str">
        <f>_xlfn.XLOOKUP(B99, [1]EFAY!$B:$B,[1]EFAY!$E:$E)</f>
        <v>NO TAG</v>
      </c>
      <c r="G99" t="s">
        <v>1094</v>
      </c>
      <c r="H99">
        <f>_xlfn.XLOOKUP(B99, [1]EFAY!$B:$B,[1]EFAY!$H:$H)</f>
        <v>7.44</v>
      </c>
      <c r="I99" t="str">
        <f>_xlfn.XLOOKUP(B99, [1]EFAY!$B:$B,[1]EFAY!$I:$I)</f>
        <v>JS-Janitorial and Stewarding</v>
      </c>
      <c r="J99" t="str">
        <f>_xlfn.XLOOKUP(B99, [1]EFAY!$B:$B,[1]EFAY!$J:$J)</f>
        <v>BW-Bakeware</v>
      </c>
      <c r="K99" t="str">
        <f>_xlfn.XLOOKUP(B99, [1]EFAY!$B:$B,[1]EFAY!$K:$K)</f>
        <v>BPT-Baking Pans &amp; Trays</v>
      </c>
      <c r="L99" t="str">
        <f>_xlfn.XLOOKUP(B99, [1]EFAY!$B:$B,[1]EFAY!$L:$L)</f>
        <v>#407512 L30xW20cm Woody Baker Rectangular Pastry Tray</v>
      </c>
      <c r="M99" s="3" t="s">
        <v>476</v>
      </c>
      <c r="N99" s="1" t="s">
        <v>475</v>
      </c>
      <c r="O99" s="1" t="s">
        <v>474</v>
      </c>
    </row>
    <row r="100" spans="1:15" x14ac:dyDescent="0.25">
      <c r="A100" t="str">
        <f>_xlfn.XLOOKUP(B100, [1]EFAY!$B:$B,[1]EFAY!$A:$A)</f>
        <v>5712-WOOD-407412ER5</v>
      </c>
      <c r="B100" s="3" t="s">
        <v>261</v>
      </c>
      <c r="C100" t="s">
        <v>1089</v>
      </c>
      <c r="D100" t="str">
        <f>_xlfn.XLOOKUP(B100, [1]EFAY!$B:$B,[1]EFAY!$D:$D)</f>
        <v>#407412, L:30xW:15cm RECT. WOODY BAKER PASTRY TRAY</v>
      </c>
      <c r="E100" t="str">
        <f>_xlfn.XLOOKUP(B100, [1]EFAY!$B:$B,[1]EFAY!$E:$E)</f>
        <v>NO TAG</v>
      </c>
      <c r="G100" t="s">
        <v>1094</v>
      </c>
      <c r="H100">
        <f>_xlfn.XLOOKUP(B100, [1]EFAY!$B:$B,[1]EFAY!$H:$H)</f>
        <v>6.03</v>
      </c>
      <c r="I100" t="str">
        <f>_xlfn.XLOOKUP(B100, [1]EFAY!$B:$B,[1]EFAY!$I:$I)</f>
        <v>JS-Janitorial and Stewarding</v>
      </c>
      <c r="J100" t="str">
        <f>_xlfn.XLOOKUP(B100, [1]EFAY!$B:$B,[1]EFAY!$J:$J)</f>
        <v>BW-Bakeware</v>
      </c>
      <c r="K100" t="str">
        <f>_xlfn.XLOOKUP(B100, [1]EFAY!$B:$B,[1]EFAY!$K:$K)</f>
        <v>BPT-Baking Pans &amp; Trays</v>
      </c>
      <c r="L100" t="str">
        <f>_xlfn.XLOOKUP(B100, [1]EFAY!$B:$B,[1]EFAY!$L:$L)</f>
        <v>#407412 L30xW15cm Woody Baker Rectangular Pastry Tray</v>
      </c>
      <c r="M100" s="3" t="s">
        <v>479</v>
      </c>
      <c r="N100" s="1" t="s">
        <v>478</v>
      </c>
      <c r="O100" s="1" t="s">
        <v>477</v>
      </c>
    </row>
    <row r="101" spans="1:15" x14ac:dyDescent="0.25">
      <c r="A101" t="str">
        <f>_xlfn.XLOOKUP(B101, [1]EFAY!$B:$B,[1]EFAY!$A:$A)</f>
        <v>5712-TS-416813IV</v>
      </c>
      <c r="B101" s="3" t="s">
        <v>116</v>
      </c>
      <c r="C101" t="s">
        <v>1089</v>
      </c>
      <c r="D101" t="str">
        <f>_xlfn.XLOOKUP(B101, [1]EFAY!$B:$B,[1]EFAY!$D:$D)</f>
        <v>#416813, 13" RD TABLET MELAMINE TRAY ONLY (STAND SOLD SEPARATELY)</v>
      </c>
      <c r="E101" t="str">
        <f>_xlfn.XLOOKUP(B101, [1]EFAY!$B:$B,[1]EFAY!$E:$E)</f>
        <v>NO TAG</v>
      </c>
      <c r="G101" t="s">
        <v>1094</v>
      </c>
      <c r="H101">
        <f>_xlfn.XLOOKUP(B101, [1]EFAY!$B:$B,[1]EFAY!$H:$H)</f>
        <v>21.58</v>
      </c>
      <c r="I101" t="str">
        <f>_xlfn.XLOOKUP(B101, [1]EFAY!$B:$B,[1]EFAY!$I:$I)</f>
        <v>JS-Janitorial and Stewarding</v>
      </c>
      <c r="J101" t="str">
        <f>_xlfn.XLOOKUP(B101, [1]EFAY!$B:$B,[1]EFAY!$J:$J)</f>
        <v>SVW-Serveware</v>
      </c>
      <c r="K101" t="str">
        <f>_xlfn.XLOOKUP(B101, [1]EFAY!$B:$B,[1]EFAY!$K:$K)</f>
        <v>MSA-Miscellaneous Serving Accessories</v>
      </c>
      <c r="L101" t="str">
        <f>_xlfn.XLOOKUP(B101, [1]EFAY!$B:$B,[1]EFAY!$L:$L)</f>
        <v>#416813 Melamine 13" Round Tablet Tray</v>
      </c>
      <c r="M101" s="3" t="s">
        <v>482</v>
      </c>
      <c r="N101" s="1" t="s">
        <v>481</v>
      </c>
      <c r="O101" s="1" t="s">
        <v>480</v>
      </c>
    </row>
    <row r="102" spans="1:15" x14ac:dyDescent="0.25">
      <c r="A102" t="str">
        <f>_xlfn.XLOOKUP(B102, [1]EFAY!$B:$B,[1]EFAY!$A:$A)</f>
        <v>5712-DELI-502411-IV</v>
      </c>
      <c r="B102" s="3" t="s">
        <v>15</v>
      </c>
      <c r="C102" t="s">
        <v>1089</v>
      </c>
      <c r="D102" t="str">
        <f>_xlfn.XLOOKUP(B102, [1]EFAY!$B:$B,[1]EFAY!$D:$D)</f>
        <v>L:17cm, MELAMINE SAUCE LADLE (CREAM)</v>
      </c>
      <c r="E102" t="str">
        <f>_xlfn.XLOOKUP(B102, [1]EFAY!$B:$B,[1]EFAY!$E:$E)</f>
        <v>NO TAG</v>
      </c>
      <c r="G102" t="s">
        <v>1094</v>
      </c>
      <c r="H102">
        <f>_xlfn.XLOOKUP(B102, [1]EFAY!$B:$B,[1]EFAY!$H:$H)</f>
        <v>0.98</v>
      </c>
      <c r="I102" t="str">
        <f>_xlfn.XLOOKUP(B102, [1]EFAY!$B:$B,[1]EFAY!$I:$I)</f>
        <v>JS-Janitorial and Stewarding</v>
      </c>
      <c r="J102" t="str">
        <f>_xlfn.XLOOKUP(B102, [1]EFAY!$B:$B,[1]EFAY!$J:$J)</f>
        <v>UT-Utensils</v>
      </c>
      <c r="K102" t="str">
        <f>_xlfn.XLOOKUP(B102, [1]EFAY!$B:$B,[1]EFAY!$K:$K)</f>
        <v>SU-Serving Utensils</v>
      </c>
      <c r="L102" t="str">
        <f>_xlfn.XLOOKUP(B102, [1]EFAY!$B:$B,[1]EFAY!$L:$L)</f>
        <v>Melamine L17cm Sauce Ladle Cream</v>
      </c>
      <c r="M102" s="3" t="s">
        <v>486</v>
      </c>
      <c r="N102" s="1" t="s">
        <v>485</v>
      </c>
      <c r="O102" s="1" t="s">
        <v>484</v>
      </c>
    </row>
    <row r="103" spans="1:15" x14ac:dyDescent="0.25">
      <c r="A103" t="str">
        <f>_xlfn.XLOOKUP(B103, [1]EFAY!$B:$B,[1]EFAY!$A:$A)</f>
        <v>5712-ENAMEL-2211021WB</v>
      </c>
      <c r="B103" s="3">
        <v>2211021</v>
      </c>
      <c r="C103" t="s">
        <v>1089</v>
      </c>
      <c r="D103" t="str">
        <f>_xlfn.XLOOKUP(B103, [1]EFAY!$B:$B,[1]EFAY!$D:$D)</f>
        <v>6.4XHT:3.5cm  "ENAMEL LOOK" ROUND RAMEKIN (INNER WHITE W/BLUE OUTER)</v>
      </c>
      <c r="E103" t="str">
        <f>_xlfn.XLOOKUP(B103, [1]EFAY!$B:$B,[1]EFAY!$E:$E)</f>
        <v>NO TAG</v>
      </c>
      <c r="G103" t="s">
        <v>1094</v>
      </c>
      <c r="H103">
        <f>_xlfn.XLOOKUP(B103, [1]EFAY!$B:$B,[1]EFAY!$H:$H)</f>
        <v>1.41</v>
      </c>
      <c r="I103" t="str">
        <f>_xlfn.XLOOKUP(B103, [1]EFAY!$B:$B,[1]EFAY!$I:$I)</f>
        <v>JS-Janitorial and Stewarding</v>
      </c>
      <c r="J103" t="str">
        <f>_xlfn.XLOOKUP(B103, [1]EFAY!$B:$B,[1]EFAY!$J:$J)</f>
        <v>DWR-Dinnerware</v>
      </c>
      <c r="K103" t="str">
        <f>_xlfn.XLOOKUP(B103, [1]EFAY!$B:$B,[1]EFAY!$K:$K)</f>
        <v/>
      </c>
      <c r="L103" t="str">
        <f>_xlfn.XLOOKUP(B103, [1]EFAY!$B:$B,[1]EFAY!$L:$L)</f>
        <v>6.4xH3.5cm Enamel Look Round Ramekin Inner White with Blue Outer</v>
      </c>
      <c r="M103" s="3" t="s">
        <v>490</v>
      </c>
      <c r="N103" s="1" t="s">
        <v>489</v>
      </c>
      <c r="O103" s="1" t="s">
        <v>488</v>
      </c>
    </row>
    <row r="104" spans="1:15" x14ac:dyDescent="0.25">
      <c r="A104" t="str">
        <f>_xlfn.XLOOKUP(B104, [1]EFAY!$B:$B,[1]EFAY!$A:$A)</f>
        <v>5712-ENAMEL-2210031WB</v>
      </c>
      <c r="B104" s="3">
        <v>2210031</v>
      </c>
      <c r="C104" t="s">
        <v>1089</v>
      </c>
      <c r="D104" t="str">
        <f>_xlfn.XLOOKUP(B104, [1]EFAY!$B:$B,[1]EFAY!$D:$D)</f>
        <v>8XHT:9.4cm  "ENAMEL LOOK" ROUND TUMBLER/CUP (INNER WHITE W/BLUE OUTER)</v>
      </c>
      <c r="E104" t="str">
        <f>_xlfn.XLOOKUP(B104, [1]EFAY!$B:$B,[1]EFAY!$E:$E)</f>
        <v>NO TAG</v>
      </c>
      <c r="G104" t="s">
        <v>1094</v>
      </c>
      <c r="H104">
        <f>_xlfn.XLOOKUP(B104, [1]EFAY!$B:$B,[1]EFAY!$H:$H)</f>
        <v>3.72</v>
      </c>
      <c r="I104" t="str">
        <f>_xlfn.XLOOKUP(B104, [1]EFAY!$B:$B,[1]EFAY!$I:$I)</f>
        <v>JS-Janitorial and Stewarding</v>
      </c>
      <c r="J104" t="str">
        <f>_xlfn.XLOOKUP(B104, [1]EFAY!$B:$B,[1]EFAY!$J:$J)</f>
        <v>BWR-Beverageware</v>
      </c>
      <c r="K104" t="str">
        <f>_xlfn.XLOOKUP(B104, [1]EFAY!$B:$B,[1]EFAY!$K:$K)</f>
        <v>TM-Tumblers</v>
      </c>
      <c r="L104" t="str">
        <f>_xlfn.XLOOKUP(B104, [1]EFAY!$B:$B,[1]EFAY!$L:$L)</f>
        <v>8x9.4cm Enamel Look Round Tumbler/Cup Inner White with Blue Outer</v>
      </c>
      <c r="M104" s="3" t="s">
        <v>493</v>
      </c>
      <c r="N104" s="1" t="s">
        <v>492</v>
      </c>
      <c r="O104" s="1" t="s">
        <v>491</v>
      </c>
    </row>
    <row r="105" spans="1:15" x14ac:dyDescent="0.25">
      <c r="A105" t="str">
        <f>_xlfn.XLOOKUP(B105, [1]EFAY!$B:$B,[1]EFAY!$A:$A)</f>
        <v>5712-BAG-219405</v>
      </c>
      <c r="B105" s="3">
        <v>219405</v>
      </c>
      <c r="C105" t="s">
        <v>1089</v>
      </c>
      <c r="D105" t="str">
        <f>_xlfn.XLOOKUP(B105, [1]EFAY!$B:$B,[1]EFAY!$D:$D)</f>
        <v>L:13XHT:15cm, RD CYLINDER CORK BAG/BASKET FOR BUFFET/DISPLAY (BEIGE)</v>
      </c>
      <c r="E105" t="str">
        <f>_xlfn.XLOOKUP(B105, [1]EFAY!$B:$B,[1]EFAY!$E:$E)</f>
        <v>NO TAG</v>
      </c>
      <c r="G105" t="s">
        <v>1094</v>
      </c>
      <c r="H105">
        <f>_xlfn.XLOOKUP(B105, [1]EFAY!$B:$B,[1]EFAY!$H:$H)</f>
        <v>8.82</v>
      </c>
      <c r="I105" t="str">
        <f>_xlfn.XLOOKUP(B105, [1]EFAY!$B:$B,[1]EFAY!$I:$I)</f>
        <v>JS-Janitorial and Stewarding</v>
      </c>
      <c r="J105" t="str">
        <f>_xlfn.XLOOKUP(B105, [1]EFAY!$B:$B,[1]EFAY!$J:$J)</f>
        <v>SS-Storage Solutions</v>
      </c>
      <c r="K105" t="str">
        <f>_xlfn.XLOOKUP(B105, [1]EFAY!$B:$B,[1]EFAY!$K:$K)</f>
        <v/>
      </c>
      <c r="L105" t="str">
        <f>_xlfn.XLOOKUP(B105, [1]EFAY!$B:$B,[1]EFAY!$L:$L)</f>
        <v>L13xH15cm Round Cylinder Cork Bag/Basket Beige for Buffet/Display</v>
      </c>
      <c r="M105" s="3" t="s">
        <v>501</v>
      </c>
      <c r="N105" s="1" t="s">
        <v>500</v>
      </c>
      <c r="O105" s="1" t="s">
        <v>499</v>
      </c>
    </row>
    <row r="106" spans="1:15" x14ac:dyDescent="0.25">
      <c r="A106" t="str">
        <f>_xlfn.XLOOKUP(B106, [1]EFAY!$B:$B,[1]EFAY!$A:$A)</f>
        <v>5712-PC-GN-540511TR</v>
      </c>
      <c r="B106" s="3" t="s">
        <v>17</v>
      </c>
      <c r="C106" t="s">
        <v>1089</v>
      </c>
      <c r="D106" t="str">
        <f>_xlfn.XLOOKUP(B106, [1]EFAY!$B:$B,[1]EFAY!$D:$D)</f>
        <v>1/1, 53X33XHT:10cm FLAT TOP TRANSPARENT PC COVER ONLY (*NO BASE)</v>
      </c>
      <c r="E106" t="str">
        <f>_xlfn.XLOOKUP(B106, [1]EFAY!$B:$B,[1]EFAY!$E:$E)</f>
        <v>NO TAG</v>
      </c>
      <c r="G106" t="s">
        <v>1094</v>
      </c>
      <c r="H106">
        <f>_xlfn.XLOOKUP(B106, [1]EFAY!$B:$B,[1]EFAY!$H:$H)</f>
        <v>37.15</v>
      </c>
      <c r="I106" t="str">
        <f>_xlfn.XLOOKUP(B106, [1]EFAY!$B:$B,[1]EFAY!$I:$I)</f>
        <v>JS-Janitorial and Stewarding</v>
      </c>
      <c r="J106" t="str">
        <f>_xlfn.XLOOKUP(B106, [1]EFAY!$B:$B,[1]EFAY!$J:$J)</f>
        <v/>
      </c>
      <c r="K106" t="str">
        <f>_xlfn.XLOOKUP(B106, [1]EFAY!$B:$B,[1]EFAY!$K:$K)</f>
        <v/>
      </c>
      <c r="L106" t="str">
        <f>_xlfn.XLOOKUP(B106, [1]EFAY!$B:$B,[1]EFAY!$L:$L)</f>
        <v>1/1 PC 53x33xH10cm Flat Top Cover Transparent</v>
      </c>
      <c r="M106" s="3" t="s">
        <v>504</v>
      </c>
      <c r="N106" s="1" t="s">
        <v>503</v>
      </c>
      <c r="O106" s="1" t="s">
        <v>502</v>
      </c>
    </row>
    <row r="107" spans="1:15" x14ac:dyDescent="0.25">
      <c r="A107" t="str">
        <f>_xlfn.XLOOKUP(B107, [1]EFAY!$B:$B,[1]EFAY!$A:$A)</f>
        <v>5712-PC-GN-540512TR</v>
      </c>
      <c r="B107" s="3" t="s">
        <v>18</v>
      </c>
      <c r="C107" t="s">
        <v>1089</v>
      </c>
      <c r="D107" t="str">
        <f>_xlfn.XLOOKUP(B107, [1]EFAY!$B:$B,[1]EFAY!$D:$D)</f>
        <v>1/2, 33X27XHT:10cm FLAT TOP TRANSPARENT PC COVER ONLY (*NO BASE)</v>
      </c>
      <c r="E107" t="str">
        <f>_xlfn.XLOOKUP(B107, [1]EFAY!$B:$B,[1]EFAY!$E:$E)</f>
        <v>NO TAG</v>
      </c>
      <c r="G107" t="s">
        <v>1094</v>
      </c>
      <c r="H107">
        <f>_xlfn.XLOOKUP(B107, [1]EFAY!$B:$B,[1]EFAY!$H:$H)</f>
        <v>20.48</v>
      </c>
      <c r="I107" t="str">
        <f>_xlfn.XLOOKUP(B107, [1]EFAY!$B:$B,[1]EFAY!$I:$I)</f>
        <v>JS-Janitorial and Stewarding</v>
      </c>
      <c r="J107" t="str">
        <f>_xlfn.XLOOKUP(B107, [1]EFAY!$B:$B,[1]EFAY!$J:$J)</f>
        <v/>
      </c>
      <c r="K107" t="str">
        <f>_xlfn.XLOOKUP(B107, [1]EFAY!$B:$B,[1]EFAY!$K:$K)</f>
        <v/>
      </c>
      <c r="L107" t="str">
        <f>_xlfn.XLOOKUP(B107, [1]EFAY!$B:$B,[1]EFAY!$L:$L)</f>
        <v>1/2 PC 33x27xH10cm Flat Top Cover Transparent</v>
      </c>
      <c r="M107" s="3" t="s">
        <v>508</v>
      </c>
      <c r="N107" s="1" t="s">
        <v>507</v>
      </c>
      <c r="O107" s="1" t="s">
        <v>506</v>
      </c>
    </row>
    <row r="108" spans="1:15" x14ac:dyDescent="0.25">
      <c r="A108" t="str">
        <f>_xlfn.XLOOKUP(B108, [1]EFAY!$B:$B,[1]EFAY!$A:$A)</f>
        <v>5712-PC-GN-540513TR</v>
      </c>
      <c r="B108" s="3" t="s">
        <v>19</v>
      </c>
      <c r="C108" t="s">
        <v>1089</v>
      </c>
      <c r="D108" t="str">
        <f>_xlfn.XLOOKUP(B108, [1]EFAY!$B:$B,[1]EFAY!$D:$D)</f>
        <v>(WSL19)1/3, 33X18.3XHT:10cm FLAT TOP TRANSPARENT PC COVER ONLY (*NO BASE)</v>
      </c>
      <c r="E108" t="str">
        <f>_xlfn.XLOOKUP(B108, [1]EFAY!$B:$B,[1]EFAY!$E:$E)</f>
        <v>WSL WITH STOCK</v>
      </c>
      <c r="G108" t="s">
        <v>1094</v>
      </c>
      <c r="H108">
        <f>_xlfn.XLOOKUP(B108, [1]EFAY!$B:$B,[1]EFAY!$H:$H)</f>
        <v>18.809999999999999</v>
      </c>
      <c r="I108" t="str">
        <f>_xlfn.XLOOKUP(B108, [1]EFAY!$B:$B,[1]EFAY!$I:$I)</f>
        <v>JS-Janitorial and Stewarding</v>
      </c>
      <c r="J108" t="str">
        <f>_xlfn.XLOOKUP(B108, [1]EFAY!$B:$B,[1]EFAY!$J:$J)</f>
        <v/>
      </c>
      <c r="K108" t="str">
        <f>_xlfn.XLOOKUP(B108, [1]EFAY!$B:$B,[1]EFAY!$K:$K)</f>
        <v/>
      </c>
      <c r="L108" t="str">
        <f>_xlfn.XLOOKUP(B108, [1]EFAY!$B:$B,[1]EFAY!$L:$L)</f>
        <v>1/3 PC 33x18.3xH10cm Flat Top Cover Transparent</v>
      </c>
      <c r="M108" s="3" t="s">
        <v>512</v>
      </c>
      <c r="N108" s="1" t="s">
        <v>511</v>
      </c>
      <c r="O108" s="1" t="s">
        <v>510</v>
      </c>
    </row>
    <row r="109" spans="1:15" x14ac:dyDescent="0.25">
      <c r="A109" t="str">
        <f>_xlfn.XLOOKUP(B109, [1]EFAY!$B:$B,[1]EFAY!$A:$A)</f>
        <v>5712-EDC-302710IVCR</v>
      </c>
      <c r="B109" s="3" t="s">
        <v>4</v>
      </c>
      <c r="C109" t="s">
        <v>1089</v>
      </c>
      <c r="D109" t="str">
        <f>_xlfn.XLOOKUP(B109, [1]EFAY!$B:$B,[1]EFAY!$D:$D)</f>
        <v>(WSL) &lt;7201710-IVCR&gt;#302710, 10 OZ MELAMINE MACARON TUMBLER (IVORY/C RED)</v>
      </c>
      <c r="E109" t="str">
        <f>_xlfn.XLOOKUP(B109, [1]EFAY!$B:$B,[1]EFAY!$E:$E)</f>
        <v>WSL WITH STOCK</v>
      </c>
      <c r="G109" t="s">
        <v>1094</v>
      </c>
      <c r="H109">
        <f>_xlfn.XLOOKUP(B109, [1]EFAY!$B:$B,[1]EFAY!$H:$H)</f>
        <v>2.75</v>
      </c>
      <c r="I109" t="str">
        <f>_xlfn.XLOOKUP(B109, [1]EFAY!$B:$B,[1]EFAY!$I:$I)</f>
        <v>JS-Janitorial and Stewarding</v>
      </c>
      <c r="J109" t="str">
        <f>_xlfn.XLOOKUP(B109, [1]EFAY!$B:$B,[1]EFAY!$J:$J)</f>
        <v>BWR-Beverageware</v>
      </c>
      <c r="K109" t="str">
        <f>_xlfn.XLOOKUP(B109, [1]EFAY!$B:$B,[1]EFAY!$K:$K)</f>
        <v>TM-Tumblers</v>
      </c>
      <c r="L109" t="str">
        <f>_xlfn.XLOOKUP(B109, [1]EFAY!$B:$B,[1]EFAY!$L:$L)</f>
        <v>#302710 Melamine 10oz Macaron Tumbler Ivory/Red</v>
      </c>
      <c r="M109" s="3" t="s">
        <v>516</v>
      </c>
      <c r="N109" s="1" t="s">
        <v>515</v>
      </c>
      <c r="O109" s="1" t="s">
        <v>514</v>
      </c>
    </row>
    <row r="110" spans="1:15" x14ac:dyDescent="0.25">
      <c r="A110" t="str">
        <f>_xlfn.XLOOKUP(B110, [1]EFAY!$B:$B,[1]EFAY!$A:$A)</f>
        <v>5712-EDC-302710IVCP</v>
      </c>
      <c r="B110" s="3" t="s">
        <v>519</v>
      </c>
      <c r="C110" t="s">
        <v>1089</v>
      </c>
      <c r="D110" t="str">
        <f>_xlfn.XLOOKUP(B110, [1]EFAY!$B:$B,[1]EFAY!$D:$D)</f>
        <v>(WSL) &lt;7201710-IVCP&gt; #302710, 10 OZ MELAMINE MACARON TUMBLER (IVORY/C PINK)</v>
      </c>
      <c r="E110" t="str">
        <f>_xlfn.XLOOKUP(B110, [1]EFAY!$B:$B,[1]EFAY!$E:$E)</f>
        <v>WSL WITH STOCK</v>
      </c>
      <c r="G110" t="s">
        <v>1094</v>
      </c>
      <c r="H110">
        <f>_xlfn.XLOOKUP(B110, [1]EFAY!$B:$B,[1]EFAY!$H:$H)</f>
        <v>2.75</v>
      </c>
      <c r="I110" t="str">
        <f>_xlfn.XLOOKUP(B110, [1]EFAY!$B:$B,[1]EFAY!$I:$I)</f>
        <v>JS-Janitorial and Stewarding</v>
      </c>
      <c r="J110" t="str">
        <f>_xlfn.XLOOKUP(B110, [1]EFAY!$B:$B,[1]EFAY!$J:$J)</f>
        <v>BWR-Beverageware</v>
      </c>
      <c r="K110" t="str">
        <f>_xlfn.XLOOKUP(B110, [1]EFAY!$B:$B,[1]EFAY!$K:$K)</f>
        <v>TM-Tumblers</v>
      </c>
      <c r="L110" t="str">
        <f>_xlfn.XLOOKUP(B110, [1]EFAY!$B:$B,[1]EFAY!$L:$L)</f>
        <v>#302710 Melamine 10oz Macaron Tumbler Ivory/Pink</v>
      </c>
      <c r="M110" s="3" t="s">
        <v>520</v>
      </c>
      <c r="N110" s="1" t="s">
        <v>518</v>
      </c>
      <c r="O110" s="1" t="s">
        <v>517</v>
      </c>
    </row>
    <row r="111" spans="1:15" x14ac:dyDescent="0.25">
      <c r="A111" t="str">
        <f>_xlfn.XLOOKUP(B111, [1]EFAY!$B:$B,[1]EFAY!$A:$A)</f>
        <v>5712-EDC-302706IVCR</v>
      </c>
      <c r="B111" s="3" t="s">
        <v>523</v>
      </c>
      <c r="C111" t="s">
        <v>1089</v>
      </c>
      <c r="D111" t="str">
        <f>_xlfn.XLOOKUP(B111, [1]EFAY!$B:$B,[1]EFAY!$D:$D)</f>
        <v>(WSL19)&lt;7201706-IVCR&gt; #302706, 6 OZ MELAMINE MACARON TUMBLER (IVORY/C RED)</v>
      </c>
      <c r="E111" t="str">
        <f>_xlfn.XLOOKUP(B111, [1]EFAY!$B:$B,[1]EFAY!$E:$E)</f>
        <v>WSL WITH STOCK</v>
      </c>
      <c r="G111" t="s">
        <v>1094</v>
      </c>
      <c r="H111">
        <f>_xlfn.XLOOKUP(B111, [1]EFAY!$B:$B,[1]EFAY!$H:$H)</f>
        <v>1.87</v>
      </c>
      <c r="I111" t="str">
        <f>_xlfn.XLOOKUP(B111, [1]EFAY!$B:$B,[1]EFAY!$I:$I)</f>
        <v>JS-Janitorial and Stewarding</v>
      </c>
      <c r="J111" t="str">
        <f>_xlfn.XLOOKUP(B111, [1]EFAY!$B:$B,[1]EFAY!$J:$J)</f>
        <v>BWR-Beverageware</v>
      </c>
      <c r="K111" t="str">
        <f>_xlfn.XLOOKUP(B111, [1]EFAY!$B:$B,[1]EFAY!$K:$K)</f>
        <v>TM-Tumblers</v>
      </c>
      <c r="L111" t="str">
        <f>_xlfn.XLOOKUP(B111, [1]EFAY!$B:$B,[1]EFAY!$L:$L)</f>
        <v>#302706 'Melamine 6oz Macaron Tumbler Ivory/Red</v>
      </c>
      <c r="M111" s="3" t="s">
        <v>524</v>
      </c>
      <c r="N111" s="1" t="s">
        <v>522</v>
      </c>
      <c r="O111" s="1" t="s">
        <v>521</v>
      </c>
    </row>
    <row r="112" spans="1:15" x14ac:dyDescent="0.25">
      <c r="A112" t="str">
        <f>_xlfn.XLOOKUP(B112, [1]EFAY!$B:$B,[1]EFAY!$A:$A)</f>
        <v>5712-EDC-302706IVCP</v>
      </c>
      <c r="B112" s="3" t="s">
        <v>527</v>
      </c>
      <c r="C112" t="s">
        <v>1089</v>
      </c>
      <c r="D112" t="str">
        <f>_xlfn.XLOOKUP(B112, [1]EFAY!$B:$B,[1]EFAY!$D:$D)</f>
        <v>(WSL19)&lt;7201706-IVCP&gt; #302706, 6 OZ MELAMINE MACARON TUMBLER (IVORY/C PINK)</v>
      </c>
      <c r="E112" t="str">
        <f>_xlfn.XLOOKUP(B112, [1]EFAY!$B:$B,[1]EFAY!$E:$E)</f>
        <v>WSL WITH STOCK</v>
      </c>
      <c r="G112" t="s">
        <v>1094</v>
      </c>
      <c r="H112">
        <f>_xlfn.XLOOKUP(B112, [1]EFAY!$B:$B,[1]EFAY!$H:$H)</f>
        <v>1.87</v>
      </c>
      <c r="I112" t="str">
        <f>_xlfn.XLOOKUP(B112, [1]EFAY!$B:$B,[1]EFAY!$I:$I)</f>
        <v>JS-Janitorial and Stewarding</v>
      </c>
      <c r="J112" t="str">
        <f>_xlfn.XLOOKUP(B112, [1]EFAY!$B:$B,[1]EFAY!$J:$J)</f>
        <v>BWR-Beverageware</v>
      </c>
      <c r="K112" t="str">
        <f>_xlfn.XLOOKUP(B112, [1]EFAY!$B:$B,[1]EFAY!$K:$K)</f>
        <v>TM-Tumblers</v>
      </c>
      <c r="L112" t="str">
        <f>_xlfn.XLOOKUP(B112, [1]EFAY!$B:$B,[1]EFAY!$L:$L)</f>
        <v>#302706 Melamine 6oz Macaron Tumbler Ivory/Pink</v>
      </c>
      <c r="M112" s="3" t="s">
        <v>528</v>
      </c>
      <c r="N112" s="1" t="s">
        <v>526</v>
      </c>
      <c r="O112" s="1" t="s">
        <v>525</v>
      </c>
    </row>
    <row r="113" spans="1:15" x14ac:dyDescent="0.25">
      <c r="A113" t="str">
        <f>_xlfn.XLOOKUP(B113, [1]EFAY!$B:$B,[1]EFAY!$A:$A)</f>
        <v>5712-5332FPW9-WHT</v>
      </c>
      <c r="B113" s="3" t="s">
        <v>223</v>
      </c>
      <c r="C113" t="s">
        <v>1089</v>
      </c>
      <c r="D113" t="str">
        <f>_xlfn.XLOOKUP(B113, [1]EFAY!$B:$B,[1]EFAY!$D:$D)</f>
        <v>53X32.5X2cm MELAMINE MARBLE 1/1 FOOTED PLATTER (PURE WHITE CARRARA)</v>
      </c>
      <c r="E113" t="str">
        <f>_xlfn.XLOOKUP(B113, [1]EFAY!$B:$B,[1]EFAY!$E:$E)</f>
        <v>NO TAG</v>
      </c>
      <c r="G113" t="s">
        <v>1094</v>
      </c>
      <c r="H113">
        <f>_xlfn.XLOOKUP(B113, [1]EFAY!$B:$B,[1]EFAY!$H:$H)</f>
        <v>38.24</v>
      </c>
      <c r="I113" t="str">
        <f>_xlfn.XLOOKUP(B113, [1]EFAY!$B:$B,[1]EFAY!$I:$I)</f>
        <v>JS-Janitorial and Stewarding</v>
      </c>
      <c r="J113" t="str">
        <f>_xlfn.XLOOKUP(B113, [1]EFAY!$B:$B,[1]EFAY!$J:$J)</f>
        <v>SVW-Serveware</v>
      </c>
      <c r="K113" t="str">
        <f>_xlfn.XLOOKUP(B113, [1]EFAY!$B:$B,[1]EFAY!$K:$K)</f>
        <v>DRA-Display Risers, Stands &amp; Accessories</v>
      </c>
      <c r="L113" t="str">
        <f>_xlfn.XLOOKUP(B113, [1]EFAY!$B:$B,[1]EFAY!$L:$L)</f>
        <v>Melamine Marble 53x32.5x2cm 1/1 Size Footed Platter Pure White Carrara</v>
      </c>
      <c r="M113" s="3" t="s">
        <v>533</v>
      </c>
      <c r="N113" s="1" t="s">
        <v>532</v>
      </c>
      <c r="O113" s="1" t="s">
        <v>531</v>
      </c>
    </row>
    <row r="114" spans="1:15" x14ac:dyDescent="0.25">
      <c r="A114" t="str">
        <f>_xlfn.XLOOKUP(B114, [1]EFAY!$B:$B,[1]EFAY!$A:$A)</f>
        <v>5712-3226FPW9-WHT</v>
      </c>
      <c r="B114" s="3" t="s">
        <v>266</v>
      </c>
      <c r="C114" t="s">
        <v>1089</v>
      </c>
      <c r="D114" t="str">
        <f>_xlfn.XLOOKUP(B114, [1]EFAY!$B:$B,[1]EFAY!$D:$D)</f>
        <v>32.5X26.5X2CM 1/2 SIZE MARBLE FOOTED PLATTER (PURE WHITE CARRARA)</v>
      </c>
      <c r="E114" t="str">
        <f>_xlfn.XLOOKUP(B114, [1]EFAY!$B:$B,[1]EFAY!$E:$E)</f>
        <v>NO TAG</v>
      </c>
      <c r="G114" t="s">
        <v>1094</v>
      </c>
      <c r="H114">
        <f>_xlfn.XLOOKUP(B114, [1]EFAY!$B:$B,[1]EFAY!$H:$H)</f>
        <v>21.32</v>
      </c>
      <c r="I114" t="str">
        <f>_xlfn.XLOOKUP(B114, [1]EFAY!$B:$B,[1]EFAY!$I:$I)</f>
        <v>JS-Janitorial and Stewarding</v>
      </c>
      <c r="J114" t="str">
        <f>_xlfn.XLOOKUP(B114, [1]EFAY!$B:$B,[1]EFAY!$J:$J)</f>
        <v>SVW-Serveware</v>
      </c>
      <c r="K114" t="str">
        <f>_xlfn.XLOOKUP(B114, [1]EFAY!$B:$B,[1]EFAY!$K:$K)</f>
        <v>BBC-Bread Boards/Charcuterie Boards</v>
      </c>
      <c r="L114" t="str">
        <f>_xlfn.XLOOKUP(B114, [1]EFAY!$B:$B,[1]EFAY!$L:$L)</f>
        <v>Marble 32.5x26.5cm 1/2 Size Footed Platter Pure White Carrara</v>
      </c>
      <c r="M114" s="3" t="s">
        <v>537</v>
      </c>
      <c r="N114" s="1" t="s">
        <v>536</v>
      </c>
      <c r="O114" s="1" t="s">
        <v>535</v>
      </c>
    </row>
    <row r="115" spans="1:15" x14ac:dyDescent="0.25">
      <c r="A115" t="str">
        <f>_xlfn.XLOOKUP(B115, [1]EFAY!$B:$B,[1]EFAY!$A:$A)</f>
        <v>5712-3217FPW9-WHT</v>
      </c>
      <c r="B115" s="3" t="s">
        <v>263</v>
      </c>
      <c r="C115" t="s">
        <v>1089</v>
      </c>
      <c r="D115" t="str">
        <f>_xlfn.XLOOKUP(B115, [1]EFAY!$B:$B,[1]EFAY!$D:$D)</f>
        <v>32.5X17.6X2CM 1/3 SIZE MARBLE FOOTED PLATTER (PURE WHITE CARRARA)</v>
      </c>
      <c r="E115" t="str">
        <f>_xlfn.XLOOKUP(B115, [1]EFAY!$B:$B,[1]EFAY!$E:$E)</f>
        <v>NO TAG</v>
      </c>
      <c r="G115" t="s">
        <v>1094</v>
      </c>
      <c r="H115">
        <f>_xlfn.XLOOKUP(B115, [1]EFAY!$B:$B,[1]EFAY!$H:$H)</f>
        <v>14.49</v>
      </c>
      <c r="I115" t="str">
        <f>_xlfn.XLOOKUP(B115, [1]EFAY!$B:$B,[1]EFAY!$I:$I)</f>
        <v>JS-Janitorial and Stewarding</v>
      </c>
      <c r="J115" t="str">
        <f>_xlfn.XLOOKUP(B115, [1]EFAY!$B:$B,[1]EFAY!$J:$J)</f>
        <v>SVW-Serveware</v>
      </c>
      <c r="K115" t="str">
        <f>_xlfn.XLOOKUP(B115, [1]EFAY!$B:$B,[1]EFAY!$K:$K)</f>
        <v>BBC-Bread Boards/Charcuterie Boards</v>
      </c>
      <c r="L115" t="str">
        <f>_xlfn.XLOOKUP(B115, [1]EFAY!$B:$B,[1]EFAY!$L:$L)</f>
        <v>Marble 32.5x17.6cm 1/3 Size Footed Platter Pure White Carrara</v>
      </c>
      <c r="M115" s="3" t="s">
        <v>540</v>
      </c>
      <c r="N115" s="1" t="s">
        <v>539</v>
      </c>
      <c r="O115" s="1" t="s">
        <v>538</v>
      </c>
    </row>
    <row r="116" spans="1:15" x14ac:dyDescent="0.25">
      <c r="A116" t="str">
        <f>_xlfn.XLOOKUP(B116, [1]EFAY!$B:$B,[1]EFAY!$A:$A)</f>
        <v>5712-5332FBK11-BLK</v>
      </c>
      <c r="B116" s="3" t="s">
        <v>543</v>
      </c>
      <c r="C116" t="s">
        <v>1089</v>
      </c>
      <c r="D116" t="str">
        <f>_xlfn.XLOOKUP(B116, [1]EFAY!$B:$B,[1]EFAY!$D:$D)</f>
        <v>53X32.5X2cm MELAMINE MARBLE 1/1 FOOTED PLATTER (BLACK XEMEN)</v>
      </c>
      <c r="E116" t="str">
        <f>_xlfn.XLOOKUP(B116, [1]EFAY!$B:$B,[1]EFAY!$E:$E)</f>
        <v>NO TAG</v>
      </c>
      <c r="G116" t="s">
        <v>1094</v>
      </c>
      <c r="H116">
        <f>_xlfn.XLOOKUP(B116, [1]EFAY!$B:$B,[1]EFAY!$H:$H)</f>
        <v>38.24</v>
      </c>
      <c r="I116" t="str">
        <f>_xlfn.XLOOKUP(B116, [1]EFAY!$B:$B,[1]EFAY!$I:$I)</f>
        <v>JS-Janitorial and Stewarding</v>
      </c>
      <c r="J116" t="str">
        <f>_xlfn.XLOOKUP(B116, [1]EFAY!$B:$B,[1]EFAY!$J:$J)</f>
        <v>SVW-Serveware</v>
      </c>
      <c r="K116" t="str">
        <f>_xlfn.XLOOKUP(B116, [1]EFAY!$B:$B,[1]EFAY!$K:$K)</f>
        <v>DRA-Display Risers, Stands &amp; Accessories</v>
      </c>
      <c r="L116" t="str">
        <f>_xlfn.XLOOKUP(B116, [1]EFAY!$B:$B,[1]EFAY!$L:$L)</f>
        <v>Melamine Mable Xemen 53x32.5x2cm 1/1 Footed Platter Black</v>
      </c>
      <c r="M116" s="3" t="s">
        <v>544</v>
      </c>
      <c r="N116" s="1" t="s">
        <v>542</v>
      </c>
      <c r="O116" s="1" t="s">
        <v>541</v>
      </c>
    </row>
    <row r="117" spans="1:15" x14ac:dyDescent="0.25">
      <c r="A117" t="str">
        <f>_xlfn.XLOOKUP(B117, [1]EFAY!$B:$B,[1]EFAY!$A:$A)</f>
        <v>5712-GN-9009-11SS</v>
      </c>
      <c r="B117" s="3" t="s">
        <v>547</v>
      </c>
      <c r="C117" t="s">
        <v>1089</v>
      </c>
      <c r="D117" t="str">
        <f>_xlfn.XLOOKUP(B117, [1]EFAY!$B:$B,[1]EFAY!$D:$D)</f>
        <v>(ID-MOQ) EFAY #900911SS 565mm x 530mm x H325mm S/S 1/1 GN SYSTEM STAND</v>
      </c>
      <c r="E117" t="str">
        <f>_xlfn.XLOOKUP(B117, [1]EFAY!$B:$B,[1]EFAY!$E:$E)</f>
        <v>ID NO STOCK</v>
      </c>
      <c r="G117" t="s">
        <v>1094</v>
      </c>
      <c r="H117">
        <f>_xlfn.XLOOKUP(B117, [1]EFAY!$B:$B,[1]EFAY!$H:$H)</f>
        <v>35.06</v>
      </c>
      <c r="I117" t="str">
        <f>_xlfn.XLOOKUP(B117, [1]EFAY!$B:$B,[1]EFAY!$I:$I)</f>
        <v>JS-Janitorial and Stewarding</v>
      </c>
      <c r="J117" t="str">
        <f>_xlfn.XLOOKUP(B117, [1]EFAY!$B:$B,[1]EFAY!$J:$J)</f>
        <v/>
      </c>
      <c r="K117" t="str">
        <f>_xlfn.XLOOKUP(B117, [1]EFAY!$B:$B,[1]EFAY!$K:$K)</f>
        <v/>
      </c>
      <c r="L117" t="str">
        <f>_xlfn.XLOOKUP(B117, [1]EFAY!$B:$B,[1]EFAY!$L:$L)</f>
        <v>Efay #900911SS S/Steel 1/1 GN 565x530xH325mm System Stand</v>
      </c>
      <c r="M117" s="3" t="s">
        <v>548</v>
      </c>
      <c r="N117" s="1" t="s">
        <v>546</v>
      </c>
      <c r="O117" s="1" t="s">
        <v>545</v>
      </c>
    </row>
    <row r="118" spans="1:15" x14ac:dyDescent="0.25">
      <c r="A118" t="str">
        <f>_xlfn.XLOOKUP(B118, [1]EFAY!$B:$B,[1]EFAY!$A:$A)</f>
        <v>5712-EXP-519805-BK</v>
      </c>
      <c r="B118" s="3" t="s">
        <v>555</v>
      </c>
      <c r="C118" t="s">
        <v>1089</v>
      </c>
      <c r="D118" t="str">
        <f>_xlfn.XLOOKUP(B118, [1]EFAY!$B:$B,[1]EFAY!$D:$D)</f>
        <v>W:3.5 X L:13cm, EXPLORER 5" MULTI ANGLE MENU SIGNAGE TAG (10 PCS/PKT)(BLACK) (SELL BY PKT)</v>
      </c>
      <c r="E118" t="str">
        <f>_xlfn.XLOOKUP(B118, [1]EFAY!$B:$B,[1]EFAY!$E:$E)</f>
        <v>NO TAG</v>
      </c>
      <c r="G118" t="s">
        <v>1094</v>
      </c>
      <c r="H118">
        <f>_xlfn.XLOOKUP(B118, [1]EFAY!$B:$B,[1]EFAY!$H:$H)</f>
        <v>1.25</v>
      </c>
      <c r="I118" t="str">
        <f>_xlfn.XLOOKUP(B118, [1]EFAY!$B:$B,[1]EFAY!$I:$I)</f>
        <v>JS-Janitorial and Stewarding</v>
      </c>
      <c r="J118" t="str">
        <f>_xlfn.XLOOKUP(B118, [1]EFAY!$B:$B,[1]EFAY!$J:$J)</f>
        <v>SM-Signage &amp; Miscellaneous</v>
      </c>
      <c r="K118" t="str">
        <f>_xlfn.XLOOKUP(B118, [1]EFAY!$B:$B,[1]EFAY!$K:$K)</f>
        <v>SGN-Signage</v>
      </c>
      <c r="L118" t="str">
        <f>_xlfn.XLOOKUP(B118, [1]EFAY!$B:$B,[1]EFAY!$L:$L)</f>
        <v>W3.5xL13cm Explorer 5" Multi Angle Menu Signage Tag Black</v>
      </c>
      <c r="M118" s="3" t="s">
        <v>556</v>
      </c>
      <c r="N118" s="1" t="s">
        <v>554</v>
      </c>
      <c r="O118" s="1" t="s">
        <v>553</v>
      </c>
    </row>
    <row r="119" spans="1:15" x14ac:dyDescent="0.25">
      <c r="A119" t="str">
        <f>_xlfn.XLOOKUP(B119, [1]EFAY!$B:$B,[1]EFAY!$A:$A)</f>
        <v>5712-EDT-406111ER5</v>
      </c>
      <c r="B119" s="3" t="s">
        <v>119</v>
      </c>
      <c r="C119" t="s">
        <v>1089</v>
      </c>
      <c r="D119" t="str">
        <f>_xlfn.XLOOKUP(B119, [1]EFAY!$B:$B,[1]EFAY!$D:$D)</f>
        <v>&lt;4170211&gt; #406111, DIA 7"/L11" RD MELAMINE GOURMET BOARD (OAK)</v>
      </c>
      <c r="E119" t="str">
        <f>_xlfn.XLOOKUP(B119, [1]EFAY!$B:$B,[1]EFAY!$E:$E)</f>
        <v>NO TAG</v>
      </c>
      <c r="G119" t="s">
        <v>1094</v>
      </c>
      <c r="H119">
        <f>_xlfn.XLOOKUP(B119, [1]EFAY!$B:$B,[1]EFAY!$H:$H)</f>
        <v>7.17</v>
      </c>
      <c r="I119" t="str">
        <f>_xlfn.XLOOKUP(B119, [1]EFAY!$B:$B,[1]EFAY!$I:$I)</f>
        <v>JS-Janitorial and Stewarding</v>
      </c>
      <c r="J119" t="str">
        <f>_xlfn.XLOOKUP(B119, [1]EFAY!$B:$B,[1]EFAY!$J:$J)</f>
        <v>SVW-Serveware</v>
      </c>
      <c r="K119" t="str">
        <f>_xlfn.XLOOKUP(B119, [1]EFAY!$B:$B,[1]EFAY!$K:$K)</f>
        <v>BBC-Bread Boards/Charcuterie Boards</v>
      </c>
      <c r="L119" t="str">
        <f>_xlfn.XLOOKUP(B119, [1]EFAY!$B:$B,[1]EFAY!$L:$L)</f>
        <v>#406111 Melamine Ø7"/L11" Gourmet Board</v>
      </c>
      <c r="M119" s="3" t="s">
        <v>560</v>
      </c>
      <c r="N119" s="1" t="s">
        <v>559</v>
      </c>
      <c r="O119" s="1" t="s">
        <v>558</v>
      </c>
    </row>
    <row r="120" spans="1:15" x14ac:dyDescent="0.25">
      <c r="A120" t="str">
        <f>_xlfn.XLOOKUP(B120, [1]EFAY!$B:$B,[1]EFAY!$A:$A)</f>
        <v>5712-EDT-406121ER5</v>
      </c>
      <c r="B120" s="3" t="s">
        <v>11</v>
      </c>
      <c r="C120" t="s">
        <v>1089</v>
      </c>
      <c r="D120" t="str">
        <f>_xlfn.XLOOKUP(B120, [1]EFAY!$B:$B,[1]EFAY!$D:$D)</f>
        <v>&lt;4170221&gt;#406121, DIA 15"/ L21"RD MELAMINE GOURMET BOARD (OAK)</v>
      </c>
      <c r="E120" t="str">
        <f>_xlfn.XLOOKUP(B120, [1]EFAY!$B:$B,[1]EFAY!$E:$E)</f>
        <v>NO TAG</v>
      </c>
      <c r="G120" t="s">
        <v>1094</v>
      </c>
      <c r="H120">
        <f>_xlfn.XLOOKUP(B120, [1]EFAY!$B:$B,[1]EFAY!$H:$H)</f>
        <v>35.9</v>
      </c>
      <c r="I120" t="str">
        <f>_xlfn.XLOOKUP(B120, [1]EFAY!$B:$B,[1]EFAY!$I:$I)</f>
        <v>JS-Janitorial and Stewarding</v>
      </c>
      <c r="J120" t="str">
        <f>_xlfn.XLOOKUP(B120, [1]EFAY!$B:$B,[1]EFAY!$J:$J)</f>
        <v>SVW-Serveware</v>
      </c>
      <c r="K120" t="str">
        <f>_xlfn.XLOOKUP(B120, [1]EFAY!$B:$B,[1]EFAY!$K:$K)</f>
        <v>BBC-Bread Boards/Charcuterie Boards</v>
      </c>
      <c r="L120" t="str">
        <f>_xlfn.XLOOKUP(B120, [1]EFAY!$B:$B,[1]EFAY!$L:$L)</f>
        <v>#406121 Melamine Ø15xL21" Gourmet Board</v>
      </c>
      <c r="M120" s="3" t="s">
        <v>565</v>
      </c>
      <c r="N120" s="1" t="s">
        <v>564</v>
      </c>
      <c r="O120" s="1" t="s">
        <v>563</v>
      </c>
    </row>
    <row r="121" spans="1:15" x14ac:dyDescent="0.25">
      <c r="A121" t="str">
        <f>_xlfn.XLOOKUP(B121, [1]EFAY!$B:$B,[1]EFAY!$A:$A)</f>
        <v>5712-EDT-OLI-406118AB8</v>
      </c>
      <c r="B121" s="3" t="s">
        <v>568</v>
      </c>
      <c r="C121" t="s">
        <v>1089</v>
      </c>
      <c r="D121" t="str">
        <f>_xlfn.XLOOKUP(B121, [1]EFAY!$B:$B,[1]EFAY!$D:$D)</f>
        <v>DIA 13"/L18" RD MELAMINE GOURMET BOARD,APRICOT BROWN (OLIVIA)</v>
      </c>
      <c r="E121" t="str">
        <f>_xlfn.XLOOKUP(B121, [1]EFAY!$B:$B,[1]EFAY!$E:$E)</f>
        <v>NO TAG</v>
      </c>
      <c r="G121" t="s">
        <v>1094</v>
      </c>
      <c r="H121">
        <f>_xlfn.XLOOKUP(B121, [1]EFAY!$B:$B,[1]EFAY!$H:$H)</f>
        <v>23.21</v>
      </c>
      <c r="I121" t="str">
        <f>_xlfn.XLOOKUP(B121, [1]EFAY!$B:$B,[1]EFAY!$I:$I)</f>
        <v>JS-Janitorial and Stewarding</v>
      </c>
      <c r="J121" t="str">
        <f>_xlfn.XLOOKUP(B121, [1]EFAY!$B:$B,[1]EFAY!$J:$J)</f>
        <v>SVW-Serveware</v>
      </c>
      <c r="K121" t="str">
        <f>_xlfn.XLOOKUP(B121, [1]EFAY!$B:$B,[1]EFAY!$K:$K)</f>
        <v>BBC-Bread Boards/Charcuterie Boards</v>
      </c>
      <c r="L121" t="str">
        <f>_xlfn.XLOOKUP(B121, [1]EFAY!$B:$B,[1]EFAY!$L:$L)</f>
        <v>Olivia Melamine Ø13x18" Round Gourmet Board Apricot Brown</v>
      </c>
      <c r="M121" s="3" t="s">
        <v>569</v>
      </c>
      <c r="N121" s="1" t="s">
        <v>567</v>
      </c>
      <c r="O121" s="1" t="s">
        <v>566</v>
      </c>
    </row>
    <row r="122" spans="1:15" x14ac:dyDescent="0.25">
      <c r="A122" t="str">
        <f>_xlfn.XLOOKUP(B122, [1]EFAY!$B:$B,[1]EFAY!$A:$A)</f>
        <v>5712-EDT-406117ER5</v>
      </c>
      <c r="B122" s="3" t="s">
        <v>118</v>
      </c>
      <c r="C122" t="s">
        <v>1089</v>
      </c>
      <c r="D122" t="str">
        <f>_xlfn.XLOOKUP(B122, [1]EFAY!$B:$B,[1]EFAY!$D:$D)</f>
        <v>&lt;4170217&gt; #406117, DIA 12" / L17"RD MELAMINE GOURMET BOARD (OAK)</v>
      </c>
      <c r="E122" t="str">
        <f>_xlfn.XLOOKUP(B122, [1]EFAY!$B:$B,[1]EFAY!$E:$E)</f>
        <v>NO TAG</v>
      </c>
      <c r="G122" t="s">
        <v>1094</v>
      </c>
      <c r="H122">
        <f>_xlfn.XLOOKUP(B122, [1]EFAY!$B:$B,[1]EFAY!$H:$H)</f>
        <v>23.72</v>
      </c>
      <c r="I122" t="str">
        <f>_xlfn.XLOOKUP(B122, [1]EFAY!$B:$B,[1]EFAY!$I:$I)</f>
        <v>JS-Janitorial and Stewarding</v>
      </c>
      <c r="J122" t="str">
        <f>_xlfn.XLOOKUP(B122, [1]EFAY!$B:$B,[1]EFAY!$J:$J)</f>
        <v>SVW-Serveware</v>
      </c>
      <c r="K122" t="str">
        <f>_xlfn.XLOOKUP(B122, [1]EFAY!$B:$B,[1]EFAY!$K:$K)</f>
        <v>BBC-Bread Boards/Charcuterie Boards</v>
      </c>
      <c r="L122" t="str">
        <f>_xlfn.XLOOKUP(B122, [1]EFAY!$B:$B,[1]EFAY!$L:$L)</f>
        <v>#406117 Melamine Ø12xL17" Gourmet Board</v>
      </c>
      <c r="M122" s="3" t="s">
        <v>573</v>
      </c>
      <c r="N122" s="1" t="s">
        <v>572</v>
      </c>
      <c r="O122" s="1" t="s">
        <v>571</v>
      </c>
    </row>
    <row r="123" spans="1:15" x14ac:dyDescent="0.25">
      <c r="A123" t="str">
        <f>_xlfn.XLOOKUP(B123, [1]EFAY!$B:$B,[1]EFAY!$A:$A)</f>
        <v>5712-EDT-406224ER5</v>
      </c>
      <c r="B123" s="3" t="s">
        <v>262</v>
      </c>
      <c r="C123" t="s">
        <v>1089</v>
      </c>
      <c r="D123" t="str">
        <f>_xlfn.XLOOKUP(B123, [1]EFAY!$B:$B,[1]EFAY!$D:$D)</f>
        <v>(WSL19)&lt;4170324&gt;#406224, 24''RECT. MELAMINE GOURMET BOARD (OAK)</v>
      </c>
      <c r="E123" t="str">
        <f>_xlfn.XLOOKUP(B123, [1]EFAY!$B:$B,[1]EFAY!$E:$E)</f>
        <v>WSL WITH STOCK</v>
      </c>
      <c r="G123" t="s">
        <v>1094</v>
      </c>
      <c r="H123">
        <f>_xlfn.XLOOKUP(B123, [1]EFAY!$B:$B,[1]EFAY!$H:$H)</f>
        <v>34.200000000000003</v>
      </c>
      <c r="I123" t="str">
        <f>_xlfn.XLOOKUP(B123, [1]EFAY!$B:$B,[1]EFAY!$I:$I)</f>
        <v>JS-Janitorial and Stewarding</v>
      </c>
      <c r="J123" t="str">
        <f>_xlfn.XLOOKUP(B123, [1]EFAY!$B:$B,[1]EFAY!$J:$J)</f>
        <v>SVW-Serveware</v>
      </c>
      <c r="K123" t="str">
        <f>_xlfn.XLOOKUP(B123, [1]EFAY!$B:$B,[1]EFAY!$K:$K)</f>
        <v>BBC-Bread Boards/Charcuterie Boards</v>
      </c>
      <c r="L123" t="str">
        <f>_xlfn.XLOOKUP(B123, [1]EFAY!$B:$B,[1]EFAY!$L:$L)</f>
        <v>#406224 Melamine 24" Rectangular Gourmet Board Oak</v>
      </c>
      <c r="M123" s="3" t="s">
        <v>577</v>
      </c>
      <c r="N123" s="1" t="s">
        <v>576</v>
      </c>
      <c r="O123" s="1" t="s">
        <v>575</v>
      </c>
    </row>
    <row r="124" spans="1:15" x14ac:dyDescent="0.25">
      <c r="A124" t="str">
        <f>_xlfn.XLOOKUP(B124, [1]EFAY!$B:$B,[1]EFAY!$A:$A)</f>
        <v>5712-EDT-OLI-406221AB8</v>
      </c>
      <c r="B124" s="3" t="s">
        <v>580</v>
      </c>
      <c r="C124" t="s">
        <v>1089</v>
      </c>
      <c r="D124" t="str">
        <f>_xlfn.XLOOKUP(B124, [1]EFAY!$B:$B,[1]EFAY!$D:$D)</f>
        <v>L:53XW:20X1.5cm RECT MELAMINE GOURMET BOARD,APRICOT BROWN (OLIVIA)</v>
      </c>
      <c r="E124" t="str">
        <f>_xlfn.XLOOKUP(B124, [1]EFAY!$B:$B,[1]EFAY!$E:$E)</f>
        <v>NO TAG</v>
      </c>
      <c r="G124" t="s">
        <v>1094</v>
      </c>
      <c r="H124">
        <f>_xlfn.XLOOKUP(B124, [1]EFAY!$B:$B,[1]EFAY!$H:$H)</f>
        <v>29.01</v>
      </c>
      <c r="I124" t="str">
        <f>_xlfn.XLOOKUP(B124, [1]EFAY!$B:$B,[1]EFAY!$I:$I)</f>
        <v>JS-Janitorial and Stewarding</v>
      </c>
      <c r="J124" t="str">
        <f>_xlfn.XLOOKUP(B124, [1]EFAY!$B:$B,[1]EFAY!$J:$J)</f>
        <v>SVW-Serveware</v>
      </c>
      <c r="K124" t="str">
        <f>_xlfn.XLOOKUP(B124, [1]EFAY!$B:$B,[1]EFAY!$K:$K)</f>
        <v>BBC-Bread Boards/Charcuterie Boards</v>
      </c>
      <c r="L124" t="str">
        <f>_xlfn.XLOOKUP(B124, [1]EFAY!$B:$B,[1]EFAY!$L:$L)</f>
        <v>Olivia Melamine L53xW20xH1.5cm Rectangular Gourmet Board Apricot Brown</v>
      </c>
      <c r="M124" s="3" t="s">
        <v>581</v>
      </c>
      <c r="N124" s="1" t="s">
        <v>579</v>
      </c>
      <c r="O124" s="1" t="s">
        <v>578</v>
      </c>
    </row>
    <row r="125" spans="1:15" x14ac:dyDescent="0.25">
      <c r="A125" t="str">
        <f>_xlfn.XLOOKUP(B125, [1]EFAY!$B:$B,[1]EFAY!$A:$A)</f>
        <v>5712-EDT-406221ER5</v>
      </c>
      <c r="B125" s="3" t="s">
        <v>8</v>
      </c>
      <c r="C125" t="s">
        <v>1089</v>
      </c>
      <c r="D125" t="str">
        <f>_xlfn.XLOOKUP(B125, [1]EFAY!$B:$B,[1]EFAY!$D:$D)</f>
        <v>&lt;4170321&gt; #406221, 21"RECT. MELAMINE GOURMET BOARD (OAK)</v>
      </c>
      <c r="E125" t="str">
        <f>_xlfn.XLOOKUP(B125, [1]EFAY!$B:$B,[1]EFAY!$E:$E)</f>
        <v>NO TAG</v>
      </c>
      <c r="G125" t="s">
        <v>1094</v>
      </c>
      <c r="H125">
        <f>_xlfn.XLOOKUP(B125, [1]EFAY!$B:$B,[1]EFAY!$H:$H)</f>
        <v>29.01</v>
      </c>
      <c r="I125" t="str">
        <f>_xlfn.XLOOKUP(B125, [1]EFAY!$B:$B,[1]EFAY!$I:$I)</f>
        <v>JS-Janitorial and Stewarding</v>
      </c>
      <c r="J125" t="str">
        <f>_xlfn.XLOOKUP(B125, [1]EFAY!$B:$B,[1]EFAY!$J:$J)</f>
        <v>SVW-Serveware</v>
      </c>
      <c r="K125" t="str">
        <f>_xlfn.XLOOKUP(B125, [1]EFAY!$B:$B,[1]EFAY!$K:$K)</f>
        <v>BBC-Bread Boards/Charcuterie Boards</v>
      </c>
      <c r="L125" t="str">
        <f>_xlfn.XLOOKUP(B125, [1]EFAY!$B:$B,[1]EFAY!$L:$L)</f>
        <v>#406221 Melamine 21" Rectangular Gourmet Board Oak</v>
      </c>
      <c r="M125" s="3" t="s">
        <v>585</v>
      </c>
      <c r="N125" s="1" t="s">
        <v>584</v>
      </c>
      <c r="O125" s="1" t="s">
        <v>583</v>
      </c>
    </row>
    <row r="126" spans="1:15" x14ac:dyDescent="0.25">
      <c r="A126" t="str">
        <f>_xlfn.XLOOKUP(B126, [1]EFAY!$B:$B,[1]EFAY!$A:$A)</f>
        <v>5712-EDT-OLI-406111AB8</v>
      </c>
      <c r="B126" s="3" t="s">
        <v>588</v>
      </c>
      <c r="C126" t="s">
        <v>1089</v>
      </c>
      <c r="D126" t="str">
        <f>_xlfn.XLOOKUP(B126, [1]EFAY!$B:$B,[1]EFAY!$D:$D)</f>
        <v>DIA 7"/L11" RD MELAMINE GOURMET BOARD,APRICOT BROWN (OLIVIA)</v>
      </c>
      <c r="E126" t="str">
        <f>_xlfn.XLOOKUP(B126, [1]EFAY!$B:$B,[1]EFAY!$E:$E)</f>
        <v>NO TAG</v>
      </c>
      <c r="G126" t="s">
        <v>1094</v>
      </c>
      <c r="H126">
        <f>_xlfn.XLOOKUP(B126, [1]EFAY!$B:$B,[1]EFAY!$H:$H)</f>
        <v>7.17</v>
      </c>
      <c r="I126" t="str">
        <f>_xlfn.XLOOKUP(B126, [1]EFAY!$B:$B,[1]EFAY!$I:$I)</f>
        <v>JS-Janitorial and Stewarding</v>
      </c>
      <c r="J126" t="str">
        <f>_xlfn.XLOOKUP(B126, [1]EFAY!$B:$B,[1]EFAY!$J:$J)</f>
        <v>SVW-Serveware</v>
      </c>
      <c r="K126" t="str">
        <f>_xlfn.XLOOKUP(B126, [1]EFAY!$B:$B,[1]EFAY!$K:$K)</f>
        <v>BBC-Bread Boards/Charcuterie Boards</v>
      </c>
      <c r="L126" t="str">
        <f>_xlfn.XLOOKUP(B126, [1]EFAY!$B:$B,[1]EFAY!$L:$L)</f>
        <v>Olivia Melamine Ø7x11" Gourmet Board Round Apricot Brown</v>
      </c>
      <c r="M126" s="3" t="s">
        <v>589</v>
      </c>
      <c r="N126" s="1" t="s">
        <v>587</v>
      </c>
      <c r="O126" s="1" t="s">
        <v>586</v>
      </c>
    </row>
    <row r="127" spans="1:15" x14ac:dyDescent="0.25">
      <c r="A127" t="str">
        <f>_xlfn.XLOOKUP(B127, [1]EFAY!$B:$B,[1]EFAY!$A:$A)</f>
        <v>5712-416813PW9-WHT</v>
      </c>
      <c r="B127" s="3" t="s">
        <v>93</v>
      </c>
      <c r="C127" t="s">
        <v>1089</v>
      </c>
      <c r="D127" t="str">
        <f>_xlfn.XLOOKUP(B127, [1]EFAY!$B:$B,[1]EFAY!$D:$D)</f>
        <v>13"  ROUND MARBLE FOOTED PLATTER (PURE WHITE CARRARA)</v>
      </c>
      <c r="E127" t="str">
        <f>_xlfn.XLOOKUP(B127, [1]EFAY!$B:$B,[1]EFAY!$E:$E)</f>
        <v>NO TAG</v>
      </c>
      <c r="G127" t="s">
        <v>1094</v>
      </c>
      <c r="H127">
        <f>_xlfn.XLOOKUP(B127, [1]EFAY!$B:$B,[1]EFAY!$H:$H)</f>
        <v>21.58</v>
      </c>
      <c r="I127" t="str">
        <f>_xlfn.XLOOKUP(B127, [1]EFAY!$B:$B,[1]EFAY!$I:$I)</f>
        <v>JS-Janitorial and Stewarding</v>
      </c>
      <c r="J127" t="str">
        <f>_xlfn.XLOOKUP(B127, [1]EFAY!$B:$B,[1]EFAY!$J:$J)</f>
        <v>SVW-Serveware</v>
      </c>
      <c r="K127" t="str">
        <f>_xlfn.XLOOKUP(B127, [1]EFAY!$B:$B,[1]EFAY!$K:$K)</f>
        <v>BBC-Bread Boards/Charcuterie Boards</v>
      </c>
      <c r="L127" t="str">
        <f>_xlfn.XLOOKUP(B127, [1]EFAY!$B:$B,[1]EFAY!$L:$L)</f>
        <v>Marble 13" Round Footed Platter Pure White Carrara</v>
      </c>
      <c r="M127" s="3" t="s">
        <v>593</v>
      </c>
      <c r="N127" s="1" t="s">
        <v>592</v>
      </c>
      <c r="O127" s="1" t="s">
        <v>591</v>
      </c>
    </row>
    <row r="128" spans="1:15" x14ac:dyDescent="0.25">
      <c r="A128" t="str">
        <f>_xlfn.XLOOKUP(B128, [1]EFAY!$B:$B,[1]EFAY!$A:$A)</f>
        <v>5712-MINI-520310BK</v>
      </c>
      <c r="B128" s="3" t="s">
        <v>596</v>
      </c>
      <c r="C128" t="s">
        <v>1089</v>
      </c>
      <c r="D128" t="str">
        <f>_xlfn.XLOOKUP(B128, [1]EFAY!$B:$B,[1]EFAY!$D:$D)</f>
        <v>L:32xw:16.2xht:2cm, MELAMINE "LITTLE CHEF" 10" RECT GRILL PAN W/2 HDLE, BLACK</v>
      </c>
      <c r="E128" t="str">
        <f>_xlfn.XLOOKUP(B128, [1]EFAY!$B:$B,[1]EFAY!$E:$E)</f>
        <v>NO TAG</v>
      </c>
      <c r="G128" t="s">
        <v>1094</v>
      </c>
      <c r="H128">
        <f>_xlfn.XLOOKUP(B128, [1]EFAY!$B:$B,[1]EFAY!$H:$H)</f>
        <v>9.1</v>
      </c>
      <c r="I128" t="str">
        <f>_xlfn.XLOOKUP(B128, [1]EFAY!$B:$B,[1]EFAY!$I:$I)</f>
        <v>JS-Janitorial and Stewarding</v>
      </c>
      <c r="J128" t="str">
        <f>_xlfn.XLOOKUP(B128, [1]EFAY!$B:$B,[1]EFAY!$J:$J)</f>
        <v>CW-Cookware</v>
      </c>
      <c r="K128" t="str">
        <f>_xlfn.XLOOKUP(B128, [1]EFAY!$B:$B,[1]EFAY!$K:$K)</f>
        <v>PN-Pans</v>
      </c>
      <c r="L128" t="str">
        <f>_xlfn.XLOOKUP(B128, [1]EFAY!$B:$B,[1]EFAY!$L:$L)</f>
        <v>Melamine 10" L32xW16.2xH2cm Rectangular Grill Pan Little Chef Black with 2 Handles</v>
      </c>
      <c r="M128" s="3" t="s">
        <v>597</v>
      </c>
      <c r="N128" s="1" t="s">
        <v>595</v>
      </c>
      <c r="O128" s="1" t="s">
        <v>594</v>
      </c>
    </row>
    <row r="129" spans="1:15" x14ac:dyDescent="0.25">
      <c r="A129" t="str">
        <f>_xlfn.XLOOKUP(B129, [1]EFAY!$B:$B,[1]EFAY!$A:$A)</f>
        <v>5712-BAK-407812-BK16</v>
      </c>
      <c r="B129" s="3" t="s">
        <v>602</v>
      </c>
      <c r="C129" t="s">
        <v>1089</v>
      </c>
      <c r="D129" t="str">
        <f>_xlfn.XLOOKUP(B129, [1]EFAY!$B:$B,[1]EFAY!$D:$D)</f>
        <v>L:32.5XW26cm, 1/2 SIZE MELAMINE BAKER-WRITING TRAY (BLACK W/WHITE WORDING)</v>
      </c>
      <c r="E129" t="str">
        <f>_xlfn.XLOOKUP(B129, [1]EFAY!$B:$B,[1]EFAY!$E:$E)</f>
        <v>NO TAG</v>
      </c>
      <c r="G129" t="s">
        <v>1094</v>
      </c>
      <c r="H129">
        <f>_xlfn.XLOOKUP(B129, [1]EFAY!$B:$B,[1]EFAY!$H:$H)</f>
        <v>11.31</v>
      </c>
      <c r="I129" t="str">
        <f>_xlfn.XLOOKUP(B129, [1]EFAY!$B:$B,[1]EFAY!$I:$I)</f>
        <v>JS-Janitorial and Stewarding</v>
      </c>
      <c r="J129" t="str">
        <f>_xlfn.XLOOKUP(B129, [1]EFAY!$B:$B,[1]EFAY!$J:$J)</f>
        <v>BW-Bakeware</v>
      </c>
      <c r="K129" t="str">
        <f>_xlfn.XLOOKUP(B129, [1]EFAY!$B:$B,[1]EFAY!$K:$K)</f>
        <v>BPT-Baking Pans &amp; Trays</v>
      </c>
      <c r="L129" t="str">
        <f>_xlfn.XLOOKUP(B129, [1]EFAY!$B:$B,[1]EFAY!$L:$L)</f>
        <v>Melamine L32.5xW26cm 1/2 Size Baking Tray Black with White Wording</v>
      </c>
      <c r="M129" s="3" t="s">
        <v>603</v>
      </c>
      <c r="N129" s="1" t="s">
        <v>601</v>
      </c>
      <c r="O129" s="1" t="s">
        <v>600</v>
      </c>
    </row>
    <row r="130" spans="1:15" x14ac:dyDescent="0.25">
      <c r="A130" t="str">
        <f>_xlfn.XLOOKUP(B130, [1]EFAY!$B:$B,[1]EFAY!$A:$A)</f>
        <v>5712-BAK-407813-BK16</v>
      </c>
      <c r="B130" s="3" t="s">
        <v>607</v>
      </c>
      <c r="C130" t="s">
        <v>1089</v>
      </c>
      <c r="D130" t="str">
        <f>_xlfn.XLOOKUP(B130, [1]EFAY!$B:$B,[1]EFAY!$D:$D)</f>
        <v>L:32XW17.5cm, 1/3 SIZE MELAMINE BAKER-WRITING TRAY (BLACK W/WHITE WORDING)</v>
      </c>
      <c r="E130" t="str">
        <f>_xlfn.XLOOKUP(B130, [1]EFAY!$B:$B,[1]EFAY!$E:$E)</f>
        <v>NO TAG</v>
      </c>
      <c r="G130" t="s">
        <v>1094</v>
      </c>
      <c r="H130">
        <f>_xlfn.XLOOKUP(B130, [1]EFAY!$B:$B,[1]EFAY!$H:$H)</f>
        <v>8.61</v>
      </c>
      <c r="I130" t="str">
        <f>_xlfn.XLOOKUP(B130, [1]EFAY!$B:$B,[1]EFAY!$I:$I)</f>
        <v>JS-Janitorial and Stewarding</v>
      </c>
      <c r="J130" t="str">
        <f>_xlfn.XLOOKUP(B130, [1]EFAY!$B:$B,[1]EFAY!$J:$J)</f>
        <v>BW-Bakeware</v>
      </c>
      <c r="K130" t="str">
        <f>_xlfn.XLOOKUP(B130, [1]EFAY!$B:$B,[1]EFAY!$K:$K)</f>
        <v>BPT-Baking Pans &amp; Trays</v>
      </c>
      <c r="L130" t="str">
        <f>_xlfn.XLOOKUP(B130, [1]EFAY!$B:$B,[1]EFAY!$L:$L)</f>
        <v>Melamine L32xW17.5cm 1/3 Size Baking Tray Black with White Wording</v>
      </c>
      <c r="M130" s="3" t="s">
        <v>608</v>
      </c>
      <c r="N130" s="1" t="s">
        <v>606</v>
      </c>
      <c r="O130" s="1" t="s">
        <v>605</v>
      </c>
    </row>
    <row r="131" spans="1:15" x14ac:dyDescent="0.25">
      <c r="A131" t="str">
        <f>_xlfn.XLOOKUP(B131, [1]EFAY!$B:$B,[1]EFAY!$A:$A)</f>
        <v>5712-ENAMEL-2213081WB</v>
      </c>
      <c r="B131" s="3">
        <v>2213081</v>
      </c>
      <c r="C131" t="s">
        <v>1089</v>
      </c>
      <c r="D131" t="str">
        <f>_xlfn.XLOOKUP(B131, [1]EFAY!$B:$B,[1]EFAY!$D:$D)</f>
        <v>20X14.5X4.2cm  "ENAMEL LOOK" RECT DEEP/SOUP PLATE (WHITE W/BLUE LINE)</v>
      </c>
      <c r="E131" t="str">
        <f>_xlfn.XLOOKUP(B131, [1]EFAY!$B:$B,[1]EFAY!$E:$E)</f>
        <v>NO TAG</v>
      </c>
      <c r="G131" t="s">
        <v>1094</v>
      </c>
      <c r="H131">
        <f>_xlfn.XLOOKUP(B131, [1]EFAY!$B:$B,[1]EFAY!$H:$H)</f>
        <v>3.13</v>
      </c>
      <c r="I131" t="str">
        <f>_xlfn.XLOOKUP(B131, [1]EFAY!$B:$B,[1]EFAY!$I:$I)</f>
        <v>JS-Janitorial and Stewarding</v>
      </c>
      <c r="J131" t="str">
        <f>_xlfn.XLOOKUP(B131, [1]EFAY!$B:$B,[1]EFAY!$J:$J)</f>
        <v>DWR-Dinnerware</v>
      </c>
      <c r="K131" t="str">
        <f>_xlfn.XLOOKUP(B131, [1]EFAY!$B:$B,[1]EFAY!$K:$K)</f>
        <v>BWL-Bowls</v>
      </c>
      <c r="L131" t="str">
        <f>_xlfn.XLOOKUP(B131, [1]EFAY!$B:$B,[1]EFAY!$L:$L)</f>
        <v>20x14.5x4.2cm Enamel Look White Rectangular Deep/Soup Plate with Blue Line</v>
      </c>
      <c r="M131" s="3" t="s">
        <v>611</v>
      </c>
      <c r="N131" s="1" t="s">
        <v>610</v>
      </c>
      <c r="O131" s="1" t="s">
        <v>609</v>
      </c>
    </row>
    <row r="132" spans="1:15" x14ac:dyDescent="0.25">
      <c r="A132" t="str">
        <f>_xlfn.XLOOKUP(B132, [1]EFAY!$B:$B,[1]EFAY!$A:$A)</f>
        <v>5712-ENAMEL-2212091WB</v>
      </c>
      <c r="B132" s="3">
        <v>2212091</v>
      </c>
      <c r="C132" t="s">
        <v>1089</v>
      </c>
      <c r="D132" t="str">
        <f>_xlfn.XLOOKUP(B132, [1]EFAY!$B:$B,[1]EFAY!$D:$D)</f>
        <v>23X17.6X4cm  "ENAMEL LOOK" RECT DEEP/SOUP PLATE (WHITE W/BLUE LINE)</v>
      </c>
      <c r="E132" t="str">
        <f>_xlfn.XLOOKUP(B132, [1]EFAY!$B:$B,[1]EFAY!$E:$E)</f>
        <v>NO TAG</v>
      </c>
      <c r="G132" t="s">
        <v>1094</v>
      </c>
      <c r="H132">
        <f>_xlfn.XLOOKUP(B132, [1]EFAY!$B:$B,[1]EFAY!$H:$H)</f>
        <v>3.98</v>
      </c>
      <c r="I132" t="str">
        <f>_xlfn.XLOOKUP(B132, [1]EFAY!$B:$B,[1]EFAY!$I:$I)</f>
        <v>JS-Janitorial and Stewarding</v>
      </c>
      <c r="J132" t="str">
        <f>_xlfn.XLOOKUP(B132, [1]EFAY!$B:$B,[1]EFAY!$J:$J)</f>
        <v>DWR-Dinnerware</v>
      </c>
      <c r="K132" t="str">
        <f>_xlfn.XLOOKUP(B132, [1]EFAY!$B:$B,[1]EFAY!$K:$K)</f>
        <v>BWL-Bowls</v>
      </c>
      <c r="L132" t="str">
        <f>_xlfn.XLOOKUP(B132, [1]EFAY!$B:$B,[1]EFAY!$L:$L)</f>
        <v>23x17.6x4cm Enamel Look White Rectangular Deep/Soup Plate with Blue Line</v>
      </c>
      <c r="M132" s="3" t="s">
        <v>614</v>
      </c>
      <c r="N132" s="1" t="s">
        <v>613</v>
      </c>
      <c r="O132" s="1" t="s">
        <v>612</v>
      </c>
    </row>
    <row r="133" spans="1:15" x14ac:dyDescent="0.25">
      <c r="A133" t="str">
        <f>_xlfn.XLOOKUP(B133, [1]EFAY!$B:$B,[1]EFAY!$A:$A)</f>
        <v>5712-BAG-219407</v>
      </c>
      <c r="B133" s="3">
        <v>219613</v>
      </c>
      <c r="C133" t="s">
        <v>1089</v>
      </c>
      <c r="D133" t="str">
        <f>_xlfn.XLOOKUP(B133, [1]EFAY!$B:$B,[1]EFAY!$D:$D)</f>
        <v>(WSL19)L:17.6XHT:15cm, RD CYLINDER CORK BAG/BASKET FOR BUFFET/DISPLAY (BEIGE)</v>
      </c>
      <c r="E133" t="str">
        <f>_xlfn.XLOOKUP(B133, [1]EFAY!$B:$B,[1]EFAY!$E:$E)</f>
        <v>WSL WITH STOCK</v>
      </c>
      <c r="G133" t="s">
        <v>1094</v>
      </c>
      <c r="H133">
        <f>_xlfn.XLOOKUP(B133, [1]EFAY!$B:$B,[1]EFAY!$H:$H)</f>
        <v>11.49</v>
      </c>
      <c r="I133" t="str">
        <f>_xlfn.XLOOKUP(B133, [1]EFAY!$B:$B,[1]EFAY!$I:$I)</f>
        <v>JS-Janitorial and Stewarding</v>
      </c>
      <c r="J133" t="str">
        <f>_xlfn.XLOOKUP(B133, [1]EFAY!$B:$B,[1]EFAY!$J:$J)</f>
        <v>SS-Storage Solutions</v>
      </c>
      <c r="K133" t="str">
        <f>_xlfn.XLOOKUP(B133, [1]EFAY!$B:$B,[1]EFAY!$K:$K)</f>
        <v/>
      </c>
      <c r="L133" t="str">
        <f>_xlfn.XLOOKUP(B133, [1]EFAY!$B:$B,[1]EFAY!$L:$L)</f>
        <v>L17.6xH15cm Round Cylinder Cork Bag/Basket Beige for Buffet/Display</v>
      </c>
      <c r="M133" s="3" t="s">
        <v>617</v>
      </c>
      <c r="N133" s="1" t="s">
        <v>616</v>
      </c>
      <c r="O133" s="1" t="s">
        <v>615</v>
      </c>
    </row>
    <row r="134" spans="1:15" x14ac:dyDescent="0.25">
      <c r="A134" t="str">
        <f>_xlfn.XLOOKUP(B134, [1]EFAY!$B:$B,[1]EFAY!$A:$A)</f>
        <v>5712-ETS-5332BK1</v>
      </c>
      <c r="B134" s="3" t="s">
        <v>143</v>
      </c>
      <c r="C134" t="s">
        <v>1089</v>
      </c>
      <c r="D134" t="str">
        <f>_xlfn.XLOOKUP(B134, [1]EFAY!$B:$B,[1]EFAY!$D:$D)</f>
        <v>&lt;4170611&gt;#5332BK1 1/1 SIZE 'TAROKO' GRANTIE SLATE,BLACK MARBLE DECAL (535X325mm)</v>
      </c>
      <c r="E134" t="str">
        <f>_xlfn.XLOOKUP(B134, [1]EFAY!$B:$B,[1]EFAY!$E:$E)</f>
        <v>NO TAG</v>
      </c>
      <c r="G134" t="s">
        <v>1094</v>
      </c>
      <c r="H134">
        <f>_xlfn.XLOOKUP(B134, [1]EFAY!$B:$B,[1]EFAY!$H:$H)</f>
        <v>57.9</v>
      </c>
      <c r="I134" t="str">
        <f>_xlfn.XLOOKUP(B134, [1]EFAY!$B:$B,[1]EFAY!$I:$I)</f>
        <v>JS-Janitorial and Stewarding</v>
      </c>
      <c r="J134" t="str">
        <f>_xlfn.XLOOKUP(B134, [1]EFAY!$B:$B,[1]EFAY!$J:$J)</f>
        <v>TAL-Table Accessories &amp; Linens</v>
      </c>
      <c r="K134" t="str">
        <f>_xlfn.XLOOKUP(B134, [1]EFAY!$B:$B,[1]EFAY!$K:$K)</f>
        <v>DEC-Decorations</v>
      </c>
      <c r="L134" t="str">
        <f>_xlfn.XLOOKUP(B134, [1]EFAY!$B:$B,[1]EFAY!$L:$L)</f>
        <v>#5332BK1 1/1 Size 535x325mm Taroko Granite Slate Black Marble Decal</v>
      </c>
      <c r="M134" s="3" t="s">
        <v>622</v>
      </c>
      <c r="N134" s="1" t="s">
        <v>621</v>
      </c>
      <c r="O134" s="1" t="s">
        <v>620</v>
      </c>
    </row>
    <row r="135" spans="1:15" x14ac:dyDescent="0.25">
      <c r="A135" t="str">
        <f>_xlfn.XLOOKUP(B135, [1]EFAY!$B:$B,[1]EFAY!$A:$A)</f>
        <v>5712-ETS-3226BK1</v>
      </c>
      <c r="B135" s="3" t="s">
        <v>32</v>
      </c>
      <c r="C135" t="s">
        <v>1089</v>
      </c>
      <c r="D135" t="str">
        <f>_xlfn.XLOOKUP(B135, [1]EFAY!$B:$B,[1]EFAY!$D:$D)</f>
        <v>&lt;4170612&gt;#3226BK1 1/2 SIZE 'TAROKO' GRANTIE SLATE,BLACK MARBLE DECAL (320X260mm)</v>
      </c>
      <c r="E135" t="str">
        <f>_xlfn.XLOOKUP(B135, [1]EFAY!$B:$B,[1]EFAY!$E:$E)</f>
        <v>NO TAG</v>
      </c>
      <c r="G135" t="s">
        <v>1094</v>
      </c>
      <c r="H135">
        <f>_xlfn.XLOOKUP(B135, [1]EFAY!$B:$B,[1]EFAY!$H:$H)</f>
        <v>30.45</v>
      </c>
      <c r="I135" t="str">
        <f>_xlfn.XLOOKUP(B135, [1]EFAY!$B:$B,[1]EFAY!$I:$I)</f>
        <v>JS-Janitorial and Stewarding</v>
      </c>
      <c r="J135" t="str">
        <f>_xlfn.XLOOKUP(B135, [1]EFAY!$B:$B,[1]EFAY!$J:$J)</f>
        <v>TAL-Table Accessories &amp; Linens</v>
      </c>
      <c r="K135" t="str">
        <f>_xlfn.XLOOKUP(B135, [1]EFAY!$B:$B,[1]EFAY!$K:$K)</f>
        <v>DEC-Decorations</v>
      </c>
      <c r="L135" t="str">
        <f>_xlfn.XLOOKUP(B135, [1]EFAY!$B:$B,[1]EFAY!$L:$L)</f>
        <v>#3226BK1 1/2 Size 320x260mm Taroko Granite Slate Black Marble Decal</v>
      </c>
      <c r="M135" s="3" t="s">
        <v>626</v>
      </c>
      <c r="N135" s="1" t="s">
        <v>625</v>
      </c>
      <c r="O135" s="1" t="s">
        <v>624</v>
      </c>
    </row>
    <row r="136" spans="1:15" x14ac:dyDescent="0.25">
      <c r="A136" t="str">
        <f>_xlfn.XLOOKUP(B136, [1]EFAY!$B:$B,[1]EFAY!$A:$A)</f>
        <v>5712-ETS-3217BK1</v>
      </c>
      <c r="B136" s="3" t="s">
        <v>46</v>
      </c>
      <c r="C136" t="s">
        <v>1089</v>
      </c>
      <c r="D136" t="str">
        <f>_xlfn.XLOOKUP(B136, [1]EFAY!$B:$B,[1]EFAY!$D:$D)</f>
        <v>&lt;4170613&gt;#3217BK1 1/3 SIZE 'TAROKO' GRANTIE SLATE,BLACK MARBLE DECAL (320X170mm)</v>
      </c>
      <c r="E136" t="str">
        <f>_xlfn.XLOOKUP(B136, [1]EFAY!$B:$B,[1]EFAY!$E:$E)</f>
        <v>NO TAG</v>
      </c>
      <c r="G136" t="s">
        <v>1094</v>
      </c>
      <c r="H136">
        <f>_xlfn.XLOOKUP(B136, [1]EFAY!$B:$B,[1]EFAY!$H:$H)</f>
        <v>19.239999999999998</v>
      </c>
      <c r="I136" t="str">
        <f>_xlfn.XLOOKUP(B136, [1]EFAY!$B:$B,[1]EFAY!$I:$I)</f>
        <v>JS-Janitorial and Stewarding</v>
      </c>
      <c r="J136" t="str">
        <f>_xlfn.XLOOKUP(B136, [1]EFAY!$B:$B,[1]EFAY!$J:$J)</f>
        <v>TAL-Table Accessories &amp; Linens</v>
      </c>
      <c r="K136" t="str">
        <f>_xlfn.XLOOKUP(B136, [1]EFAY!$B:$B,[1]EFAY!$K:$K)</f>
        <v>DEC-Decorations</v>
      </c>
      <c r="L136" t="str">
        <f>_xlfn.XLOOKUP(B136, [1]EFAY!$B:$B,[1]EFAY!$L:$L)</f>
        <v>#3217BK1 1/3 Size 320x170mm Taroko Granite Slate Black Marble Decal</v>
      </c>
      <c r="M136" s="3" t="s">
        <v>630</v>
      </c>
      <c r="N136" s="1" t="s">
        <v>629</v>
      </c>
      <c r="O136" s="1" t="s">
        <v>628</v>
      </c>
    </row>
    <row r="137" spans="1:15" x14ac:dyDescent="0.25">
      <c r="A137" t="str">
        <f>_xlfn.XLOOKUP(B137, [1]EFAY!$B:$B,[1]EFAY!$A:$A)</f>
        <v>5712-EXP-519803-BK</v>
      </c>
      <c r="B137" s="3" t="s">
        <v>633</v>
      </c>
      <c r="C137" t="s">
        <v>1089</v>
      </c>
      <c r="D137" t="str">
        <f>_xlfn.XLOOKUP(B137, [1]EFAY!$B:$B,[1]EFAY!$D:$D)</f>
        <v>W:3.5 X L:6.5cm, EXPLORER 2.5" MULTI ANGLE MENU SIGNAGE TAG (10 PCS/PKT)(BLACK) (SELL BY PKT)</v>
      </c>
      <c r="E137" t="str">
        <f>_xlfn.XLOOKUP(B137, [1]EFAY!$B:$B,[1]EFAY!$E:$E)</f>
        <v>NO TAG</v>
      </c>
      <c r="G137" t="s">
        <v>1094</v>
      </c>
      <c r="H137">
        <f>_xlfn.XLOOKUP(B137, [1]EFAY!$B:$B,[1]EFAY!$H:$H)</f>
        <v>1.2</v>
      </c>
      <c r="I137" t="str">
        <f>_xlfn.XLOOKUP(B137, [1]EFAY!$B:$B,[1]EFAY!$I:$I)</f>
        <v>JS-Janitorial and Stewarding</v>
      </c>
      <c r="J137" t="str">
        <f>_xlfn.XLOOKUP(B137, [1]EFAY!$B:$B,[1]EFAY!$J:$J)</f>
        <v>SM-Signage &amp; Miscellaneous</v>
      </c>
      <c r="K137" t="str">
        <f>_xlfn.XLOOKUP(B137, [1]EFAY!$B:$B,[1]EFAY!$K:$K)</f>
        <v>SGN-Signage</v>
      </c>
      <c r="L137" t="str">
        <f>_xlfn.XLOOKUP(B137, [1]EFAY!$B:$B,[1]EFAY!$L:$L)</f>
        <v>W3.5xL6.5cm Explorer 2.5" Multi Angle Menu Signage Tag Black</v>
      </c>
      <c r="M137" s="3" t="s">
        <v>634</v>
      </c>
      <c r="N137" s="1" t="s">
        <v>632</v>
      </c>
      <c r="O137" s="1" t="s">
        <v>631</v>
      </c>
    </row>
    <row r="138" spans="1:15" x14ac:dyDescent="0.25">
      <c r="A138" t="str">
        <f>_xlfn.XLOOKUP(B138, [1]EFAY!$B:$B,[1]EFAY!$A:$A)</f>
        <v>5712-ENAMEL-22051111WB</v>
      </c>
      <c r="B138" s="3">
        <v>2205111</v>
      </c>
      <c r="C138" t="s">
        <v>1089</v>
      </c>
      <c r="D138" t="str">
        <f>_xlfn.XLOOKUP(B138, [1]EFAY!$B:$B,[1]EFAY!$D:$D)</f>
        <v>27X20X4.2cm  "ENAMEL LOOK" RECT DEEP/SOUP PLATE(WHITE W/BLUE LINE)</v>
      </c>
      <c r="E138" t="str">
        <f>_xlfn.XLOOKUP(B138, [1]EFAY!$B:$B,[1]EFAY!$E:$E)</f>
        <v>NO TAG</v>
      </c>
      <c r="G138" t="s">
        <v>1094</v>
      </c>
      <c r="H138">
        <f>_xlfn.XLOOKUP(B138, [1]EFAY!$B:$B,[1]EFAY!$H:$H)</f>
        <v>6.23</v>
      </c>
      <c r="I138" t="str">
        <f>_xlfn.XLOOKUP(B138, [1]EFAY!$B:$B,[1]EFAY!$I:$I)</f>
        <v>JS-Janitorial and Stewarding</v>
      </c>
      <c r="J138" t="str">
        <f>_xlfn.XLOOKUP(B138, [1]EFAY!$B:$B,[1]EFAY!$J:$J)</f>
        <v>DWR-Dinnerware</v>
      </c>
      <c r="K138" t="str">
        <f>_xlfn.XLOOKUP(B138, [1]EFAY!$B:$B,[1]EFAY!$K:$K)</f>
        <v>BWL-Bowls</v>
      </c>
      <c r="L138" t="str">
        <f>_xlfn.XLOOKUP(B138, [1]EFAY!$B:$B,[1]EFAY!$L:$L)</f>
        <v>27x20x4.2cm Enamel Look White Rectangular Deep/Soup Plate with Blue Line</v>
      </c>
      <c r="M138" s="3" t="s">
        <v>638</v>
      </c>
      <c r="N138" s="1" t="s">
        <v>637</v>
      </c>
      <c r="O138" s="1" t="s">
        <v>636</v>
      </c>
    </row>
    <row r="139" spans="1:15" x14ac:dyDescent="0.25">
      <c r="A139" t="str">
        <f>_xlfn.XLOOKUP(B139, [1]EFAY!$B:$B,[1]EFAY!$A:$A)</f>
        <v>5712-EDP-1165AIV</v>
      </c>
      <c r="B139" s="3" t="s">
        <v>121</v>
      </c>
      <c r="C139" t="s">
        <v>1089</v>
      </c>
      <c r="D139" t="str">
        <f>_xlfn.XLOOKUP(B139, [1]EFAY!$B:$B,[1]EFAY!$D:$D)</f>
        <v>(WSL19)&lt;4171903&gt;#1165 1/1 x 65mm/2'' MELAMINE GN FOOD INSERT PAN (IVORY)</v>
      </c>
      <c r="E139" t="str">
        <f>_xlfn.XLOOKUP(B139, [1]EFAY!$B:$B,[1]EFAY!$E:$E)</f>
        <v>WSL WITH STOCK</v>
      </c>
      <c r="G139" t="s">
        <v>1094</v>
      </c>
      <c r="H139">
        <f>_xlfn.XLOOKUP(B139, [1]EFAY!$B:$B,[1]EFAY!$H:$H)</f>
        <v>37.65</v>
      </c>
      <c r="I139" t="str">
        <f>_xlfn.XLOOKUP(B139, [1]EFAY!$B:$B,[1]EFAY!$I:$I)</f>
        <v>JS-Janitorial and Stewarding</v>
      </c>
      <c r="J139" t="str">
        <f>_xlfn.XLOOKUP(B139, [1]EFAY!$B:$B,[1]EFAY!$J:$J)</f>
        <v>SS-Storage Solutions</v>
      </c>
      <c r="K139" t="str">
        <f>_xlfn.XLOOKUP(B139, [1]EFAY!$B:$B,[1]EFAY!$K:$K)</f>
        <v>FP-Food Pans</v>
      </c>
      <c r="L139" t="str">
        <f>_xlfn.XLOOKUP(B139, [1]EFAY!$B:$B,[1]EFAY!$L:$L)</f>
        <v>#1165 Melamine 1/1x65mm/2" GN Food Insert Pan Ivory</v>
      </c>
      <c r="M139" s="3" t="s">
        <v>642</v>
      </c>
      <c r="N139" s="1" t="s">
        <v>641</v>
      </c>
      <c r="O139" s="1" t="s">
        <v>640</v>
      </c>
    </row>
    <row r="140" spans="1:15" x14ac:dyDescent="0.25">
      <c r="A140" t="str">
        <f>_xlfn.XLOOKUP(B140, [1]EFAY!$B:$B,[1]EFAY!$A:$A)</f>
        <v>5712-EDP-2365AIV</v>
      </c>
      <c r="B140" s="3" t="s">
        <v>645</v>
      </c>
      <c r="C140" t="s">
        <v>1089</v>
      </c>
      <c r="D140" t="str">
        <f>_xlfn.XLOOKUP(B140, [1]EFAY!$B:$B,[1]EFAY!$D:$D)</f>
        <v>(WSL19)&lt;4172401&gt; #2365 2/3 x 65mm/2'' MELAMINE GN FOOD INSERT PAN (IVORY)</v>
      </c>
      <c r="E140" t="str">
        <f>_xlfn.XLOOKUP(B140, [1]EFAY!$B:$B,[1]EFAY!$E:$E)</f>
        <v>WSL WITH STOCK</v>
      </c>
      <c r="G140" t="s">
        <v>1094</v>
      </c>
      <c r="H140">
        <f>_xlfn.XLOOKUP(B140, [1]EFAY!$B:$B,[1]EFAY!$H:$H)</f>
        <v>33.43</v>
      </c>
      <c r="I140" t="str">
        <f>_xlfn.XLOOKUP(B140, [1]EFAY!$B:$B,[1]EFAY!$I:$I)</f>
        <v>JS-Janitorial and Stewarding</v>
      </c>
      <c r="J140" t="str">
        <f>_xlfn.XLOOKUP(B140, [1]EFAY!$B:$B,[1]EFAY!$J:$J)</f>
        <v>SS-Storage Solutions</v>
      </c>
      <c r="K140" t="str">
        <f>_xlfn.XLOOKUP(B140, [1]EFAY!$B:$B,[1]EFAY!$K:$K)</f>
        <v>FP-Food Pans</v>
      </c>
      <c r="L140" t="str">
        <f>_xlfn.XLOOKUP(B140, [1]EFAY!$B:$B,[1]EFAY!$L:$L)</f>
        <v>#2365 Melamine 2/3x65mm/2" GN Food Insert Pan Ivory</v>
      </c>
      <c r="M140" s="3" t="s">
        <v>646</v>
      </c>
      <c r="N140" s="1" t="s">
        <v>644</v>
      </c>
      <c r="O140" s="1" t="s">
        <v>643</v>
      </c>
    </row>
    <row r="141" spans="1:15" x14ac:dyDescent="0.25">
      <c r="A141" t="str">
        <f>_xlfn.XLOOKUP(B141, [1]EFAY!$B:$B,[1]EFAY!$A:$A)</f>
        <v>5712-EDP-1140AIV</v>
      </c>
      <c r="B141" s="3" t="s">
        <v>651</v>
      </c>
      <c r="C141" t="s">
        <v>1089</v>
      </c>
      <c r="D141" t="str">
        <f>_xlfn.XLOOKUP(B141, [1]EFAY!$B:$B,[1]EFAY!$D:$D)</f>
        <v>(WSL19)&lt;4171902&gt;#1140 1/1 x 40mm  MELAMINE GN FOOD INSERT PAN (IVORY)</v>
      </c>
      <c r="E141" t="str">
        <f>_xlfn.XLOOKUP(B141, [1]EFAY!$B:$B,[1]EFAY!$E:$E)</f>
        <v>WSL WITH STOCK</v>
      </c>
      <c r="G141" t="s">
        <v>1094</v>
      </c>
      <c r="H141">
        <f>_xlfn.XLOOKUP(B141, [1]EFAY!$B:$B,[1]EFAY!$H:$H)</f>
        <v>27.32</v>
      </c>
      <c r="I141" t="str">
        <f>_xlfn.XLOOKUP(B141, [1]EFAY!$B:$B,[1]EFAY!$I:$I)</f>
        <v>JS-Janitorial and Stewarding</v>
      </c>
      <c r="J141" t="str">
        <f>_xlfn.XLOOKUP(B141, [1]EFAY!$B:$B,[1]EFAY!$J:$J)</f>
        <v>SS-Storage Solutions</v>
      </c>
      <c r="K141" t="str">
        <f>_xlfn.XLOOKUP(B141, [1]EFAY!$B:$B,[1]EFAY!$K:$K)</f>
        <v>FP-Food Pans</v>
      </c>
      <c r="L141" t="str">
        <f>_xlfn.XLOOKUP(B141, [1]EFAY!$B:$B,[1]EFAY!$L:$L)</f>
        <v>#1140 Melamine 1/1 40mm GN Food Insert Pan Ivory</v>
      </c>
      <c r="M141" s="3" t="s">
        <v>652</v>
      </c>
      <c r="N141" s="1" t="s">
        <v>650</v>
      </c>
      <c r="O141" s="1" t="s">
        <v>649</v>
      </c>
    </row>
    <row r="142" spans="1:15" x14ac:dyDescent="0.25">
      <c r="A142" t="str">
        <f>_xlfn.XLOOKUP(B142, [1]EFAY!$B:$B,[1]EFAY!$A:$A)</f>
        <v>5712-EDP-1120AIV</v>
      </c>
      <c r="B142" s="3" t="s">
        <v>115</v>
      </c>
      <c r="C142" t="s">
        <v>1089</v>
      </c>
      <c r="D142" t="str">
        <f>_xlfn.XLOOKUP(B142, [1]EFAY!$B:$B,[1]EFAY!$D:$D)</f>
        <v>&lt;4171901&gt; #1120 1/1 x 20mm/1" MELAMINE GN FOOD INSERT PAN (IVORY)</v>
      </c>
      <c r="E142" t="str">
        <f>_xlfn.XLOOKUP(B142, [1]EFAY!$B:$B,[1]EFAY!$E:$E)</f>
        <v>NO TAG</v>
      </c>
      <c r="G142" t="s">
        <v>1094</v>
      </c>
      <c r="H142">
        <f>_xlfn.XLOOKUP(B142, [1]EFAY!$B:$B,[1]EFAY!$H:$H)</f>
        <v>19.41</v>
      </c>
      <c r="I142" t="str">
        <f>_xlfn.XLOOKUP(B142, [1]EFAY!$B:$B,[1]EFAY!$I:$I)</f>
        <v>JS-Janitorial and Stewarding</v>
      </c>
      <c r="J142" t="str">
        <f>_xlfn.XLOOKUP(B142, [1]EFAY!$B:$B,[1]EFAY!$J:$J)</f>
        <v>SS-Storage Solutions</v>
      </c>
      <c r="K142" t="str">
        <f>_xlfn.XLOOKUP(B142, [1]EFAY!$B:$B,[1]EFAY!$K:$K)</f>
        <v>FP-Food Pans</v>
      </c>
      <c r="L142" t="str">
        <f>_xlfn.XLOOKUP(B142, [1]EFAY!$B:$B,[1]EFAY!$L:$L)</f>
        <v>#1120 Melamine 1/1 20mm/1" GN Food Insert Pan Ivory</v>
      </c>
      <c r="M142" s="3" t="s">
        <v>656</v>
      </c>
      <c r="N142" s="1" t="s">
        <v>655</v>
      </c>
      <c r="O142" s="1" t="s">
        <v>654</v>
      </c>
    </row>
    <row r="143" spans="1:15" x14ac:dyDescent="0.25">
      <c r="A143" t="str">
        <f>_xlfn.XLOOKUP(B143, [1]EFAY!$B:$B,[1]EFAY!$A:$A)</f>
        <v>5712-EDP-11100EIV</v>
      </c>
      <c r="B143" s="3" t="s">
        <v>16</v>
      </c>
      <c r="C143" t="s">
        <v>1089</v>
      </c>
      <c r="D143" t="str">
        <f>_xlfn.XLOOKUP(B143, [1]EFAY!$B:$B,[1]EFAY!$D:$D)</f>
        <v>#11100EIV, 1/1 x 100mm/4'' "EUROPE STYLE"MELAMINE GN FOOD INSERT PAN (IVORY)</v>
      </c>
      <c r="E143" t="str">
        <f>_xlfn.XLOOKUP(B143, [1]EFAY!$B:$B,[1]EFAY!$E:$E)</f>
        <v>NO TAG</v>
      </c>
      <c r="G143" t="s">
        <v>1094</v>
      </c>
      <c r="H143">
        <f>_xlfn.XLOOKUP(B143, [1]EFAY!$B:$B,[1]EFAY!$H:$H)</f>
        <v>49</v>
      </c>
      <c r="I143" t="str">
        <f>_xlfn.XLOOKUP(B143, [1]EFAY!$B:$B,[1]EFAY!$I:$I)</f>
        <v>JS-Janitorial and Stewarding</v>
      </c>
      <c r="J143" t="str">
        <f>_xlfn.XLOOKUP(B143, [1]EFAY!$B:$B,[1]EFAY!$J:$J)</f>
        <v>SS-Storage Solutions</v>
      </c>
      <c r="K143" t="str">
        <f>_xlfn.XLOOKUP(B143, [1]EFAY!$B:$B,[1]EFAY!$K:$K)</f>
        <v>FP-Food Pans</v>
      </c>
      <c r="L143" t="str">
        <f>_xlfn.XLOOKUP(B143, [1]EFAY!$B:$B,[1]EFAY!$L:$L)</f>
        <v>#11100EIV 1/1x100mm/4" Europe Style Melamine GN Food Insert Pan Ivory</v>
      </c>
      <c r="M143" s="3" t="s">
        <v>659</v>
      </c>
      <c r="N143" s="1" t="s">
        <v>658</v>
      </c>
      <c r="O143" s="1" t="s">
        <v>657</v>
      </c>
    </row>
    <row r="144" spans="1:15" x14ac:dyDescent="0.25">
      <c r="A144" t="str">
        <f>_xlfn.XLOOKUP(B144, [1]EFAY!$B:$B,[1]EFAY!$A:$A)</f>
        <v>5712-EDP-1265AIV</v>
      </c>
      <c r="B144" s="3" t="s">
        <v>664</v>
      </c>
      <c r="C144" t="s">
        <v>1089</v>
      </c>
      <c r="D144" t="str">
        <f>_xlfn.XLOOKUP(B144, [1]EFAY!$B:$B,[1]EFAY!$D:$D)</f>
        <v>&lt;4172003&gt;#1265 1/2 x 65mm/2.5" MELAMINE GN FOOD INSERT PAN (IVORY)</v>
      </c>
      <c r="E144" t="str">
        <f>_xlfn.XLOOKUP(B144, [1]EFAY!$B:$B,[1]EFAY!$E:$E)</f>
        <v>NO TAG</v>
      </c>
      <c r="G144" t="s">
        <v>1094</v>
      </c>
      <c r="H144">
        <f>_xlfn.XLOOKUP(B144, [1]EFAY!$B:$B,[1]EFAY!$H:$H)</f>
        <v>20.13</v>
      </c>
      <c r="I144" t="str">
        <f>_xlfn.XLOOKUP(B144, [1]EFAY!$B:$B,[1]EFAY!$I:$I)</f>
        <v>JS-Janitorial and Stewarding</v>
      </c>
      <c r="J144" t="str">
        <f>_xlfn.XLOOKUP(B144, [1]EFAY!$B:$B,[1]EFAY!$J:$J)</f>
        <v>SS-Storage Solutions</v>
      </c>
      <c r="K144" t="str">
        <f>_xlfn.XLOOKUP(B144, [1]EFAY!$B:$B,[1]EFAY!$K:$K)</f>
        <v>FP-Food Pans</v>
      </c>
      <c r="L144" t="str">
        <f>_xlfn.XLOOKUP(B144, [1]EFAY!$B:$B,[1]EFAY!$L:$L)</f>
        <v>#1265  Melamine 1/2x65mm/2.5" GN Food Insert Pan Ivory</v>
      </c>
      <c r="M144" s="3" t="s">
        <v>665</v>
      </c>
      <c r="N144" s="1" t="s">
        <v>663</v>
      </c>
      <c r="O144" s="1" t="s">
        <v>662</v>
      </c>
    </row>
    <row r="145" spans="1:15" x14ac:dyDescent="0.25">
      <c r="A145" t="str">
        <f>_xlfn.XLOOKUP(B145, [1]EFAY!$B:$B,[1]EFAY!$A:$A)</f>
        <v>5712-EDP-1240AIV</v>
      </c>
      <c r="B145" s="3" t="s">
        <v>235</v>
      </c>
      <c r="C145" t="s">
        <v>1089</v>
      </c>
      <c r="D145" t="str">
        <f>_xlfn.XLOOKUP(B145, [1]EFAY!$B:$B,[1]EFAY!$D:$D)</f>
        <v>&lt;4172002&gt;#1240 1/2 x 40mm  MELAMINE GN FOOD INSERT PAN (IVORY)</v>
      </c>
      <c r="E145" t="str">
        <f>_xlfn.XLOOKUP(B145, [1]EFAY!$B:$B,[1]EFAY!$E:$E)</f>
        <v>NO TAG</v>
      </c>
      <c r="G145" t="s">
        <v>1094</v>
      </c>
      <c r="H145">
        <f>_xlfn.XLOOKUP(B145, [1]EFAY!$B:$B,[1]EFAY!$H:$H)</f>
        <v>17.97</v>
      </c>
      <c r="I145" t="str">
        <f>_xlfn.XLOOKUP(B145, [1]EFAY!$B:$B,[1]EFAY!$I:$I)</f>
        <v>JS-Janitorial and Stewarding</v>
      </c>
      <c r="J145" t="str">
        <f>_xlfn.XLOOKUP(B145, [1]EFAY!$B:$B,[1]EFAY!$J:$J)</f>
        <v>SS-Storage Solutions</v>
      </c>
      <c r="K145" t="str">
        <f>_xlfn.XLOOKUP(B145, [1]EFAY!$B:$B,[1]EFAY!$K:$K)</f>
        <v>FP-Food Pans</v>
      </c>
      <c r="L145" t="str">
        <f>_xlfn.XLOOKUP(B145, [1]EFAY!$B:$B,[1]EFAY!$L:$L)</f>
        <v>#1240 Melamine 1/2x40mm GN Food Insert Pan Ivory</v>
      </c>
      <c r="M145" s="3" t="s">
        <v>669</v>
      </c>
      <c r="N145" s="1" t="s">
        <v>668</v>
      </c>
      <c r="O145" s="1" t="s">
        <v>667</v>
      </c>
    </row>
    <row r="146" spans="1:15" x14ac:dyDescent="0.25">
      <c r="A146" t="str">
        <f>_xlfn.XLOOKUP(B146, [1]EFAY!$B:$B,[1]EFAY!$A:$A)</f>
        <v>5712-EDP-1220AIV</v>
      </c>
      <c r="B146" s="3" t="s">
        <v>236</v>
      </c>
      <c r="C146" t="s">
        <v>1089</v>
      </c>
      <c r="D146" t="str">
        <f>_xlfn.XLOOKUP(B146, [1]EFAY!$B:$B,[1]EFAY!$D:$D)</f>
        <v>&lt;4172001&gt;#1220 1/2 x 20mm/1" MELAMINE GN FOOD INSERT PAN (IVORY)</v>
      </c>
      <c r="E146" t="str">
        <f>_xlfn.XLOOKUP(B146, [1]EFAY!$B:$B,[1]EFAY!$E:$E)</f>
        <v>NO TAG</v>
      </c>
      <c r="G146" t="s">
        <v>1094</v>
      </c>
      <c r="H146">
        <f>_xlfn.XLOOKUP(B146, [1]EFAY!$B:$B,[1]EFAY!$H:$H)</f>
        <v>10.1</v>
      </c>
      <c r="I146" t="str">
        <f>_xlfn.XLOOKUP(B146, [1]EFAY!$B:$B,[1]EFAY!$I:$I)</f>
        <v>JS-Janitorial and Stewarding</v>
      </c>
      <c r="J146" t="str">
        <f>_xlfn.XLOOKUP(B146, [1]EFAY!$B:$B,[1]EFAY!$J:$J)</f>
        <v>SS-Storage Solutions</v>
      </c>
      <c r="K146" t="str">
        <f>_xlfn.XLOOKUP(B146, [1]EFAY!$B:$B,[1]EFAY!$K:$K)</f>
        <v>FP-Food Pans</v>
      </c>
      <c r="L146" t="str">
        <f>_xlfn.XLOOKUP(B146, [1]EFAY!$B:$B,[1]EFAY!$L:$L)</f>
        <v>#1220 Melamine 1/2x20mm/1" GN Food Insert Pan Ivory</v>
      </c>
      <c r="M146" s="3" t="s">
        <v>673</v>
      </c>
      <c r="N146" s="1" t="s">
        <v>672</v>
      </c>
      <c r="O146" s="1" t="s">
        <v>671</v>
      </c>
    </row>
    <row r="147" spans="1:15" x14ac:dyDescent="0.25">
      <c r="A147" t="str">
        <f>_xlfn.XLOOKUP(B147, [1]EFAY!$B:$B,[1]EFAY!$A:$A)</f>
        <v>5712-EDP-12100AIV</v>
      </c>
      <c r="B147" s="3" t="s">
        <v>677</v>
      </c>
      <c r="C147" t="s">
        <v>1089</v>
      </c>
      <c r="D147" t="str">
        <f>_xlfn.XLOOKUP(B147, [1]EFAY!$B:$B,[1]EFAY!$D:$D)</f>
        <v>&lt;4172004&gt; #12100 1/2 x 100mm/4" MELAMINE GN FOOD INSERT PAN (IVORY)</v>
      </c>
      <c r="E147" t="str">
        <f>_xlfn.XLOOKUP(B147, [1]EFAY!$B:$B,[1]EFAY!$E:$E)</f>
        <v>NO TAG</v>
      </c>
      <c r="G147" t="s">
        <v>1094</v>
      </c>
      <c r="H147">
        <f>_xlfn.XLOOKUP(B147, [1]EFAY!$B:$B,[1]EFAY!$H:$H)</f>
        <v>23.96</v>
      </c>
      <c r="I147" t="str">
        <f>_xlfn.XLOOKUP(B147, [1]EFAY!$B:$B,[1]EFAY!$I:$I)</f>
        <v>JS-Janitorial and Stewarding</v>
      </c>
      <c r="J147" t="str">
        <f>_xlfn.XLOOKUP(B147, [1]EFAY!$B:$B,[1]EFAY!$J:$J)</f>
        <v>SS-Storage Solutions</v>
      </c>
      <c r="K147" t="str">
        <f>_xlfn.XLOOKUP(B147, [1]EFAY!$B:$B,[1]EFAY!$K:$K)</f>
        <v>FP-Food Pans</v>
      </c>
      <c r="L147" t="str">
        <f>_xlfn.XLOOKUP(B147, [1]EFAY!$B:$B,[1]EFAY!$L:$L)</f>
        <v>#12100 Melamine 1/2x100mm/4" GN Food Insert Pan Ivory</v>
      </c>
      <c r="M147" s="3" t="s">
        <v>678</v>
      </c>
      <c r="N147" s="1" t="s">
        <v>676</v>
      </c>
      <c r="O147" s="1" t="s">
        <v>675</v>
      </c>
    </row>
    <row r="148" spans="1:15" x14ac:dyDescent="0.25">
      <c r="A148" t="str">
        <f>_xlfn.XLOOKUP(B148, [1]EFAY!$B:$B,[1]EFAY!$A:$A)</f>
        <v>5712-EDP-2465AIV</v>
      </c>
      <c r="B148" s="3" t="s">
        <v>150</v>
      </c>
      <c r="C148" t="s">
        <v>1089</v>
      </c>
      <c r="D148" t="str">
        <f>_xlfn.XLOOKUP(B148, [1]EFAY!$B:$B,[1]EFAY!$D:$D)</f>
        <v>(ID-MOQ) &lt;4172502&gt; #2465 2/4x65mm/2" (525X160mm) MELAMINE GN FOOD INSERT PAN (IVORY)</v>
      </c>
      <c r="E148" t="str">
        <f>_xlfn.XLOOKUP(B148, [1]EFAY!$B:$B,[1]EFAY!$E:$E)</f>
        <v>ID NO STOCK</v>
      </c>
      <c r="G148" t="s">
        <v>1094</v>
      </c>
      <c r="H148">
        <f>_xlfn.XLOOKUP(B148, [1]EFAY!$B:$B,[1]EFAY!$H:$H)</f>
        <v>24.44</v>
      </c>
      <c r="I148" t="str">
        <f>_xlfn.XLOOKUP(B148, [1]EFAY!$B:$B,[1]EFAY!$I:$I)</f>
        <v>JS-Janitorial and Stewarding</v>
      </c>
      <c r="J148" t="str">
        <f>_xlfn.XLOOKUP(B148, [1]EFAY!$B:$B,[1]EFAY!$J:$J)</f>
        <v>SS-Storage Solutions</v>
      </c>
      <c r="K148" t="str">
        <f>_xlfn.XLOOKUP(B148, [1]EFAY!$B:$B,[1]EFAY!$K:$K)</f>
        <v>FP-Food Pans</v>
      </c>
      <c r="L148" t="str">
        <f>_xlfn.XLOOKUP(B148, [1]EFAY!$B:$B,[1]EFAY!$L:$L)</f>
        <v>#2465 Melamine 2/4x65mm 2" GN Food Insert Pan Ivory</v>
      </c>
      <c r="M148" s="3" t="s">
        <v>681</v>
      </c>
      <c r="N148" s="1" t="s">
        <v>680</v>
      </c>
      <c r="O148" s="1" t="s">
        <v>679</v>
      </c>
    </row>
    <row r="149" spans="1:15" x14ac:dyDescent="0.25">
      <c r="A149" t="str">
        <f>_xlfn.XLOOKUP(B149, [1]EFAY!$B:$B,[1]EFAY!$A:$A)</f>
        <v>5712-EDP-1465AIV</v>
      </c>
      <c r="B149" s="3" t="s">
        <v>132</v>
      </c>
      <c r="C149" t="s">
        <v>1089</v>
      </c>
      <c r="D149" t="str">
        <f>_xlfn.XLOOKUP(B149, [1]EFAY!$B:$B,[1]EFAY!$D:$D)</f>
        <v>&lt;4172201&gt; #1465 1/4 x 65mm/2" MELAMINE GN FOOD INSERT PAN (IVORY)</v>
      </c>
      <c r="E149" t="str">
        <f>_xlfn.XLOOKUP(B149, [1]EFAY!$B:$B,[1]EFAY!$E:$E)</f>
        <v>NO TAG</v>
      </c>
      <c r="G149" t="s">
        <v>1094</v>
      </c>
      <c r="H149">
        <f>_xlfn.XLOOKUP(B149, [1]EFAY!$B:$B,[1]EFAY!$H:$H)</f>
        <v>16.53</v>
      </c>
      <c r="I149" t="str">
        <f>_xlfn.XLOOKUP(B149, [1]EFAY!$B:$B,[1]EFAY!$I:$I)</f>
        <v>JS-Janitorial and Stewarding</v>
      </c>
      <c r="J149" t="str">
        <f>_xlfn.XLOOKUP(B149, [1]EFAY!$B:$B,[1]EFAY!$J:$J)</f>
        <v>SS-Storage Solutions</v>
      </c>
      <c r="K149" t="str">
        <f>_xlfn.XLOOKUP(B149, [1]EFAY!$B:$B,[1]EFAY!$K:$K)</f>
        <v>FP-Food Pans</v>
      </c>
      <c r="L149" t="str">
        <f>_xlfn.XLOOKUP(B149, [1]EFAY!$B:$B,[1]EFAY!$L:$L)</f>
        <v>#1465 Melamine 1/4x65mm/2" GN Food Insert Pan Ivory</v>
      </c>
      <c r="M149" s="3" t="s">
        <v>685</v>
      </c>
      <c r="N149" s="1" t="s">
        <v>684</v>
      </c>
      <c r="O149" s="1" t="s">
        <v>683</v>
      </c>
    </row>
    <row r="150" spans="1:15" x14ac:dyDescent="0.25">
      <c r="A150" t="str">
        <f>_xlfn.XLOOKUP(B150, [1]EFAY!$B:$B,[1]EFAY!$A:$A)</f>
        <v>5712-EDP-1665AIV</v>
      </c>
      <c r="B150" s="3" t="s">
        <v>165</v>
      </c>
      <c r="C150" t="s">
        <v>1089</v>
      </c>
      <c r="D150" t="str">
        <f>_xlfn.XLOOKUP(B150, [1]EFAY!$B:$B,[1]EFAY!$D:$D)</f>
        <v>(WSL19)&lt;4172301&gt;#1665 1/6 x 65mm/2'' MELAMINE GN FOOD INSERT PAN (IVORY)</v>
      </c>
      <c r="E150" t="str">
        <f>_xlfn.XLOOKUP(B150, [1]EFAY!$B:$B,[1]EFAY!$E:$E)</f>
        <v>WSL WITH STOCK</v>
      </c>
      <c r="G150" t="s">
        <v>1094</v>
      </c>
      <c r="H150">
        <f>_xlfn.XLOOKUP(B150, [1]EFAY!$B:$B,[1]EFAY!$H:$H)</f>
        <v>11.14</v>
      </c>
      <c r="I150" t="str">
        <f>_xlfn.XLOOKUP(B150, [1]EFAY!$B:$B,[1]EFAY!$I:$I)</f>
        <v>JS-Janitorial and Stewarding</v>
      </c>
      <c r="J150" t="str">
        <f>_xlfn.XLOOKUP(B150, [1]EFAY!$B:$B,[1]EFAY!$J:$J)</f>
        <v>SS-Storage Solutions</v>
      </c>
      <c r="K150" t="str">
        <f>_xlfn.XLOOKUP(B150, [1]EFAY!$B:$B,[1]EFAY!$K:$K)</f>
        <v>FP-Food Pans</v>
      </c>
      <c r="L150" t="str">
        <f>_xlfn.XLOOKUP(B150, [1]EFAY!$B:$B,[1]EFAY!$L:$L)</f>
        <v>#1665 Melamine 1/6x65mm/2" GN Food Insert Pan Ivory</v>
      </c>
      <c r="M150" s="3" t="s">
        <v>689</v>
      </c>
      <c r="N150" s="1" t="s">
        <v>688</v>
      </c>
      <c r="O150" s="1" t="s">
        <v>687</v>
      </c>
    </row>
    <row r="151" spans="1:15" x14ac:dyDescent="0.25">
      <c r="A151" t="str">
        <f>_xlfn.XLOOKUP(B151, [1]EFAY!$B:$B,[1]EFAY!$A:$A)</f>
        <v>5712-EDP-2420AIV</v>
      </c>
      <c r="B151" s="3" t="s">
        <v>234</v>
      </c>
      <c r="C151" t="s">
        <v>1089</v>
      </c>
      <c r="D151" t="str">
        <f>_xlfn.XLOOKUP(B151, [1]EFAY!$B:$B,[1]EFAY!$D:$D)</f>
        <v>&lt;4172501&gt; #2420 2/4x20mm/1" (525X160mm) MELAMINE GN FOOD INSERT PAN (IVORY)</v>
      </c>
      <c r="E151" t="str">
        <f>_xlfn.XLOOKUP(B151, [1]EFAY!$B:$B,[1]EFAY!$E:$E)</f>
        <v>NO TAG</v>
      </c>
      <c r="G151" t="s">
        <v>1094</v>
      </c>
      <c r="H151">
        <f>_xlfn.XLOOKUP(B151, [1]EFAY!$B:$B,[1]EFAY!$H:$H)</f>
        <v>14.74</v>
      </c>
      <c r="I151" t="str">
        <f>_xlfn.XLOOKUP(B151, [1]EFAY!$B:$B,[1]EFAY!$I:$I)</f>
        <v>JS-Janitorial and Stewarding</v>
      </c>
      <c r="J151" t="str">
        <f>_xlfn.XLOOKUP(B151, [1]EFAY!$B:$B,[1]EFAY!$J:$J)</f>
        <v>SS-Storage Solutions</v>
      </c>
      <c r="K151" t="str">
        <f>_xlfn.XLOOKUP(B151, [1]EFAY!$B:$B,[1]EFAY!$K:$K)</f>
        <v>FP-Food Pans</v>
      </c>
      <c r="L151" t="str">
        <f>_xlfn.XLOOKUP(B151, [1]EFAY!$B:$B,[1]EFAY!$L:$L)</f>
        <v>#2420 Melamine 2/4x20mm/1" 525x160mm GN Food Insert Pan Ivory</v>
      </c>
      <c r="M151" s="3" t="s">
        <v>693</v>
      </c>
      <c r="N151" s="1" t="s">
        <v>692</v>
      </c>
      <c r="O151" s="1" t="s">
        <v>691</v>
      </c>
    </row>
    <row r="152" spans="1:15" x14ac:dyDescent="0.25">
      <c r="A152" t="str">
        <f>_xlfn.XLOOKUP(B152, [1]EFAY!$B:$B,[1]EFAY!$A:$A)</f>
        <v>5712-EDP-16100AIV</v>
      </c>
      <c r="B152" s="3" t="s">
        <v>117</v>
      </c>
      <c r="C152" t="s">
        <v>1089</v>
      </c>
      <c r="D152" t="str">
        <f>_xlfn.XLOOKUP(B152, [1]EFAY!$B:$B,[1]EFAY!$D:$D)</f>
        <v>&lt;4172302&gt; #16100 1/6 x 100mm/4" MELAMINE GN FOOD INSERT PAN (IVORY)</v>
      </c>
      <c r="E152" t="str">
        <f>_xlfn.XLOOKUP(B152, [1]EFAY!$B:$B,[1]EFAY!$E:$E)</f>
        <v>NO TAG</v>
      </c>
      <c r="G152" t="s">
        <v>1094</v>
      </c>
      <c r="H152">
        <f>_xlfn.XLOOKUP(B152, [1]EFAY!$B:$B,[1]EFAY!$H:$H)</f>
        <v>13.66</v>
      </c>
      <c r="I152" t="str">
        <f>_xlfn.XLOOKUP(B152, [1]EFAY!$B:$B,[1]EFAY!$I:$I)</f>
        <v>JS-Janitorial and Stewarding</v>
      </c>
      <c r="J152" t="str">
        <f>_xlfn.XLOOKUP(B152, [1]EFAY!$B:$B,[1]EFAY!$J:$J)</f>
        <v>SS-Storage Solutions</v>
      </c>
      <c r="K152" t="str">
        <f>_xlfn.XLOOKUP(B152, [1]EFAY!$B:$B,[1]EFAY!$K:$K)</f>
        <v>FP-Food Pans</v>
      </c>
      <c r="L152" t="str">
        <f>_xlfn.XLOOKUP(B152, [1]EFAY!$B:$B,[1]EFAY!$L:$L)</f>
        <v>#16100 Melamine 1/6x100mm/4" GN Food Insert Pan Ivory</v>
      </c>
      <c r="M152" s="3" t="s">
        <v>698</v>
      </c>
      <c r="N152" s="1" t="s">
        <v>697</v>
      </c>
      <c r="O152" s="1" t="s">
        <v>696</v>
      </c>
    </row>
    <row r="153" spans="1:15" x14ac:dyDescent="0.25">
      <c r="A153" t="str">
        <f>_xlfn.XLOOKUP(B153, [1]EFAY!$B:$B,[1]EFAY!$A:$A)</f>
        <v>5712-EDP-1365AIV</v>
      </c>
      <c r="B153" s="3" t="s">
        <v>131</v>
      </c>
      <c r="C153" t="s">
        <v>1089</v>
      </c>
      <c r="D153" t="str">
        <f>_xlfn.XLOOKUP(B153, [1]EFAY!$B:$B,[1]EFAY!$D:$D)</f>
        <v>&lt;4172101&gt;#1365 1/3 x 65mm/2" MELAMINE GN FOOD INSERT PAN (IVORY)</v>
      </c>
      <c r="E153" t="str">
        <f>_xlfn.XLOOKUP(B153, [1]EFAY!$B:$B,[1]EFAY!$E:$E)</f>
        <v>NO TAG</v>
      </c>
      <c r="G153" t="s">
        <v>1094</v>
      </c>
      <c r="H153">
        <f>_xlfn.XLOOKUP(B153, [1]EFAY!$B:$B,[1]EFAY!$H:$H)</f>
        <v>14.74</v>
      </c>
      <c r="I153" t="str">
        <f>_xlfn.XLOOKUP(B153, [1]EFAY!$B:$B,[1]EFAY!$I:$I)</f>
        <v>JS-Janitorial and Stewarding</v>
      </c>
      <c r="J153" t="str">
        <f>_xlfn.XLOOKUP(B153, [1]EFAY!$B:$B,[1]EFAY!$J:$J)</f>
        <v>SS-Storage Solutions</v>
      </c>
      <c r="K153" t="str">
        <f>_xlfn.XLOOKUP(B153, [1]EFAY!$B:$B,[1]EFAY!$K:$K)</f>
        <v>FP-Food Pans</v>
      </c>
      <c r="L153" t="str">
        <f>_xlfn.XLOOKUP(B153, [1]EFAY!$B:$B,[1]EFAY!$L:$L)</f>
        <v>#1365 Melamine 1/3x65mm/2" GN Food Insert Pan Ivory</v>
      </c>
      <c r="M153" s="3" t="s">
        <v>702</v>
      </c>
      <c r="N153" s="1" t="s">
        <v>701</v>
      </c>
      <c r="O153" s="1" t="s">
        <v>700</v>
      </c>
    </row>
    <row r="154" spans="1:15" x14ac:dyDescent="0.25">
      <c r="A154" t="str">
        <f>_xlfn.XLOOKUP(B154, [1]EFAY!$B:$B,[1]EFAY!$A:$A)</f>
        <v>5712-EDP-13100AIV</v>
      </c>
      <c r="B154" s="3" t="s">
        <v>142</v>
      </c>
      <c r="C154" t="s">
        <v>1089</v>
      </c>
      <c r="D154" t="str">
        <f>_xlfn.XLOOKUP(B154, [1]EFAY!$B:$B,[1]EFAY!$D:$D)</f>
        <v>&lt;4172102&gt;#13100 1/3 x 100mm/4" MELAMINE GN FOOD INSERT PAN (IVORY)</v>
      </c>
      <c r="E154" t="str">
        <f>_xlfn.XLOOKUP(B154, [1]EFAY!$B:$B,[1]EFAY!$E:$E)</f>
        <v>NO TAG</v>
      </c>
      <c r="G154" t="s">
        <v>1094</v>
      </c>
      <c r="H154">
        <f>_xlfn.XLOOKUP(B154, [1]EFAY!$B:$B,[1]EFAY!$H:$H)</f>
        <v>19.41</v>
      </c>
      <c r="I154" t="str">
        <f>_xlfn.XLOOKUP(B154, [1]EFAY!$B:$B,[1]EFAY!$I:$I)</f>
        <v>JS-Janitorial and Stewarding</v>
      </c>
      <c r="J154" t="str">
        <f>_xlfn.XLOOKUP(B154, [1]EFAY!$B:$B,[1]EFAY!$J:$J)</f>
        <v>SS-Storage Solutions</v>
      </c>
      <c r="K154" t="str">
        <f>_xlfn.XLOOKUP(B154, [1]EFAY!$B:$B,[1]EFAY!$K:$K)</f>
        <v>FP-Food Pans</v>
      </c>
      <c r="L154" t="str">
        <f>_xlfn.XLOOKUP(B154, [1]EFAY!$B:$B,[1]EFAY!$L:$L)</f>
        <v>#13100 Melamine 1/3x100mm/4" GN Food Insert Pan Ivory</v>
      </c>
      <c r="M154" s="3" t="s">
        <v>706</v>
      </c>
      <c r="N154" s="1" t="s">
        <v>705</v>
      </c>
      <c r="O154" s="1" t="s">
        <v>704</v>
      </c>
    </row>
    <row r="155" spans="1:15" x14ac:dyDescent="0.25">
      <c r="A155" t="str">
        <f>_xlfn.XLOOKUP(B155, [1]EFAY!$B:$B,[1]EFAY!$A:$A)</f>
        <v>5712-WOOD-407212ER5</v>
      </c>
      <c r="B155" s="3" t="s">
        <v>256</v>
      </c>
      <c r="C155" t="s">
        <v>1089</v>
      </c>
      <c r="D155" t="str">
        <f>_xlfn.XLOOKUP(B155, [1]EFAY!$B:$B,[1]EFAY!$D:$D)</f>
        <v>#407212, L:30xW:5cm RECT. WOODY BAKER PASTRY TRAY</v>
      </c>
      <c r="E155" t="str">
        <f>_xlfn.XLOOKUP(B155, [1]EFAY!$B:$B,[1]EFAY!$E:$E)</f>
        <v>NO TAG</v>
      </c>
      <c r="G155" t="s">
        <v>1094</v>
      </c>
      <c r="H155">
        <f>_xlfn.XLOOKUP(B155, [1]EFAY!$B:$B,[1]EFAY!$H:$H)</f>
        <v>2.48</v>
      </c>
      <c r="I155" t="str">
        <f>_xlfn.XLOOKUP(B155, [1]EFAY!$B:$B,[1]EFAY!$I:$I)</f>
        <v>JS-Janitorial and Stewarding</v>
      </c>
      <c r="J155" t="str">
        <f>_xlfn.XLOOKUP(B155, [1]EFAY!$B:$B,[1]EFAY!$J:$J)</f>
        <v>BW-Bakeware</v>
      </c>
      <c r="K155" t="str">
        <f>_xlfn.XLOOKUP(B155, [1]EFAY!$B:$B,[1]EFAY!$K:$K)</f>
        <v>BPT-Baking Pans &amp; Trays</v>
      </c>
      <c r="L155" t="str">
        <f>_xlfn.XLOOKUP(B155, [1]EFAY!$B:$B,[1]EFAY!$L:$L)</f>
        <v>L30xW5cm Woody Baker Rectangular Pastry Tray</v>
      </c>
      <c r="M155" s="3" t="s">
        <v>709</v>
      </c>
      <c r="N155" s="1" t="s">
        <v>708</v>
      </c>
      <c r="O155" s="1" t="s">
        <v>707</v>
      </c>
    </row>
    <row r="156" spans="1:15" x14ac:dyDescent="0.25">
      <c r="A156" t="str">
        <f>_xlfn.XLOOKUP(B156, [1]EFAY!$B:$B,[1]EFAY!$A:$A)</f>
        <v>5712-WOOD-407312ER5</v>
      </c>
      <c r="B156" s="3" t="s">
        <v>224</v>
      </c>
      <c r="C156" t="s">
        <v>1089</v>
      </c>
      <c r="D156" t="str">
        <f>_xlfn.XLOOKUP(B156, [1]EFAY!$B:$B,[1]EFAY!$D:$D)</f>
        <v>#407312, L:30xW:10cm RECT. WOODY BAKER PASTRY TRAY</v>
      </c>
      <c r="E156" t="str">
        <f>_xlfn.XLOOKUP(B156, [1]EFAY!$B:$B,[1]EFAY!$E:$E)</f>
        <v>NO TAG</v>
      </c>
      <c r="G156" t="s">
        <v>1094</v>
      </c>
      <c r="H156">
        <f>_xlfn.XLOOKUP(B156, [1]EFAY!$B:$B,[1]EFAY!$H:$H)</f>
        <v>4.01</v>
      </c>
      <c r="I156" t="str">
        <f>_xlfn.XLOOKUP(B156, [1]EFAY!$B:$B,[1]EFAY!$I:$I)</f>
        <v>JS-Janitorial and Stewarding</v>
      </c>
      <c r="J156" t="str">
        <f>_xlfn.XLOOKUP(B156, [1]EFAY!$B:$B,[1]EFAY!$J:$J)</f>
        <v>BW-Bakeware</v>
      </c>
      <c r="K156" t="str">
        <f>_xlfn.XLOOKUP(B156, [1]EFAY!$B:$B,[1]EFAY!$K:$K)</f>
        <v>BPT-Baking Pans &amp; Trays</v>
      </c>
      <c r="L156" t="str">
        <f>_xlfn.XLOOKUP(B156, [1]EFAY!$B:$B,[1]EFAY!$L:$L)</f>
        <v>#407212 L30xW10cm Woody Baker Rectangular Pastry Tray</v>
      </c>
      <c r="M156" s="3" t="s">
        <v>713</v>
      </c>
      <c r="N156" s="1" t="s">
        <v>712</v>
      </c>
      <c r="O156" s="1" t="s">
        <v>711</v>
      </c>
    </row>
    <row r="157" spans="1:15" x14ac:dyDescent="0.25">
      <c r="A157" t="str">
        <f>_xlfn.XLOOKUP(B157, [1]EFAY!$B:$B,[1]EFAY!$A:$A)</f>
        <v>5712-IDS-R0603GR</v>
      </c>
      <c r="B157" s="3" t="s">
        <v>717</v>
      </c>
      <c r="C157" t="s">
        <v>1089</v>
      </c>
      <c r="D157" t="str">
        <f>_xlfn.XLOOKUP(B157, [1]EFAY!$B:$B,[1]EFAY!$D:$D)</f>
        <v>(*SPO18-POA)#920603GR ,3"HT 3D "DANCE" DISPLAY STAND (GREEN)</v>
      </c>
      <c r="E157" t="str">
        <f>_xlfn.XLOOKUP(B157, [1]EFAY!$B:$B,[1]EFAY!$E:$E)</f>
        <v>NO TAG</v>
      </c>
      <c r="G157" t="s">
        <v>1094</v>
      </c>
      <c r="H157">
        <f>_xlfn.XLOOKUP(B157, [1]EFAY!$B:$B,[1]EFAY!$H:$H)</f>
        <v>4.6500000000000004</v>
      </c>
      <c r="I157" t="str">
        <f>_xlfn.XLOOKUP(B157, [1]EFAY!$B:$B,[1]EFAY!$I:$I)</f>
        <v>JS-Janitorial and Stewarding</v>
      </c>
      <c r="J157" t="str">
        <f>_xlfn.XLOOKUP(B157, [1]EFAY!$B:$B,[1]EFAY!$J:$J)</f>
        <v>SVW-Serveware</v>
      </c>
      <c r="K157" t="str">
        <f>_xlfn.XLOOKUP(B157, [1]EFAY!$B:$B,[1]EFAY!$K:$K)</f>
        <v>DRA-Display Risers, Stands &amp; Accessories</v>
      </c>
      <c r="L157" t="str">
        <f>_xlfn.XLOOKUP(B157, [1]EFAY!$B:$B,[1]EFAY!$L:$L)</f>
        <v>#920603GR H3" 3D Dance Display Stand Green</v>
      </c>
      <c r="M157" s="3" t="s">
        <v>718</v>
      </c>
      <c r="N157" s="1" t="s">
        <v>716</v>
      </c>
      <c r="O157" s="1" t="s">
        <v>715</v>
      </c>
    </row>
    <row r="158" spans="1:15" x14ac:dyDescent="0.25">
      <c r="A158" t="str">
        <f>_xlfn.XLOOKUP(B158, [1]EFAY!$B:$B,[1]EFAY!$A:$A)</f>
        <v>5712-IDS-R0603BK</v>
      </c>
      <c r="B158" s="3" t="s">
        <v>723</v>
      </c>
      <c r="C158" t="s">
        <v>1089</v>
      </c>
      <c r="D158" t="str">
        <f>_xlfn.XLOOKUP(B158, [1]EFAY!$B:$B,[1]EFAY!$D:$D)</f>
        <v>(*SPO18-POA)#920603BK, 3"HT 3D "DANCE" DISPLAY STAND (BLACK)</v>
      </c>
      <c r="E158" t="str">
        <f>_xlfn.XLOOKUP(B158, [1]EFAY!$B:$B,[1]EFAY!$E:$E)</f>
        <v>NO TAG</v>
      </c>
      <c r="G158" t="s">
        <v>1094</v>
      </c>
      <c r="H158">
        <f>_xlfn.XLOOKUP(B158, [1]EFAY!$B:$B,[1]EFAY!$H:$H)</f>
        <v>4.6500000000000004</v>
      </c>
      <c r="I158" t="str">
        <f>_xlfn.XLOOKUP(B158, [1]EFAY!$B:$B,[1]EFAY!$I:$I)</f>
        <v>JS-Janitorial and Stewarding</v>
      </c>
      <c r="J158" t="str">
        <f>_xlfn.XLOOKUP(B158, [1]EFAY!$B:$B,[1]EFAY!$J:$J)</f>
        <v>SVW-Serveware</v>
      </c>
      <c r="K158" t="str">
        <f>_xlfn.XLOOKUP(B158, [1]EFAY!$B:$B,[1]EFAY!$K:$K)</f>
        <v>DRA-Display Risers, Stands &amp; Accessories</v>
      </c>
      <c r="L158" t="str">
        <f>_xlfn.XLOOKUP(B158, [1]EFAY!$B:$B,[1]EFAY!$L:$L)</f>
        <v>#920603BK H3" 3D "Dance" Display Stand Black</v>
      </c>
      <c r="M158" s="3" t="s">
        <v>724</v>
      </c>
      <c r="N158" s="1" t="s">
        <v>722</v>
      </c>
      <c r="O158" s="1" t="s">
        <v>721</v>
      </c>
    </row>
    <row r="159" spans="1:15" x14ac:dyDescent="0.25">
      <c r="A159" t="str">
        <f>_xlfn.XLOOKUP(B159, [1]EFAY!$B:$B,[1]EFAY!$A:$A)</f>
        <v>5712-IDS-R0602BK</v>
      </c>
      <c r="B159" s="3" t="s">
        <v>727</v>
      </c>
      <c r="C159" t="s">
        <v>1089</v>
      </c>
      <c r="D159" t="str">
        <f>_xlfn.XLOOKUP(B159, [1]EFAY!$B:$B,[1]EFAY!$D:$D)</f>
        <v>(*SPO18-POA)#920602BK, 2"HT 3D "DANCE" DISPLAY STAND (BLACK)</v>
      </c>
      <c r="E159" t="str">
        <f>_xlfn.XLOOKUP(B159, [1]EFAY!$B:$B,[1]EFAY!$E:$E)</f>
        <v>NO TAG</v>
      </c>
      <c r="G159" t="s">
        <v>1094</v>
      </c>
      <c r="H159">
        <f>_xlfn.XLOOKUP(B159, [1]EFAY!$B:$B,[1]EFAY!$H:$H)</f>
        <v>4.4400000000000004</v>
      </c>
      <c r="I159" t="str">
        <f>_xlfn.XLOOKUP(B159, [1]EFAY!$B:$B,[1]EFAY!$I:$I)</f>
        <v>JS-Janitorial and Stewarding</v>
      </c>
      <c r="J159" t="str">
        <f>_xlfn.XLOOKUP(B159, [1]EFAY!$B:$B,[1]EFAY!$J:$J)</f>
        <v>SVW-Serveware</v>
      </c>
      <c r="K159" t="str">
        <f>_xlfn.XLOOKUP(B159, [1]EFAY!$B:$B,[1]EFAY!$K:$K)</f>
        <v>DRA-Display Risers, Stands &amp; Accessories</v>
      </c>
      <c r="L159" t="str">
        <f>_xlfn.XLOOKUP(B159, [1]EFAY!$B:$B,[1]EFAY!$L:$L)</f>
        <v>#920602BK H2" 3D "Dance" Display Stand Black</v>
      </c>
      <c r="M159" s="3" t="s">
        <v>728</v>
      </c>
      <c r="N159" s="1" t="s">
        <v>726</v>
      </c>
      <c r="O159" s="1" t="s">
        <v>725</v>
      </c>
    </row>
    <row r="160" spans="1:15" x14ac:dyDescent="0.25">
      <c r="A160" t="str">
        <f>_xlfn.XLOOKUP(B160, [1]EFAY!$B:$B,[1]EFAY!$A:$A)</f>
        <v>5712-SLATE-407121BK</v>
      </c>
      <c r="B160" s="3" t="s">
        <v>14</v>
      </c>
      <c r="C160" t="s">
        <v>1089</v>
      </c>
      <c r="D160" t="str">
        <f>_xlfn.XLOOKUP(B160, [1]EFAY!$B:$B,[1]EFAY!$D:$D)</f>
        <v>(ID-MOQ) #407121, DIA:15"/L:21" MELAMINE SLATE BOARD (BLACK)</v>
      </c>
      <c r="E160" t="str">
        <f>_xlfn.XLOOKUP(B160, [1]EFAY!$B:$B,[1]EFAY!$E:$E)</f>
        <v>ID WITH STOCK</v>
      </c>
      <c r="G160" t="s">
        <v>1094</v>
      </c>
      <c r="H160">
        <f>_xlfn.XLOOKUP(B160, [1]EFAY!$B:$B,[1]EFAY!$H:$H)</f>
        <v>35.42</v>
      </c>
      <c r="I160" t="str">
        <f>_xlfn.XLOOKUP(B160, [1]EFAY!$B:$B,[1]EFAY!$I:$I)</f>
        <v>JS-Janitorial and Stewarding</v>
      </c>
      <c r="J160" t="str">
        <f>_xlfn.XLOOKUP(B160, [1]EFAY!$B:$B,[1]EFAY!$J:$J)</f>
        <v>SVW-Serveware</v>
      </c>
      <c r="K160" t="str">
        <f>_xlfn.XLOOKUP(B160, [1]EFAY!$B:$B,[1]EFAY!$K:$K)</f>
        <v>BBC-Bread Boards/Charcuterie Boards</v>
      </c>
      <c r="L160" t="str">
        <f>_xlfn.XLOOKUP(B160, [1]EFAY!$B:$B,[1]EFAY!$L:$L)</f>
        <v>#407121 Melamine Ø15xL21" Slate Board Black</v>
      </c>
      <c r="M160" s="3" t="s">
        <v>731</v>
      </c>
      <c r="N160" s="1" t="s">
        <v>730</v>
      </c>
      <c r="O160" s="1" t="s">
        <v>729</v>
      </c>
    </row>
    <row r="161" spans="1:15" x14ac:dyDescent="0.25">
      <c r="A161" t="str">
        <f>_xlfn.XLOOKUP(B161, [1]EFAY!$B:$B,[1]EFAY!$A:$A)</f>
        <v>5712-SLATE-407117BK</v>
      </c>
      <c r="B161" s="3" t="s">
        <v>13</v>
      </c>
      <c r="C161" t="s">
        <v>1089</v>
      </c>
      <c r="D161" t="str">
        <f>_xlfn.XLOOKUP(B161, [1]EFAY!$B:$B,[1]EFAY!$D:$D)</f>
        <v>(ID-MOQ) #407117, DIA 12"/L17" MELAMINE SLATE BOARD (BLACK)</v>
      </c>
      <c r="E161" t="str">
        <f>_xlfn.XLOOKUP(B161, [1]EFAY!$B:$B,[1]EFAY!$E:$E)</f>
        <v>ID NO STOCK</v>
      </c>
      <c r="G161" t="s">
        <v>1094</v>
      </c>
      <c r="H161">
        <f>_xlfn.XLOOKUP(B161, [1]EFAY!$B:$B,[1]EFAY!$H:$H)</f>
        <v>21.44</v>
      </c>
      <c r="I161" t="str">
        <f>_xlfn.XLOOKUP(B161, [1]EFAY!$B:$B,[1]EFAY!$I:$I)</f>
        <v>JS-Janitorial and Stewarding</v>
      </c>
      <c r="J161" t="str">
        <f>_xlfn.XLOOKUP(B161, [1]EFAY!$B:$B,[1]EFAY!$J:$J)</f>
        <v>SVW-Serveware</v>
      </c>
      <c r="K161" t="str">
        <f>_xlfn.XLOOKUP(B161, [1]EFAY!$B:$B,[1]EFAY!$K:$K)</f>
        <v>BBC-Bread Boards/Charcuterie Boards</v>
      </c>
      <c r="L161" t="str">
        <f>_xlfn.XLOOKUP(B161, [1]EFAY!$B:$B,[1]EFAY!$L:$L)</f>
        <v>#407117 Melamine Ø12"/L17" Slate Board Black</v>
      </c>
      <c r="M161" s="3" t="s">
        <v>734</v>
      </c>
      <c r="N161" s="1" t="s">
        <v>733</v>
      </c>
      <c r="O161" s="1" t="s">
        <v>732</v>
      </c>
    </row>
    <row r="162" spans="1:15" x14ac:dyDescent="0.25">
      <c r="A162" t="str">
        <f>_xlfn.XLOOKUP(B162, [1]EFAY!$B:$B,[1]EFAY!$A:$A)</f>
        <v>5712-SLATE-407113BK</v>
      </c>
      <c r="B162" s="3" t="s">
        <v>12</v>
      </c>
      <c r="C162" t="s">
        <v>1089</v>
      </c>
      <c r="D162" t="str">
        <f>_xlfn.XLOOKUP(B162, [1]EFAY!$B:$B,[1]EFAY!$D:$D)</f>
        <v>(ID-MOQ) #407113, DIA:9"/L:13" MELAMINE SLATE BOARD (BLACK)</v>
      </c>
      <c r="E162" t="str">
        <f>_xlfn.XLOOKUP(B162, [1]EFAY!$B:$B,[1]EFAY!$E:$E)</f>
        <v>ID NO STOCK</v>
      </c>
      <c r="G162" t="s">
        <v>1094</v>
      </c>
      <c r="H162">
        <f>_xlfn.XLOOKUP(B162, [1]EFAY!$B:$B,[1]EFAY!$H:$H)</f>
        <v>11.8</v>
      </c>
      <c r="I162" t="str">
        <f>_xlfn.XLOOKUP(B162, [1]EFAY!$B:$B,[1]EFAY!$I:$I)</f>
        <v>JS-Janitorial and Stewarding</v>
      </c>
      <c r="J162" t="str">
        <f>_xlfn.XLOOKUP(B162, [1]EFAY!$B:$B,[1]EFAY!$J:$J)</f>
        <v>SVW-Serveware</v>
      </c>
      <c r="K162" t="str">
        <f>_xlfn.XLOOKUP(B162, [1]EFAY!$B:$B,[1]EFAY!$K:$K)</f>
        <v>BBC-Bread Boards/Charcuterie Boards</v>
      </c>
      <c r="L162" t="str">
        <f>_xlfn.XLOOKUP(B162, [1]EFAY!$B:$B,[1]EFAY!$L:$L)</f>
        <v>#407113 Melamine Ø9xL13" Slate Board Black</v>
      </c>
      <c r="M162" s="3" t="s">
        <v>738</v>
      </c>
      <c r="N162" s="1" t="s">
        <v>737</v>
      </c>
      <c r="O162" s="1" t="s">
        <v>736</v>
      </c>
    </row>
    <row r="163" spans="1:15" x14ac:dyDescent="0.25">
      <c r="A163" t="str">
        <f>_xlfn.XLOOKUP(B163, [1]EFAY!$B:$B,[1]EFAY!$A:$A)</f>
        <v>5712-MINI-520605BK</v>
      </c>
      <c r="B163" s="3" t="s">
        <v>145</v>
      </c>
      <c r="C163" t="s">
        <v>1089</v>
      </c>
      <c r="D163" t="str">
        <f>_xlfn.XLOOKUP(B163, [1]EFAY!$B:$B,[1]EFAY!$D:$D)</f>
        <v>(D:12cm) MELAMINE "LITTLE CHEF" 5" MINI OVAL PAN W/2 HDLE (BLACK)</v>
      </c>
      <c r="E163" t="str">
        <f>_xlfn.XLOOKUP(B163, [1]EFAY!$B:$B,[1]EFAY!$E:$E)</f>
        <v>NO TAG</v>
      </c>
      <c r="G163" t="s">
        <v>1094</v>
      </c>
      <c r="H163">
        <f>_xlfn.XLOOKUP(B163, [1]EFAY!$B:$B,[1]EFAY!$H:$H)</f>
        <v>2.06</v>
      </c>
      <c r="I163" t="str">
        <f>_xlfn.XLOOKUP(B163, [1]EFAY!$B:$B,[1]EFAY!$I:$I)</f>
        <v>JS-Janitorial and Stewarding</v>
      </c>
      <c r="J163" t="str">
        <f>_xlfn.XLOOKUP(B163, [1]EFAY!$B:$B,[1]EFAY!$J:$J)</f>
        <v>CW-Cookware</v>
      </c>
      <c r="K163" t="str">
        <f>_xlfn.XLOOKUP(B163, [1]EFAY!$B:$B,[1]EFAY!$K:$K)</f>
        <v>PN-Pans</v>
      </c>
      <c r="L163" t="str">
        <f>_xlfn.XLOOKUP(B163, [1]EFAY!$B:$B,[1]EFAY!$L:$L)</f>
        <v>Melamine Ø12cm 5" "Little Chef" Mini Oval Pan Black with 2 Handles</v>
      </c>
      <c r="M163" s="3" t="s">
        <v>742</v>
      </c>
      <c r="N163" s="1" t="s">
        <v>741</v>
      </c>
      <c r="O163" s="1" t="s">
        <v>740</v>
      </c>
    </row>
    <row r="164" spans="1:15" x14ac:dyDescent="0.25">
      <c r="A164" t="str">
        <f>_xlfn.XLOOKUP(B164, [1]EFAY!$B:$B,[1]EFAY!$A:$A)</f>
        <v>5712-MINI-520406BK</v>
      </c>
      <c r="B164" s="3" t="s">
        <v>147</v>
      </c>
      <c r="C164" t="s">
        <v>1089</v>
      </c>
      <c r="D164" t="str">
        <f>_xlfn.XLOOKUP(B164, [1]EFAY!$B:$B,[1]EFAY!$D:$D)</f>
        <v>(D:14.5cm) MELAMINE "LITTLE CHEF" 6" MINI ROUND PAN W/2 HDLE (BLACK)</v>
      </c>
      <c r="E164" t="str">
        <f>_xlfn.XLOOKUP(B164, [1]EFAY!$B:$B,[1]EFAY!$E:$E)</f>
        <v>NO TAG</v>
      </c>
      <c r="G164" t="s">
        <v>1094</v>
      </c>
      <c r="H164">
        <f>_xlfn.XLOOKUP(B164, [1]EFAY!$B:$B,[1]EFAY!$H:$H)</f>
        <v>4.07</v>
      </c>
      <c r="I164" t="str">
        <f>_xlfn.XLOOKUP(B164, [1]EFAY!$B:$B,[1]EFAY!$I:$I)</f>
        <v>JS-Janitorial and Stewarding</v>
      </c>
      <c r="J164" t="str">
        <f>_xlfn.XLOOKUP(B164, [1]EFAY!$B:$B,[1]EFAY!$J:$J)</f>
        <v>BW-Bakeware</v>
      </c>
      <c r="K164" t="str">
        <f>_xlfn.XLOOKUP(B164, [1]EFAY!$B:$B,[1]EFAY!$K:$K)</f>
        <v>BPT-Baking Pans &amp; Trays</v>
      </c>
      <c r="L164" t="str">
        <f>_xlfn.XLOOKUP(B164, [1]EFAY!$B:$B,[1]EFAY!$L:$L)</f>
        <v>Melamine Ø14.5cm 6" "Little Chef" Mini Round Pan Black with 2 Handles</v>
      </c>
      <c r="M164" s="3" t="s">
        <v>746</v>
      </c>
      <c r="N164" s="1" t="s">
        <v>745</v>
      </c>
      <c r="O164" s="1" t="s">
        <v>744</v>
      </c>
    </row>
    <row r="165" spans="1:15" x14ac:dyDescent="0.25">
      <c r="A165" t="str">
        <f>_xlfn.XLOOKUP(B165, [1]EFAY!$B:$B,[1]EFAY!$A:$A)</f>
        <v>5712-MINI-520685BK</v>
      </c>
      <c r="B165" s="3" t="s">
        <v>151</v>
      </c>
      <c r="C165" t="s">
        <v>1089</v>
      </c>
      <c r="D165" t="str">
        <f>_xlfn.XLOOKUP(B165, [1]EFAY!$B:$B,[1]EFAY!$D:$D)</f>
        <v>(D:21cm) MELAMINE "LITTLE CHEF" 8" MINI OVAL PAN W/2 HDLE (BLACK)</v>
      </c>
      <c r="E165" t="str">
        <f>_xlfn.XLOOKUP(B165, [1]EFAY!$B:$B,[1]EFAY!$E:$E)</f>
        <v>NO TAG</v>
      </c>
      <c r="G165" t="s">
        <v>1094</v>
      </c>
      <c r="H165">
        <f>_xlfn.XLOOKUP(B165, [1]EFAY!$B:$B,[1]EFAY!$H:$H)</f>
        <v>5.43</v>
      </c>
      <c r="I165" t="str">
        <f>_xlfn.XLOOKUP(B165, [1]EFAY!$B:$B,[1]EFAY!$I:$I)</f>
        <v>JS-Janitorial and Stewarding</v>
      </c>
      <c r="J165" t="str">
        <f>_xlfn.XLOOKUP(B165, [1]EFAY!$B:$B,[1]EFAY!$J:$J)</f>
        <v>CW-Cookware</v>
      </c>
      <c r="K165" t="str">
        <f>_xlfn.XLOOKUP(B165, [1]EFAY!$B:$B,[1]EFAY!$K:$K)</f>
        <v>PN-Pans</v>
      </c>
      <c r="L165" t="str">
        <f>_xlfn.XLOOKUP(B165, [1]EFAY!$B:$B,[1]EFAY!$L:$L)</f>
        <v>Melamine Ø21cm 8" "Little Chef" Mini Oval Pan Black with 2 Handles</v>
      </c>
      <c r="M165" s="3" t="s">
        <v>750</v>
      </c>
      <c r="N165" s="1" t="s">
        <v>749</v>
      </c>
      <c r="O165" s="1" t="s">
        <v>748</v>
      </c>
    </row>
    <row r="166" spans="1:15" x14ac:dyDescent="0.25">
      <c r="A166" t="str">
        <f>_xlfn.XLOOKUP(B166, [1]EFAY!$B:$B,[1]EFAY!$A:$A)</f>
        <v>5712-MINI-520105BK</v>
      </c>
      <c r="B166" s="3" t="s">
        <v>94</v>
      </c>
      <c r="C166" t="s">
        <v>1089</v>
      </c>
      <c r="D166" t="str">
        <f>_xlfn.XLOOKUP(B166, [1]EFAY!$B:$B,[1]EFAY!$D:$D)</f>
        <v>(D:12.5x10.5cm) MELAMINE "LITTLE CHEF" 5" MINI RECT. PAN W/ONE HDLE (BLACK)</v>
      </c>
      <c r="E166" t="str">
        <f>_xlfn.XLOOKUP(B166, [1]EFAY!$B:$B,[1]EFAY!$E:$E)</f>
        <v>NO TAG</v>
      </c>
      <c r="G166" t="s">
        <v>1094</v>
      </c>
      <c r="H166">
        <f>_xlfn.XLOOKUP(B166, [1]EFAY!$B:$B,[1]EFAY!$H:$H)</f>
        <v>3.35</v>
      </c>
      <c r="I166" t="str">
        <f>_xlfn.XLOOKUP(B166, [1]EFAY!$B:$B,[1]EFAY!$I:$I)</f>
        <v>JS-Janitorial and Stewarding</v>
      </c>
      <c r="J166" t="str">
        <f>_xlfn.XLOOKUP(B166, [1]EFAY!$B:$B,[1]EFAY!$J:$J)</f>
        <v>BW-Bakeware</v>
      </c>
      <c r="K166" t="str">
        <f>_xlfn.XLOOKUP(B166, [1]EFAY!$B:$B,[1]EFAY!$K:$K)</f>
        <v>BPT-Baking Pans &amp; Trays</v>
      </c>
      <c r="L166" t="str">
        <f>_xlfn.XLOOKUP(B166, [1]EFAY!$B:$B,[1]EFAY!$L:$L)</f>
        <v>Melamine Ø12.5x10.5cm 5" "Little Chef" Mini Rectangular Pan Black with One Handle</v>
      </c>
      <c r="M166" s="3" t="s">
        <v>754</v>
      </c>
      <c r="N166" s="1" t="s">
        <v>753</v>
      </c>
      <c r="O166" s="1" t="s">
        <v>752</v>
      </c>
    </row>
    <row r="167" spans="1:15" x14ac:dyDescent="0.25">
      <c r="A167" t="str">
        <f>_xlfn.XLOOKUP(B167, [1]EFAY!$B:$B,[1]EFAY!$A:$A)</f>
        <v>5712-MINI-520204BK</v>
      </c>
      <c r="B167" s="3" t="s">
        <v>149</v>
      </c>
      <c r="C167" t="s">
        <v>1089</v>
      </c>
      <c r="D167" t="str">
        <f>_xlfn.XLOOKUP(B167, [1]EFAY!$B:$B,[1]EFAY!$D:$D)</f>
        <v>(D:11cm) MELAMINE "LITTLE CHEF" 5" MINI ROUND PAN W/ONE HDLE (BLACK)</v>
      </c>
      <c r="E167" t="str">
        <f>_xlfn.XLOOKUP(B167, [1]EFAY!$B:$B,[1]EFAY!$E:$E)</f>
        <v>NO TAG</v>
      </c>
      <c r="G167" t="s">
        <v>1094</v>
      </c>
      <c r="H167">
        <f>_xlfn.XLOOKUP(B167, [1]EFAY!$B:$B,[1]EFAY!$H:$H)</f>
        <v>2.72</v>
      </c>
      <c r="I167" t="str">
        <f>_xlfn.XLOOKUP(B167, [1]EFAY!$B:$B,[1]EFAY!$I:$I)</f>
        <v>JS-Janitorial and Stewarding</v>
      </c>
      <c r="J167" t="str">
        <f>_xlfn.XLOOKUP(B167, [1]EFAY!$B:$B,[1]EFAY!$J:$J)</f>
        <v>CW-Cookware</v>
      </c>
      <c r="K167" t="str">
        <f>_xlfn.XLOOKUP(B167, [1]EFAY!$B:$B,[1]EFAY!$K:$K)</f>
        <v>PN-Pans</v>
      </c>
      <c r="L167" t="str">
        <f>_xlfn.XLOOKUP(B167, [1]EFAY!$B:$B,[1]EFAY!$L:$L)</f>
        <v>Melamine Ø11cm  5"  "Little Chef"Mini Round Pan Black with One Handle</v>
      </c>
      <c r="M167" s="3" t="s">
        <v>758</v>
      </c>
      <c r="N167" s="1" t="s">
        <v>757</v>
      </c>
      <c r="O167" s="1" t="s">
        <v>756</v>
      </c>
    </row>
    <row r="168" spans="1:15" x14ac:dyDescent="0.25">
      <c r="A168" t="str">
        <f>_xlfn.XLOOKUP(B168, [1]EFAY!$B:$B,[1]EFAY!$A:$A)</f>
        <v>5712-MINI-520404BK</v>
      </c>
      <c r="B168" s="3" t="s">
        <v>148</v>
      </c>
      <c r="C168" t="s">
        <v>1089</v>
      </c>
      <c r="D168" t="str">
        <f>_xlfn.XLOOKUP(B168, [1]EFAY!$B:$B,[1]EFAY!$D:$D)</f>
        <v>(D:11cm) MELAMINE "LITTLE CHEF" 4" MINI ROUND PAN W/2 HDLE (BLACK)</v>
      </c>
      <c r="E168" t="str">
        <f>_xlfn.XLOOKUP(B168, [1]EFAY!$B:$B,[1]EFAY!$E:$E)</f>
        <v>NO TAG</v>
      </c>
      <c r="G168" t="s">
        <v>1094</v>
      </c>
      <c r="H168">
        <f>_xlfn.XLOOKUP(B168, [1]EFAY!$B:$B,[1]EFAY!$H:$H)</f>
        <v>2.64</v>
      </c>
      <c r="I168" t="str">
        <f>_xlfn.XLOOKUP(B168, [1]EFAY!$B:$B,[1]EFAY!$I:$I)</f>
        <v>JS-Janitorial and Stewarding</v>
      </c>
      <c r="J168" t="str">
        <f>_xlfn.XLOOKUP(B168, [1]EFAY!$B:$B,[1]EFAY!$J:$J)</f>
        <v>BW-Bakeware</v>
      </c>
      <c r="K168" t="str">
        <f>_xlfn.XLOOKUP(B168, [1]EFAY!$B:$B,[1]EFAY!$K:$K)</f>
        <v>BPT-Baking Pans &amp; Trays</v>
      </c>
      <c r="L168" t="str">
        <f>_xlfn.XLOOKUP(B168, [1]EFAY!$B:$B,[1]EFAY!$L:$L)</f>
        <v>Melamine Ø11cm 4" "Little Chef" Mini Round Pan Black with 2 Handles</v>
      </c>
      <c r="M168" s="3" t="s">
        <v>762</v>
      </c>
      <c r="N168" s="1" t="s">
        <v>761</v>
      </c>
      <c r="O168" s="1" t="s">
        <v>760</v>
      </c>
    </row>
    <row r="169" spans="1:15" x14ac:dyDescent="0.25">
      <c r="A169" t="str">
        <f>_xlfn.XLOOKUP(B169, [1]EFAY!$B:$B,[1]EFAY!$A:$A)</f>
        <v>5712-ENAMEL-2208081WB</v>
      </c>
      <c r="B169" s="3">
        <v>2208081</v>
      </c>
      <c r="C169" t="s">
        <v>1089</v>
      </c>
      <c r="D169" t="str">
        <f>_xlfn.XLOOKUP(B169, [1]EFAY!$B:$B,[1]EFAY!$D:$D)</f>
        <v>20X3.2cm  "ENAMEL LOOK" ROUND DEEP/SOUP PLATE (WHITE W/BLUE LINE)</v>
      </c>
      <c r="E169" t="str">
        <f>_xlfn.XLOOKUP(B169, [1]EFAY!$B:$B,[1]EFAY!$E:$E)</f>
        <v>NO TAG</v>
      </c>
      <c r="G169" t="s">
        <v>1094</v>
      </c>
      <c r="H169">
        <f>_xlfn.XLOOKUP(B169, [1]EFAY!$B:$B,[1]EFAY!$H:$H)</f>
        <v>4.1399999999999997</v>
      </c>
      <c r="I169" t="str">
        <f>_xlfn.XLOOKUP(B169, [1]EFAY!$B:$B,[1]EFAY!$I:$I)</f>
        <v>JS-Janitorial and Stewarding</v>
      </c>
      <c r="J169" t="str">
        <f>_xlfn.XLOOKUP(B169, [1]EFAY!$B:$B,[1]EFAY!$J:$J)</f>
        <v>DWR-Dinnerware</v>
      </c>
      <c r="K169" t="str">
        <f>_xlfn.XLOOKUP(B169, [1]EFAY!$B:$B,[1]EFAY!$K:$K)</f>
        <v>BWL-Bowls</v>
      </c>
      <c r="L169" t="str">
        <f>_xlfn.XLOOKUP(B169, [1]EFAY!$B:$B,[1]EFAY!$L:$L)</f>
        <v>20x3.2cm Enamel Look Round Deep/Soup Plate White with Blue Line</v>
      </c>
      <c r="M169" s="3" t="s">
        <v>766</v>
      </c>
      <c r="N169" s="1" t="s">
        <v>765</v>
      </c>
      <c r="O169" s="1" t="s">
        <v>764</v>
      </c>
    </row>
    <row r="170" spans="1:15" x14ac:dyDescent="0.25">
      <c r="A170" t="str">
        <f>_xlfn.XLOOKUP(B170, [1]EFAY!$B:$B,[1]EFAY!$A:$A)</f>
        <v>5712-ENAMEL-2207091WB</v>
      </c>
      <c r="B170" s="3">
        <v>2207091</v>
      </c>
      <c r="C170" t="s">
        <v>1089</v>
      </c>
      <c r="D170" t="str">
        <f>_xlfn.XLOOKUP(B170, [1]EFAY!$B:$B,[1]EFAY!$D:$D)</f>
        <v>22X2cm  "ENAMEL LOOK" ROUND SHALLOW COUPE PLATE (WHITE W/BLUE LINE)</v>
      </c>
      <c r="E170" t="str">
        <f>_xlfn.XLOOKUP(B170, [1]EFAY!$B:$B,[1]EFAY!$E:$E)</f>
        <v>NO TAG</v>
      </c>
      <c r="G170" t="s">
        <v>1094</v>
      </c>
      <c r="H170">
        <f>_xlfn.XLOOKUP(B170, [1]EFAY!$B:$B,[1]EFAY!$H:$H)</f>
        <v>4.22</v>
      </c>
      <c r="I170" t="str">
        <f>_xlfn.XLOOKUP(B170, [1]EFAY!$B:$B,[1]EFAY!$I:$I)</f>
        <v>JS-Janitorial and Stewarding</v>
      </c>
      <c r="J170" t="str">
        <f>_xlfn.XLOOKUP(B170, [1]EFAY!$B:$B,[1]EFAY!$J:$J)</f>
        <v>DWR-Dinnerware</v>
      </c>
      <c r="K170" t="str">
        <f>_xlfn.XLOOKUP(B170, [1]EFAY!$B:$B,[1]EFAY!$K:$K)</f>
        <v>PLT-Plates</v>
      </c>
      <c r="L170" t="str">
        <f>_xlfn.XLOOKUP(B170, [1]EFAY!$B:$B,[1]EFAY!$L:$L)</f>
        <v>22x2cm Enamel Look Round Shallow Coupe Plate White with Blue Line</v>
      </c>
      <c r="M170" s="3" t="s">
        <v>769</v>
      </c>
      <c r="N170" s="1" t="s">
        <v>768</v>
      </c>
      <c r="O170" s="1" t="s">
        <v>767</v>
      </c>
    </row>
    <row r="171" spans="1:15" x14ac:dyDescent="0.25">
      <c r="A171" t="str">
        <f>_xlfn.XLOOKUP(B171, [1]EFAY!$B:$B,[1]EFAY!$A:$A)</f>
        <v>5712-ENAMEL-2209051WB</v>
      </c>
      <c r="B171" s="3">
        <v>2209051</v>
      </c>
      <c r="C171" t="s">
        <v>1089</v>
      </c>
      <c r="D171" t="str">
        <f>_xlfn.XLOOKUP(B171, [1]EFAY!$B:$B,[1]EFAY!$D:$D)</f>
        <v>12.5X12.5X6.7cm  "ENAMEL LOOK" ROUND BOWL  (WHITE W/BLUE LINE)</v>
      </c>
      <c r="E171" t="str">
        <f>_xlfn.XLOOKUP(B171, [1]EFAY!$B:$B,[1]EFAY!$E:$E)</f>
        <v>NO TAG</v>
      </c>
      <c r="G171" t="s">
        <v>1094</v>
      </c>
      <c r="H171">
        <f>_xlfn.XLOOKUP(B171, [1]EFAY!$B:$B,[1]EFAY!$H:$H)</f>
        <v>2.85</v>
      </c>
      <c r="I171" t="str">
        <f>_xlfn.XLOOKUP(B171, [1]EFAY!$B:$B,[1]EFAY!$I:$I)</f>
        <v>JS-Janitorial and Stewarding</v>
      </c>
      <c r="J171" t="str">
        <f>_xlfn.XLOOKUP(B171, [1]EFAY!$B:$B,[1]EFAY!$J:$J)</f>
        <v>SVW-Serveware</v>
      </c>
      <c r="K171" t="str">
        <f>_xlfn.XLOOKUP(B171, [1]EFAY!$B:$B,[1]EFAY!$K:$K)</f>
        <v>MSA-Miscellaneous Serving Accessories</v>
      </c>
      <c r="L171" t="str">
        <f>_xlfn.XLOOKUP(B171, [1]EFAY!$B:$B,[1]EFAY!$L:$L)</f>
        <v>12.5x12.5x6.7cm Enamel Look Round Bowl White with Blue Line</v>
      </c>
      <c r="M171" s="3" t="s">
        <v>772</v>
      </c>
      <c r="N171" s="1" t="s">
        <v>771</v>
      </c>
      <c r="O171" s="1" t="s">
        <v>770</v>
      </c>
    </row>
    <row r="172" spans="1:15" x14ac:dyDescent="0.25">
      <c r="A172" t="str">
        <f>_xlfn.XLOOKUP(B172, [1]EFAY!$B:$B,[1]EFAY!$A:$A)</f>
        <v>5712-EBO-600801(SET)</v>
      </c>
      <c r="B172" s="3" t="s">
        <v>775</v>
      </c>
      <c r="C172" t="s">
        <v>1089</v>
      </c>
      <c r="D172" t="str">
        <f>_xlfn.XLOOKUP(B172, [1]EFAY!$B:$B,[1]EFAY!$D:$D)</f>
        <v>（DCWSL25) &lt;4170101&gt;#600801-SET 400X130X60(ht)mm RECT. BAMBOO STAND (C/W 3-PS #207205IV 5" RD. BOWL)</v>
      </c>
      <c r="E172" t="str">
        <f>_xlfn.XLOOKUP(B172, [1]EFAY!$B:$B,[1]EFAY!$E:$E)</f>
        <v>WSL WITH STOCK</v>
      </c>
      <c r="G172" t="s">
        <v>1094</v>
      </c>
      <c r="H172">
        <f>_xlfn.XLOOKUP(B172, [1]EFAY!$B:$B,[1]EFAY!$H:$H)</f>
        <v>30.57</v>
      </c>
      <c r="I172" t="str">
        <f>_xlfn.XLOOKUP(B172, [1]EFAY!$B:$B,[1]EFAY!$I:$I)</f>
        <v>JS-Janitorial and Stewarding</v>
      </c>
      <c r="J172" t="str">
        <f>_xlfn.XLOOKUP(B172, [1]EFAY!$B:$B,[1]EFAY!$J:$J)</f>
        <v>SVW-Serveware</v>
      </c>
      <c r="K172" t="str">
        <f>_xlfn.XLOOKUP(B172, [1]EFAY!$B:$B,[1]EFAY!$K:$K)</f>
        <v>DRA-Display Risers, Stands &amp; Accessories</v>
      </c>
      <c r="L172" t="str">
        <f>_xlfn.XLOOKUP(B172, [1]EFAY!$B:$B,[1]EFAY!$L:$L)</f>
        <v>#600801-SET 400x130x60mm Rectangular Bamboo Stand with 3-Pcs #207205IV 5" Round Bowl</v>
      </c>
      <c r="M172" s="3" t="s">
        <v>776</v>
      </c>
      <c r="N172" s="1" t="s">
        <v>774</v>
      </c>
      <c r="O172" s="1" t="s">
        <v>773</v>
      </c>
    </row>
    <row r="173" spans="1:15" x14ac:dyDescent="0.25">
      <c r="A173" t="str">
        <f>_xlfn.XLOOKUP(B173, [1]EFAY!$B:$B,[1]EFAY!$A:$A)</f>
        <v>5712-ENAMEL-2206111WB</v>
      </c>
      <c r="B173" s="3">
        <v>2206111</v>
      </c>
      <c r="C173" t="s">
        <v>1089</v>
      </c>
      <c r="D173" t="str">
        <f>_xlfn.XLOOKUP(B173, [1]EFAY!$B:$B,[1]EFAY!$D:$D)</f>
        <v>27X2cm  "ENAMEL LOOK" ROUND SHALLOW COUPE  PLATE (WHITE W/BLUE LINE)</v>
      </c>
      <c r="E173" t="str">
        <f>_xlfn.XLOOKUP(B173, [1]EFAY!$B:$B,[1]EFAY!$E:$E)</f>
        <v>NO TAG</v>
      </c>
      <c r="G173" t="s">
        <v>1094</v>
      </c>
      <c r="H173">
        <f>_xlfn.XLOOKUP(B173, [1]EFAY!$B:$B,[1]EFAY!$H:$H)</f>
        <v>6.7</v>
      </c>
      <c r="I173" t="str">
        <f>_xlfn.XLOOKUP(B173, [1]EFAY!$B:$B,[1]EFAY!$I:$I)</f>
        <v>JS-Janitorial and Stewarding</v>
      </c>
      <c r="J173" t="str">
        <f>_xlfn.XLOOKUP(B173, [1]EFAY!$B:$B,[1]EFAY!$J:$J)</f>
        <v>DWR-Dinnerware</v>
      </c>
      <c r="K173" t="str">
        <f>_xlfn.XLOOKUP(B173, [1]EFAY!$B:$B,[1]EFAY!$K:$K)</f>
        <v>PLT-Plates</v>
      </c>
      <c r="L173" t="str">
        <f>_xlfn.XLOOKUP(B173, [1]EFAY!$B:$B,[1]EFAY!$L:$L)</f>
        <v>27x2cm Enamel Look Round Shallow Coupe Plate White with Blue Line</v>
      </c>
      <c r="M173" s="3" t="s">
        <v>780</v>
      </c>
      <c r="N173" s="1" t="s">
        <v>779</v>
      </c>
      <c r="O173" s="1" t="s">
        <v>778</v>
      </c>
    </row>
    <row r="174" spans="1:15" x14ac:dyDescent="0.25">
      <c r="A174" t="str">
        <f>_xlfn.XLOOKUP(B174, [1]EFAY!$B:$B,[1]EFAY!$A:$A)</f>
        <v>5712-IDS-R0603RD</v>
      </c>
      <c r="B174" s="3" t="s">
        <v>783</v>
      </c>
      <c r="C174" t="s">
        <v>1089</v>
      </c>
      <c r="D174" t="str">
        <f>_xlfn.XLOOKUP(B174, [1]EFAY!$B:$B,[1]EFAY!$D:$D)</f>
        <v>(*SPO18-POA)#920603RD, 3"HT 3D "DANCE" DISPLAY STAND (RED)</v>
      </c>
      <c r="E174" t="str">
        <f>_xlfn.XLOOKUP(B174, [1]EFAY!$B:$B,[1]EFAY!$E:$E)</f>
        <v>NO TAG</v>
      </c>
      <c r="G174" t="s">
        <v>1094</v>
      </c>
      <c r="H174">
        <f>_xlfn.XLOOKUP(B174, [1]EFAY!$B:$B,[1]EFAY!$H:$H)</f>
        <v>4.6500000000000004</v>
      </c>
      <c r="I174" t="str">
        <f>_xlfn.XLOOKUP(B174, [1]EFAY!$B:$B,[1]EFAY!$I:$I)</f>
        <v>JS-Janitorial and Stewarding</v>
      </c>
      <c r="J174" t="str">
        <f>_xlfn.XLOOKUP(B174, [1]EFAY!$B:$B,[1]EFAY!$J:$J)</f>
        <v>SVW-Serveware</v>
      </c>
      <c r="K174" t="str">
        <f>_xlfn.XLOOKUP(B174, [1]EFAY!$B:$B,[1]EFAY!$K:$K)</f>
        <v>DRA-Display Risers, Stands &amp; Accessories</v>
      </c>
      <c r="L174" t="str">
        <f>_xlfn.XLOOKUP(B174, [1]EFAY!$B:$B,[1]EFAY!$L:$L)</f>
        <v>#920603RD H3" 3D "Dance" Display Stand Red</v>
      </c>
      <c r="M174" s="3" t="s">
        <v>784</v>
      </c>
      <c r="N174" s="1" t="s">
        <v>782</v>
      </c>
      <c r="O174" s="1" t="s">
        <v>781</v>
      </c>
    </row>
    <row r="175" spans="1:15" x14ac:dyDescent="0.25">
      <c r="A175" t="str">
        <f>_xlfn.XLOOKUP(B175, [1]EFAY!$B:$B,[1]EFAY!$A:$A)</f>
        <v>5712-IDS-R0602RD</v>
      </c>
      <c r="B175" s="3" t="s">
        <v>265</v>
      </c>
      <c r="C175" t="s">
        <v>1089</v>
      </c>
      <c r="D175" t="str">
        <f>_xlfn.XLOOKUP(B175, [1]EFAY!$B:$B,[1]EFAY!$D:$D)</f>
        <v>(*SPO18-POA)#920602RD, 2"HT 3D "DANCE" DISPLAY STAND (RED)</v>
      </c>
      <c r="E175" t="str">
        <f>_xlfn.XLOOKUP(B175, [1]EFAY!$B:$B,[1]EFAY!$E:$E)</f>
        <v>NO TAG</v>
      </c>
      <c r="G175" t="s">
        <v>1094</v>
      </c>
      <c r="H175">
        <f>_xlfn.XLOOKUP(B175, [1]EFAY!$B:$B,[1]EFAY!$H:$H)</f>
        <v>4.4400000000000004</v>
      </c>
      <c r="I175" t="str">
        <f>_xlfn.XLOOKUP(B175, [1]EFAY!$B:$B,[1]EFAY!$I:$I)</f>
        <v>JS-Janitorial and Stewarding</v>
      </c>
      <c r="J175" t="str">
        <f>_xlfn.XLOOKUP(B175, [1]EFAY!$B:$B,[1]EFAY!$J:$J)</f>
        <v>SVW-Serveware</v>
      </c>
      <c r="K175" t="str">
        <f>_xlfn.XLOOKUP(B175, [1]EFAY!$B:$B,[1]EFAY!$K:$K)</f>
        <v>DRA-Display Risers, Stands &amp; Accessories</v>
      </c>
      <c r="L175" t="str">
        <f>_xlfn.XLOOKUP(B175, [1]EFAY!$B:$B,[1]EFAY!$L:$L)</f>
        <v>#920602RD H2" 3D "Dance" Display Stand Red</v>
      </c>
      <c r="M175" s="3" t="s">
        <v>787</v>
      </c>
      <c r="N175" s="1" t="s">
        <v>786</v>
      </c>
      <c r="O175" s="1" t="s">
        <v>785</v>
      </c>
    </row>
    <row r="176" spans="1:15" x14ac:dyDescent="0.25">
      <c r="A176" t="str">
        <f>_xlfn.XLOOKUP(B176, [1]EFAY!$B:$B,[1]EFAY!$A:$A)</f>
        <v>5712-IDS-R0708BK</v>
      </c>
      <c r="B176" s="3" t="s">
        <v>135</v>
      </c>
      <c r="C176" t="s">
        <v>1089</v>
      </c>
      <c r="D176" t="str">
        <f>_xlfn.XLOOKUP(B176, [1]EFAY!$B:$B,[1]EFAY!$D:$D)</f>
        <v>&lt;4171108&gt;#R0708, 8"HT 3D "STAR" DISPLAY STAND (BLACK)</v>
      </c>
      <c r="E176" t="str">
        <f>_xlfn.XLOOKUP(B176, [1]EFAY!$B:$B,[1]EFAY!$E:$E)</f>
        <v>NO TAG</v>
      </c>
      <c r="G176" t="s">
        <v>1094</v>
      </c>
      <c r="H176">
        <f>_xlfn.XLOOKUP(B176, [1]EFAY!$B:$B,[1]EFAY!$H:$H)</f>
        <v>10.27</v>
      </c>
      <c r="I176" t="str">
        <f>_xlfn.XLOOKUP(B176, [1]EFAY!$B:$B,[1]EFAY!$I:$I)</f>
        <v>JS-Janitorial and Stewarding</v>
      </c>
      <c r="J176" t="str">
        <f>_xlfn.XLOOKUP(B176, [1]EFAY!$B:$B,[1]EFAY!$J:$J)</f>
        <v>SVW-Serveware</v>
      </c>
      <c r="K176" t="str">
        <f>_xlfn.XLOOKUP(B176, [1]EFAY!$B:$B,[1]EFAY!$K:$K)</f>
        <v>DRA-Display Risers, Stands &amp; Accessories</v>
      </c>
      <c r="L176" t="str">
        <f>_xlfn.XLOOKUP(B176, [1]EFAY!$B:$B,[1]EFAY!$L:$L)</f>
        <v>#R0708 H8" 3D "Star" Display Stand Black</v>
      </c>
      <c r="M176" s="3" t="s">
        <v>790</v>
      </c>
      <c r="N176" s="1" t="s">
        <v>789</v>
      </c>
      <c r="O176" s="1" t="s">
        <v>788</v>
      </c>
    </row>
    <row r="177" spans="1:15" x14ac:dyDescent="0.25">
      <c r="A177" t="str">
        <f>_xlfn.XLOOKUP(B177, [1]EFAY!$B:$B,[1]EFAY!$A:$A)</f>
        <v>5712-IDS-R0704BK</v>
      </c>
      <c r="B177" s="3" t="s">
        <v>794</v>
      </c>
      <c r="C177" t="s">
        <v>1089</v>
      </c>
      <c r="D177" t="str">
        <f>_xlfn.XLOOKUP(B177, [1]EFAY!$B:$B,[1]EFAY!$D:$D)</f>
        <v>&lt;4171104&gt;(CODE:920704BK), 4"HT 3D "STAR" DISPLAY STAND (BLACK)</v>
      </c>
      <c r="E177" t="str">
        <f>_xlfn.XLOOKUP(B177, [1]EFAY!$B:$B,[1]EFAY!$E:$E)</f>
        <v>NO TAG</v>
      </c>
      <c r="G177" t="s">
        <v>1094</v>
      </c>
      <c r="H177">
        <f>_xlfn.XLOOKUP(B177, [1]EFAY!$B:$B,[1]EFAY!$H:$H)</f>
        <v>7.26</v>
      </c>
      <c r="I177" t="str">
        <f>_xlfn.XLOOKUP(B177, [1]EFAY!$B:$B,[1]EFAY!$I:$I)</f>
        <v>JS-Janitorial and Stewarding</v>
      </c>
      <c r="J177" t="str">
        <f>_xlfn.XLOOKUP(B177, [1]EFAY!$B:$B,[1]EFAY!$J:$J)</f>
        <v>SVW-Serveware</v>
      </c>
      <c r="K177" t="str">
        <f>_xlfn.XLOOKUP(B177, [1]EFAY!$B:$B,[1]EFAY!$K:$K)</f>
        <v>DRA-Display Risers, Stands &amp; Accessories</v>
      </c>
      <c r="L177" t="str">
        <f>_xlfn.XLOOKUP(B177, [1]EFAY!$B:$B,[1]EFAY!$L:$L)</f>
        <v>Star 3D Display Stand Black 4" Height</v>
      </c>
      <c r="M177" s="3" t="s">
        <v>795</v>
      </c>
      <c r="N177" s="1" t="s">
        <v>793</v>
      </c>
      <c r="O177" s="1" t="s">
        <v>792</v>
      </c>
    </row>
    <row r="178" spans="1:15" x14ac:dyDescent="0.25">
      <c r="A178" t="str">
        <f>_xlfn.XLOOKUP(B178, [1]EFAY!$B:$B,[1]EFAY!$A:$A)</f>
        <v>5712-IDS-R0608BK</v>
      </c>
      <c r="B178" s="3" t="s">
        <v>802</v>
      </c>
      <c r="C178" t="s">
        <v>1089</v>
      </c>
      <c r="D178" t="str">
        <f>_xlfn.XLOOKUP(B178, [1]EFAY!$B:$B,[1]EFAY!$D:$D)</f>
        <v>&lt;4171008&gt;(CODE:920608BK), 8"HT 3D "DANCE" DISPLAY STAND (BLACK)</v>
      </c>
      <c r="E178" t="str">
        <f>_xlfn.XLOOKUP(B178, [1]EFAY!$B:$B,[1]EFAY!$E:$E)</f>
        <v>NO TAG</v>
      </c>
      <c r="G178" t="s">
        <v>1094</v>
      </c>
      <c r="H178">
        <f>_xlfn.XLOOKUP(B178, [1]EFAY!$B:$B,[1]EFAY!$H:$H)</f>
        <v>14.1</v>
      </c>
      <c r="I178" t="str">
        <f>_xlfn.XLOOKUP(B178, [1]EFAY!$B:$B,[1]EFAY!$I:$I)</f>
        <v>JS-Janitorial and Stewarding</v>
      </c>
      <c r="J178" t="str">
        <f>_xlfn.XLOOKUP(B178, [1]EFAY!$B:$B,[1]EFAY!$J:$J)</f>
        <v>SVW-Serveware</v>
      </c>
      <c r="K178" t="str">
        <f>_xlfn.XLOOKUP(B178, [1]EFAY!$B:$B,[1]EFAY!$K:$K)</f>
        <v>DRA-Display Risers, Stands &amp; Accessories</v>
      </c>
      <c r="L178" t="str">
        <f>_xlfn.XLOOKUP(B178, [1]EFAY!$B:$B,[1]EFAY!$L:$L)</f>
        <v>#920608BK H8" 3D "Dance" Display Stand Black</v>
      </c>
      <c r="M178" s="3" t="s">
        <v>803</v>
      </c>
      <c r="N178" s="1" t="s">
        <v>801</v>
      </c>
      <c r="O178" s="1" t="s">
        <v>800</v>
      </c>
    </row>
    <row r="179" spans="1:15" x14ac:dyDescent="0.25">
      <c r="A179" t="str">
        <f>_xlfn.XLOOKUP(B179, [1]EFAY!$B:$B,[1]EFAY!$A:$A)</f>
        <v>5712-IDS-R0606BK</v>
      </c>
      <c r="B179" s="3" t="s">
        <v>806</v>
      </c>
      <c r="C179" t="s">
        <v>1089</v>
      </c>
      <c r="D179" t="str">
        <f>_xlfn.XLOOKUP(B179, [1]EFAY!$B:$B,[1]EFAY!$D:$D)</f>
        <v>(WSL22), &lt;4171006&gt;(#920606BK) , 6"HT 3D "DANCE" DISPLAY STAND (BLACK)</v>
      </c>
      <c r="E179" t="str">
        <f>_xlfn.XLOOKUP(B179, [1]EFAY!$B:$B,[1]EFAY!$E:$E)</f>
        <v>WSL WITH STOCK</v>
      </c>
      <c r="G179" t="s">
        <v>1094</v>
      </c>
      <c r="H179">
        <f>_xlfn.XLOOKUP(B179, [1]EFAY!$B:$B,[1]EFAY!$H:$H)</f>
        <v>10.58</v>
      </c>
      <c r="I179" t="str">
        <f>_xlfn.XLOOKUP(B179, [1]EFAY!$B:$B,[1]EFAY!$I:$I)</f>
        <v>JS-Janitorial and Stewarding</v>
      </c>
      <c r="J179" t="str">
        <f>_xlfn.XLOOKUP(B179, [1]EFAY!$B:$B,[1]EFAY!$J:$J)</f>
        <v>SVW-Serveware</v>
      </c>
      <c r="K179" t="str">
        <f>_xlfn.XLOOKUP(B179, [1]EFAY!$B:$B,[1]EFAY!$K:$K)</f>
        <v>DRA-Display Risers, Stands &amp; Accessories</v>
      </c>
      <c r="L179" t="str">
        <f>_xlfn.XLOOKUP(B179, [1]EFAY!$B:$B,[1]EFAY!$L:$L)</f>
        <v>#920606BK H6" 3D "Dance" Display Stand Black</v>
      </c>
      <c r="M179" s="3" t="s">
        <v>807</v>
      </c>
      <c r="N179" s="1" t="s">
        <v>805</v>
      </c>
      <c r="O179" s="1" t="s">
        <v>804</v>
      </c>
    </row>
    <row r="180" spans="1:15" x14ac:dyDescent="0.25">
      <c r="A180" t="str">
        <f>_xlfn.XLOOKUP(B180, [1]EFAY!$B:$B,[1]EFAY!$A:$A)</f>
        <v>5712-IDS-R0604BK</v>
      </c>
      <c r="B180" s="3" t="s">
        <v>141</v>
      </c>
      <c r="C180" t="s">
        <v>1089</v>
      </c>
      <c r="D180" t="str">
        <f>_xlfn.XLOOKUP(B180, [1]EFAY!$B:$B,[1]EFAY!$D:$D)</f>
        <v>&lt;4171004&gt;(#920604BK) , 4"HT 3D "DANCE" DISPLAY STAND (BLACK)</v>
      </c>
      <c r="E180" t="str">
        <f>_xlfn.XLOOKUP(B180, [1]EFAY!$B:$B,[1]EFAY!$E:$E)</f>
        <v>NO TAG</v>
      </c>
      <c r="G180" t="s">
        <v>1094</v>
      </c>
      <c r="H180">
        <f>_xlfn.XLOOKUP(B180, [1]EFAY!$B:$B,[1]EFAY!$H:$H)</f>
        <v>7.05</v>
      </c>
      <c r="I180" t="str">
        <f>_xlfn.XLOOKUP(B180, [1]EFAY!$B:$B,[1]EFAY!$I:$I)</f>
        <v>JS-Janitorial and Stewarding</v>
      </c>
      <c r="J180" t="str">
        <f>_xlfn.XLOOKUP(B180, [1]EFAY!$B:$B,[1]EFAY!$J:$J)</f>
        <v>SVW-Serveware</v>
      </c>
      <c r="K180" t="str">
        <f>_xlfn.XLOOKUP(B180, [1]EFAY!$B:$B,[1]EFAY!$K:$K)</f>
        <v>DRA-Display Risers, Stands &amp; Accessories</v>
      </c>
      <c r="L180" t="str">
        <f>_xlfn.XLOOKUP(B180, [1]EFAY!$B:$B,[1]EFAY!$L:$L)</f>
        <v>#920604BK H4" 3D "Dance" Display Stand Black</v>
      </c>
      <c r="M180" s="3" t="s">
        <v>810</v>
      </c>
      <c r="N180" s="1" t="s">
        <v>809</v>
      </c>
      <c r="O180" s="1" t="s">
        <v>808</v>
      </c>
    </row>
    <row r="181" spans="1:15" x14ac:dyDescent="0.25">
      <c r="A181" t="str">
        <f>_xlfn.XLOOKUP(B181, [1]EFAY!$B:$B,[1]EFAY!$A:$A)</f>
        <v>5712-GNE-901610BK</v>
      </c>
      <c r="B181" s="3" t="s">
        <v>134</v>
      </c>
      <c r="C181" t="s">
        <v>1089</v>
      </c>
      <c r="D181" t="str">
        <f>_xlfn.XLOOKUP(B181, [1]EFAY!$B:$B,[1]EFAY!$D:$D)</f>
        <v>#901610BK, 51.8x31.3x25.3cm 1/1 + 1/2 SIZE GN NON SLIP BUFFET DISPLAY STAND, BLACK</v>
      </c>
      <c r="E181" t="str">
        <f>_xlfn.XLOOKUP(B181, [1]EFAY!$B:$B,[1]EFAY!$E:$E)</f>
        <v>NO TAG</v>
      </c>
      <c r="G181" t="s">
        <v>1094</v>
      </c>
      <c r="H181">
        <f>_xlfn.XLOOKUP(B181, [1]EFAY!$B:$B,[1]EFAY!$H:$H)</f>
        <v>27.38</v>
      </c>
      <c r="I181" t="str">
        <f>_xlfn.XLOOKUP(B181, [1]EFAY!$B:$B,[1]EFAY!$I:$I)</f>
        <v>JS-Janitorial and Stewarding</v>
      </c>
      <c r="J181" t="str">
        <f>_xlfn.XLOOKUP(B181, [1]EFAY!$B:$B,[1]EFAY!$J:$J)</f>
        <v>SVW-Serveware</v>
      </c>
      <c r="K181" t="str">
        <f>_xlfn.XLOOKUP(B181, [1]EFAY!$B:$B,[1]EFAY!$K:$K)</f>
        <v>DRA-Display Risers, Stands &amp; Accessories</v>
      </c>
      <c r="L181" t="str">
        <f>_xlfn.XLOOKUP(B181, [1]EFAY!$B:$B,[1]EFAY!$L:$L)</f>
        <v>#901610BK 51.8x31.3x25.3cm 1/1+1/2 Size GN Non-Slip Buffet Display Stand Black</v>
      </c>
      <c r="M181" s="3" t="s">
        <v>813</v>
      </c>
      <c r="N181" s="1" t="s">
        <v>812</v>
      </c>
      <c r="O181" s="1" t="s">
        <v>811</v>
      </c>
    </row>
    <row r="182" spans="1:15" x14ac:dyDescent="0.25">
      <c r="A182" t="str">
        <f>_xlfn.XLOOKUP(B182, [1]EFAY!$B:$B,[1]EFAY!$A:$A)</f>
        <v>5712-GNE-901706BK</v>
      </c>
      <c r="B182" s="3" t="s">
        <v>140</v>
      </c>
      <c r="C182" t="s">
        <v>1089</v>
      </c>
      <c r="D182" t="str">
        <f>_xlfn.XLOOKUP(B182, [1]EFAY!$B:$B,[1]EFAY!$D:$D)</f>
        <v>#901706BK, 51.8x31.3x15.8cm 1/1 + 2/4 SIZE GN NON SLIP BUFFET DISPLAY STAND, BLACK</v>
      </c>
      <c r="E182" t="str">
        <f>_xlfn.XLOOKUP(B182, [1]EFAY!$B:$B,[1]EFAY!$E:$E)</f>
        <v>NO TAG</v>
      </c>
      <c r="G182" t="s">
        <v>1094</v>
      </c>
      <c r="H182">
        <f>_xlfn.XLOOKUP(B182, [1]EFAY!$B:$B,[1]EFAY!$H:$H)</f>
        <v>26.36</v>
      </c>
      <c r="I182" t="str">
        <f>_xlfn.XLOOKUP(B182, [1]EFAY!$B:$B,[1]EFAY!$I:$I)</f>
        <v>JS-Janitorial and Stewarding</v>
      </c>
      <c r="J182" t="str">
        <f>_xlfn.XLOOKUP(B182, [1]EFAY!$B:$B,[1]EFAY!$J:$J)</f>
        <v>SVW-Serveware</v>
      </c>
      <c r="K182" t="str">
        <f>_xlfn.XLOOKUP(B182, [1]EFAY!$B:$B,[1]EFAY!$K:$K)</f>
        <v>DRA-Display Risers, Stands &amp; Accessories</v>
      </c>
      <c r="L182" t="str">
        <f>_xlfn.XLOOKUP(B182, [1]EFAY!$B:$B,[1]EFAY!$L:$L)</f>
        <v>#901706BK 51.8x31.3x15.8cm 1/1+2/4 Size GN Non-Slip Buffet Display Stand Black</v>
      </c>
      <c r="M182" s="3" t="s">
        <v>817</v>
      </c>
      <c r="N182" s="1" t="s">
        <v>816</v>
      </c>
      <c r="O182" s="1" t="s">
        <v>815</v>
      </c>
    </row>
    <row r="183" spans="1:15" x14ac:dyDescent="0.25">
      <c r="A183" t="str">
        <f>_xlfn.XLOOKUP(B183, [1]EFAY!$B:$B,[1]EFAY!$A:$A)</f>
        <v>5712-GNE-901806BK</v>
      </c>
      <c r="B183" s="3" t="s">
        <v>821</v>
      </c>
      <c r="C183" t="s">
        <v>1089</v>
      </c>
      <c r="D183" t="str">
        <f>_xlfn.XLOOKUP(B183, [1]EFAY!$B:$B,[1]EFAY!$D:$D)</f>
        <v>#901806BK, 31.3x25.3x15.8cm 1/2 + 1/4 SIZE GN NON SLIP BUFFET DISPLAY STAND, BLACK</v>
      </c>
      <c r="E183" t="str">
        <f>_xlfn.XLOOKUP(B183, [1]EFAY!$B:$B,[1]EFAY!$E:$E)</f>
        <v>NO TAG</v>
      </c>
      <c r="G183" t="s">
        <v>1094</v>
      </c>
      <c r="H183">
        <f>_xlfn.XLOOKUP(B183, [1]EFAY!$B:$B,[1]EFAY!$H:$H)</f>
        <v>22.59</v>
      </c>
      <c r="I183" t="str">
        <f>_xlfn.XLOOKUP(B183, [1]EFAY!$B:$B,[1]EFAY!$I:$I)</f>
        <v>JS-Janitorial and Stewarding</v>
      </c>
      <c r="J183" t="str">
        <f>_xlfn.XLOOKUP(B183, [1]EFAY!$B:$B,[1]EFAY!$J:$J)</f>
        <v>SVW-Serveware</v>
      </c>
      <c r="K183" t="str">
        <f>_xlfn.XLOOKUP(B183, [1]EFAY!$B:$B,[1]EFAY!$K:$K)</f>
        <v>DRA-Display Risers, Stands &amp; Accessories</v>
      </c>
      <c r="L183" t="str">
        <f>_xlfn.XLOOKUP(B183, [1]EFAY!$B:$B,[1]EFAY!$L:$L)</f>
        <v>#901806BK 31.3x25.3x15.8cm 1/2+1/4 Size GN Non-Slip Buffet Display Stand Black</v>
      </c>
      <c r="M183" s="3" t="s">
        <v>822</v>
      </c>
      <c r="N183" s="1" t="s">
        <v>820</v>
      </c>
      <c r="O183" s="1" t="s">
        <v>819</v>
      </c>
    </row>
    <row r="184" spans="1:15" x14ac:dyDescent="0.25">
      <c r="A184" t="str">
        <f>_xlfn.XLOOKUP(B184, [1]EFAY!$B:$B,[1]EFAY!$A:$A)</f>
        <v>5712-GNE-901906BK</v>
      </c>
      <c r="B184" s="3" t="s">
        <v>826</v>
      </c>
      <c r="C184" t="s">
        <v>1089</v>
      </c>
      <c r="D184" t="str">
        <f>_xlfn.XLOOKUP(B184, [1]EFAY!$B:$B,[1]EFAY!$D:$D)</f>
        <v>#901906BK, 31.3x17x15.8cm 1/3 + 1/6 SIZE GN NON SLIP BUFFET DISPLAY STAND, BLACK</v>
      </c>
      <c r="E184" t="str">
        <f>_xlfn.XLOOKUP(B184, [1]EFAY!$B:$B,[1]EFAY!$E:$E)</f>
        <v>NO TAG</v>
      </c>
      <c r="G184" t="s">
        <v>1094</v>
      </c>
      <c r="H184">
        <f>_xlfn.XLOOKUP(B184, [1]EFAY!$B:$B,[1]EFAY!$H:$H)</f>
        <v>16.77</v>
      </c>
      <c r="I184" t="str">
        <f>_xlfn.XLOOKUP(B184, [1]EFAY!$B:$B,[1]EFAY!$I:$I)</f>
        <v>JS-Janitorial and Stewarding</v>
      </c>
      <c r="J184" t="str">
        <f>_xlfn.XLOOKUP(B184, [1]EFAY!$B:$B,[1]EFAY!$J:$J)</f>
        <v>SVW-Serveware</v>
      </c>
      <c r="K184" t="str">
        <f>_xlfn.XLOOKUP(B184, [1]EFAY!$B:$B,[1]EFAY!$K:$K)</f>
        <v>DRA-Display Risers, Stands &amp; Accessories</v>
      </c>
      <c r="L184" t="str">
        <f>_xlfn.XLOOKUP(B184, [1]EFAY!$B:$B,[1]EFAY!$L:$L)</f>
        <v>#901906BK 31.3x17x15.8cm 1/3+1/6 Size GN Non-Slip Buffet Display Stand Black</v>
      </c>
      <c r="M184" s="3" t="s">
        <v>827</v>
      </c>
      <c r="N184" s="1" t="s">
        <v>825</v>
      </c>
      <c r="O184" s="1" t="s">
        <v>824</v>
      </c>
    </row>
    <row r="185" spans="1:15" x14ac:dyDescent="0.25">
      <c r="A185" t="str">
        <f>_xlfn.XLOOKUP(B185, [1]EFAY!$B:$B,[1]EFAY!$A:$A)</f>
        <v>5712-921108-RC</v>
      </c>
      <c r="B185" s="3" t="s">
        <v>831</v>
      </c>
      <c r="C185" t="s">
        <v>1089</v>
      </c>
      <c r="D185" t="str">
        <f>_xlfn.XLOOKUP(B185, [1]EFAY!$B:$B,[1]EFAY!$D:$D)</f>
        <v>D:25XW:21.2XHT:20cm, 3D "CROWN" NON-SLIP DISPLAY STAND</v>
      </c>
      <c r="E185" t="str">
        <f>_xlfn.XLOOKUP(B185, [1]EFAY!$B:$B,[1]EFAY!$E:$E)</f>
        <v>NO TAG</v>
      </c>
      <c r="G185" t="s">
        <v>1094</v>
      </c>
      <c r="H185">
        <f>_xlfn.XLOOKUP(B185, [1]EFAY!$B:$B,[1]EFAY!$H:$H)</f>
        <v>12.94</v>
      </c>
      <c r="I185" t="str">
        <f>_xlfn.XLOOKUP(B185, [1]EFAY!$B:$B,[1]EFAY!$I:$I)</f>
        <v>JS-Janitorial and Stewarding</v>
      </c>
      <c r="J185" t="str">
        <f>_xlfn.XLOOKUP(B185, [1]EFAY!$B:$B,[1]EFAY!$J:$J)</f>
        <v/>
      </c>
      <c r="K185" t="str">
        <f>_xlfn.XLOOKUP(B185, [1]EFAY!$B:$B,[1]EFAY!$K:$K)</f>
        <v/>
      </c>
      <c r="L185" t="str">
        <f>_xlfn.XLOOKUP(B185, [1]EFAY!$B:$B,[1]EFAY!$L:$L)</f>
        <v>Ø25xW21.2xH20cm 3D Crown Non-Slip Display Stand</v>
      </c>
      <c r="M185" s="3" t="s">
        <v>832</v>
      </c>
      <c r="N185" s="1" t="s">
        <v>830</v>
      </c>
      <c r="O185" s="1" t="s">
        <v>829</v>
      </c>
    </row>
    <row r="186" spans="1:15" x14ac:dyDescent="0.25">
      <c r="A186" t="str">
        <f>_xlfn.XLOOKUP(B186, [1]EFAY!$B:$B,[1]EFAY!$A:$A)</f>
        <v>5712-BAG-219407</v>
      </c>
      <c r="B186" s="3">
        <v>219613</v>
      </c>
      <c r="C186" t="s">
        <v>1089</v>
      </c>
      <c r="D186" t="str">
        <f>_xlfn.XLOOKUP(B186, [1]EFAY!$B:$B,[1]EFAY!$D:$D)</f>
        <v>(WSL19)L:17.6XHT:15cm, RD CYLINDER CORK BAG/BASKET FOR BUFFET/DISPLAY (BEIGE)</v>
      </c>
      <c r="E186" t="str">
        <f>_xlfn.XLOOKUP(B186, [1]EFAY!$B:$B,[1]EFAY!$E:$E)</f>
        <v>WSL WITH STOCK</v>
      </c>
      <c r="G186" t="s">
        <v>1094</v>
      </c>
      <c r="H186">
        <f>_xlfn.XLOOKUP(B186, [1]EFAY!$B:$B,[1]EFAY!$H:$H)</f>
        <v>11.49</v>
      </c>
      <c r="I186" t="str">
        <f>_xlfn.XLOOKUP(B186, [1]EFAY!$B:$B,[1]EFAY!$I:$I)</f>
        <v>JS-Janitorial and Stewarding</v>
      </c>
      <c r="J186" t="str">
        <f>_xlfn.XLOOKUP(B186, [1]EFAY!$B:$B,[1]EFAY!$J:$J)</f>
        <v>SS-Storage Solutions</v>
      </c>
      <c r="K186" t="str">
        <f>_xlfn.XLOOKUP(B186, [1]EFAY!$B:$B,[1]EFAY!$K:$K)</f>
        <v/>
      </c>
      <c r="L186" t="str">
        <f>_xlfn.XLOOKUP(B186, [1]EFAY!$B:$B,[1]EFAY!$L:$L)</f>
        <v>L17.6xH15cm Round Cylinder Cork Bag/Basket Beige for Buffet/Display</v>
      </c>
      <c r="M186" s="3" t="s">
        <v>834</v>
      </c>
      <c r="N186" s="1" t="s">
        <v>835</v>
      </c>
      <c r="O186" s="1" t="s">
        <v>839</v>
      </c>
    </row>
    <row r="187" spans="1:15" x14ac:dyDescent="0.25">
      <c r="A187" t="str">
        <f>_xlfn.XLOOKUP(B187, [1]EFAY!$B:$B,[1]EFAY!$A:$A)</f>
        <v>5712-BAG-219407</v>
      </c>
      <c r="B187" s="3">
        <v>219613</v>
      </c>
      <c r="C187" t="s">
        <v>1089</v>
      </c>
      <c r="D187" t="str">
        <f>_xlfn.XLOOKUP(B187, [1]EFAY!$B:$B,[1]EFAY!$D:$D)</f>
        <v>(WSL19)L:17.6XHT:15cm, RD CYLINDER CORK BAG/BASKET FOR BUFFET/DISPLAY (BEIGE)</v>
      </c>
      <c r="E187" t="str">
        <f>_xlfn.XLOOKUP(B187, [1]EFAY!$B:$B,[1]EFAY!$E:$E)</f>
        <v>WSL WITH STOCK</v>
      </c>
      <c r="G187" t="s">
        <v>1094</v>
      </c>
      <c r="H187">
        <f>_xlfn.XLOOKUP(B187, [1]EFAY!$B:$B,[1]EFAY!$H:$H)</f>
        <v>11.49</v>
      </c>
      <c r="I187" t="str">
        <f>_xlfn.XLOOKUP(B187, [1]EFAY!$B:$B,[1]EFAY!$I:$I)</f>
        <v>JS-Janitorial and Stewarding</v>
      </c>
      <c r="J187" t="str">
        <f>_xlfn.XLOOKUP(B187, [1]EFAY!$B:$B,[1]EFAY!$J:$J)</f>
        <v>SS-Storage Solutions</v>
      </c>
      <c r="K187" t="str">
        <f>_xlfn.XLOOKUP(B187, [1]EFAY!$B:$B,[1]EFAY!$K:$K)</f>
        <v/>
      </c>
      <c r="L187" t="str">
        <f>_xlfn.XLOOKUP(B187, [1]EFAY!$B:$B,[1]EFAY!$L:$L)</f>
        <v>L17.6xH15cm Round Cylinder Cork Bag/Basket Beige for Buffet/Display</v>
      </c>
      <c r="M187" s="3" t="s">
        <v>834</v>
      </c>
      <c r="N187" s="1" t="s">
        <v>836</v>
      </c>
      <c r="O187" s="1" t="s">
        <v>839</v>
      </c>
    </row>
    <row r="188" spans="1:15" x14ac:dyDescent="0.25">
      <c r="A188" t="str">
        <f>_xlfn.XLOOKUP(B188, [1]EFAY!$B:$B,[1]EFAY!$A:$A)</f>
        <v>5712-BAG-219407</v>
      </c>
      <c r="B188" s="3">
        <v>219613</v>
      </c>
      <c r="C188" t="s">
        <v>1089</v>
      </c>
      <c r="D188" t="str">
        <f>_xlfn.XLOOKUP(B188, [1]EFAY!$B:$B,[1]EFAY!$D:$D)</f>
        <v>(WSL19)L:17.6XHT:15cm, RD CYLINDER CORK BAG/BASKET FOR BUFFET/DISPLAY (BEIGE)</v>
      </c>
      <c r="E188" t="str">
        <f>_xlfn.XLOOKUP(B188, [1]EFAY!$B:$B,[1]EFAY!$E:$E)</f>
        <v>WSL WITH STOCK</v>
      </c>
      <c r="G188" t="s">
        <v>1094</v>
      </c>
      <c r="H188">
        <f>_xlfn.XLOOKUP(B188, [1]EFAY!$B:$B,[1]EFAY!$H:$H)</f>
        <v>11.49</v>
      </c>
      <c r="I188" t="str">
        <f>_xlfn.XLOOKUP(B188, [1]EFAY!$B:$B,[1]EFAY!$I:$I)</f>
        <v>JS-Janitorial and Stewarding</v>
      </c>
      <c r="J188" t="str">
        <f>_xlfn.XLOOKUP(B188, [1]EFAY!$B:$B,[1]EFAY!$J:$J)</f>
        <v>SS-Storage Solutions</v>
      </c>
      <c r="K188" t="str">
        <f>_xlfn.XLOOKUP(B188, [1]EFAY!$B:$B,[1]EFAY!$K:$K)</f>
        <v/>
      </c>
      <c r="L188" t="str">
        <f>_xlfn.XLOOKUP(B188, [1]EFAY!$B:$B,[1]EFAY!$L:$L)</f>
        <v>L17.6xH15cm Round Cylinder Cork Bag/Basket Beige for Buffet/Display</v>
      </c>
      <c r="M188" s="3" t="s">
        <v>834</v>
      </c>
      <c r="N188" s="1" t="s">
        <v>837</v>
      </c>
      <c r="O188" s="1" t="s">
        <v>839</v>
      </c>
    </row>
    <row r="189" spans="1:15" x14ac:dyDescent="0.25">
      <c r="A189" t="str">
        <f>_xlfn.XLOOKUP(B189, [1]EFAY!$B:$B,[1]EFAY!$A:$A)</f>
        <v>5712-BAG-219407</v>
      </c>
      <c r="B189" s="3">
        <v>219613</v>
      </c>
      <c r="C189" t="s">
        <v>1089</v>
      </c>
      <c r="D189" t="str">
        <f>_xlfn.XLOOKUP(B189, [1]EFAY!$B:$B,[1]EFAY!$D:$D)</f>
        <v>(WSL19)L:17.6XHT:15cm, RD CYLINDER CORK BAG/BASKET FOR BUFFET/DISPLAY (BEIGE)</v>
      </c>
      <c r="E189" t="str">
        <f>_xlfn.XLOOKUP(B189, [1]EFAY!$B:$B,[1]EFAY!$E:$E)</f>
        <v>WSL WITH STOCK</v>
      </c>
      <c r="G189" t="s">
        <v>1094</v>
      </c>
      <c r="H189">
        <f>_xlfn.XLOOKUP(B189, [1]EFAY!$B:$B,[1]EFAY!$H:$H)</f>
        <v>11.49</v>
      </c>
      <c r="I189" t="str">
        <f>_xlfn.XLOOKUP(B189, [1]EFAY!$B:$B,[1]EFAY!$I:$I)</f>
        <v>JS-Janitorial and Stewarding</v>
      </c>
      <c r="J189" t="str">
        <f>_xlfn.XLOOKUP(B189, [1]EFAY!$B:$B,[1]EFAY!$J:$J)</f>
        <v>SS-Storage Solutions</v>
      </c>
      <c r="K189" t="str">
        <f>_xlfn.XLOOKUP(B189, [1]EFAY!$B:$B,[1]EFAY!$K:$K)</f>
        <v/>
      </c>
      <c r="L189" t="str">
        <f>_xlfn.XLOOKUP(B189, [1]EFAY!$B:$B,[1]EFAY!$L:$L)</f>
        <v>L17.6xH15cm Round Cylinder Cork Bag/Basket Beige for Buffet/Display</v>
      </c>
      <c r="M189" s="3" t="s">
        <v>834</v>
      </c>
      <c r="N189" s="1" t="s">
        <v>838</v>
      </c>
      <c r="O189" s="1" t="s">
        <v>839</v>
      </c>
    </row>
    <row r="190" spans="1:15" x14ac:dyDescent="0.25">
      <c r="A190" t="str">
        <f>_xlfn.XLOOKUP(B190, [1]EFAY!$B:$B,[1]EFAY!$A:$A)</f>
        <v>5712-BAK-407612-BK</v>
      </c>
      <c r="B190" s="3" t="s">
        <v>842</v>
      </c>
      <c r="C190" t="s">
        <v>1089</v>
      </c>
      <c r="D190" t="e">
        <f>_xlfn.XLOOKUP(B190, [1]EFAY!$B:$B,[1]EFAY!$D:$D)</f>
        <v>#VALUE!</v>
      </c>
      <c r="E190" t="str">
        <f>_xlfn.XLOOKUP(B190, [1]EFAY!$B:$B,[1]EFAY!$E:$E)</f>
        <v>NO TAG</v>
      </c>
      <c r="G190" t="s">
        <v>1094</v>
      </c>
      <c r="H190">
        <f>_xlfn.XLOOKUP(B190, [1]EFAY!$B:$B,[1]EFAY!$H:$H)</f>
        <v>11.08</v>
      </c>
      <c r="I190" t="str">
        <f>_xlfn.XLOOKUP(B190, [1]EFAY!$B:$B,[1]EFAY!$I:$I)</f>
        <v>JS-Janitorial and Stewarding</v>
      </c>
      <c r="J190" t="str">
        <f>_xlfn.XLOOKUP(B190, [1]EFAY!$B:$B,[1]EFAY!$J:$J)</f>
        <v>BW-Bakeware</v>
      </c>
      <c r="K190" t="str">
        <f>_xlfn.XLOOKUP(B190, [1]EFAY!$B:$B,[1]EFAY!$K:$K)</f>
        <v>BPT-Baking Pans &amp; Trays</v>
      </c>
      <c r="L190" t="str">
        <f>_xlfn.XLOOKUP(B190, [1]EFAY!$B:$B,[1]EFAY!$L:$L)</f>
        <v>L30xW30cm Square Woody Baker Pastry Tray Black</v>
      </c>
      <c r="M190" s="3" t="s">
        <v>841</v>
      </c>
      <c r="N190" t="s">
        <v>843</v>
      </c>
      <c r="O190" s="1" t="s">
        <v>844</v>
      </c>
    </row>
    <row r="191" spans="1:15" x14ac:dyDescent="0.25">
      <c r="A191" t="str">
        <f>_xlfn.XLOOKUP(B191, [1]EFAY!$B:$B,[1]EFAY!$A:$A)</f>
        <v>5712-BAL-902725BK</v>
      </c>
      <c r="B191" s="3" t="s">
        <v>845</v>
      </c>
      <c r="C191" t="s">
        <v>1089</v>
      </c>
      <c r="D191" t="str">
        <f>_xlfn.XLOOKUP(B191, [1]EFAY!$B:$B,[1]EFAY!$D:$D)</f>
        <v>L:12.5xW:10.5xHT 6cm 'BALLET' DESSERT STAND 2.5"HT,BLACK</v>
      </c>
      <c r="E191" t="str">
        <f>_xlfn.XLOOKUP(B191, [1]EFAY!$B:$B,[1]EFAY!$E:$E)</f>
        <v>NO TAG</v>
      </c>
      <c r="G191" t="s">
        <v>1094</v>
      </c>
      <c r="H191">
        <f>_xlfn.XLOOKUP(B191, [1]EFAY!$B:$B,[1]EFAY!$H:$H)</f>
        <v>5.6</v>
      </c>
      <c r="I191" t="str">
        <f>_xlfn.XLOOKUP(B191, [1]EFAY!$B:$B,[1]EFAY!$I:$I)</f>
        <v>JS-Janitorial and Stewarding</v>
      </c>
      <c r="J191" t="str">
        <f>_xlfn.XLOOKUP(B191, [1]EFAY!$B:$B,[1]EFAY!$J:$J)</f>
        <v>SVW-Serveware</v>
      </c>
      <c r="K191" t="str">
        <f>_xlfn.XLOOKUP(B191, [1]EFAY!$B:$B,[1]EFAY!$K:$K)</f>
        <v>DRA-Display Risers, Stands &amp; Accessories</v>
      </c>
      <c r="L191" t="str">
        <f>_xlfn.XLOOKUP(B191, [1]EFAY!$B:$B,[1]EFAY!$L:$L)</f>
        <v>L12.5xW10.5xH6cm H2.5" Ballet Dessert Stand Black</v>
      </c>
      <c r="M191" s="3" t="s">
        <v>49</v>
      </c>
      <c r="O191" s="1" t="s">
        <v>846</v>
      </c>
    </row>
    <row r="192" spans="1:15" x14ac:dyDescent="0.25">
      <c r="A192" t="str">
        <f>_xlfn.XLOOKUP(B192, [1]EFAY!$B:$B,[1]EFAY!$A:$A)</f>
        <v>5712-COM-706008CG</v>
      </c>
      <c r="B192" s="3" t="s">
        <v>848</v>
      </c>
      <c r="C192" t="s">
        <v>1089</v>
      </c>
      <c r="D192" t="str">
        <f>_xlfn.XLOOKUP(B192, [1]EFAY!$B:$B,[1]EFAY!$D:$D)</f>
        <v>#706008CG, Ø20.3x4.2cm 8" ROUND DEEP PLATE /W STAND, DARK GREY</v>
      </c>
      <c r="E192" t="str">
        <f>_xlfn.XLOOKUP(B192, [1]EFAY!$B:$B,[1]EFAY!$E:$E)</f>
        <v>NO TAG</v>
      </c>
      <c r="G192" t="s">
        <v>1094</v>
      </c>
      <c r="H192">
        <f>_xlfn.XLOOKUP(B192, [1]EFAY!$B:$B,[1]EFAY!$H:$H)</f>
        <v>8.7200000000000006</v>
      </c>
      <c r="I192" t="str">
        <f>_xlfn.XLOOKUP(B192, [1]EFAY!$B:$B,[1]EFAY!$I:$I)</f>
        <v>JS-Janitorial and Stewarding</v>
      </c>
      <c r="J192" t="str">
        <f>_xlfn.XLOOKUP(B192, [1]EFAY!$B:$B,[1]EFAY!$J:$J)</f>
        <v>DWR-Dinnerware</v>
      </c>
      <c r="K192" t="str">
        <f>_xlfn.XLOOKUP(B192, [1]EFAY!$B:$B,[1]EFAY!$K:$K)</f>
        <v>PLT-Plates</v>
      </c>
      <c r="L192" t="str">
        <f>_xlfn.XLOOKUP(B192, [1]EFAY!$B:$B,[1]EFAY!$L:$L)</f>
        <v>#706008CG Ø20.3x4.2cm 8" Round Deep Plate Dark Grey with Stand</v>
      </c>
      <c r="M192" s="3" t="s">
        <v>1004</v>
      </c>
      <c r="N192" t="s">
        <v>922</v>
      </c>
      <c r="O192" s="1" t="s">
        <v>1005</v>
      </c>
    </row>
    <row r="193" spans="1:15" x14ac:dyDescent="0.25">
      <c r="A193" t="str">
        <f>_xlfn.XLOOKUP(B193, [1]EFAY!$B:$B,[1]EFAY!$A:$A)</f>
        <v>5712-COM-706010CG</v>
      </c>
      <c r="B193" s="3" t="s">
        <v>849</v>
      </c>
      <c r="C193" t="s">
        <v>1089</v>
      </c>
      <c r="D193" t="str">
        <f>_xlfn.XLOOKUP(B193, [1]EFAY!$B:$B,[1]EFAY!$D:$D)</f>
        <v>#706010CG, Ø25.2x5.1cm 10" ROUND DEEP PLATE /W STAND, DARK GREY</v>
      </c>
      <c r="E193" t="str">
        <f>_xlfn.XLOOKUP(B193, [1]EFAY!$B:$B,[1]EFAY!$E:$E)</f>
        <v>NO TAG</v>
      </c>
      <c r="G193" t="s">
        <v>1094</v>
      </c>
      <c r="H193">
        <f>_xlfn.XLOOKUP(B193, [1]EFAY!$B:$B,[1]EFAY!$H:$H)</f>
        <v>13</v>
      </c>
      <c r="I193" t="str">
        <f>_xlfn.XLOOKUP(B193, [1]EFAY!$B:$B,[1]EFAY!$I:$I)</f>
        <v>JS-Janitorial and Stewarding</v>
      </c>
      <c r="J193" t="str">
        <f>_xlfn.XLOOKUP(B193, [1]EFAY!$B:$B,[1]EFAY!$J:$J)</f>
        <v>DWR-Dinnerware</v>
      </c>
      <c r="K193" t="str">
        <f>_xlfn.XLOOKUP(B193, [1]EFAY!$B:$B,[1]EFAY!$K:$K)</f>
        <v>PLT-Plates</v>
      </c>
      <c r="L193" t="str">
        <f>_xlfn.XLOOKUP(B193, [1]EFAY!$B:$B,[1]EFAY!$L:$L)</f>
        <v>#706010CG Ø25.2x5.1cm 10" Round Deep Plate Dark Grey with Stand</v>
      </c>
      <c r="M193" s="3" t="s">
        <v>1004</v>
      </c>
      <c r="N193" t="s">
        <v>923</v>
      </c>
      <c r="O193" s="1" t="s">
        <v>1005</v>
      </c>
    </row>
    <row r="194" spans="1:15" x14ac:dyDescent="0.25">
      <c r="A194" t="str">
        <f>_xlfn.XLOOKUP(B194, [1]EFAY!$B:$B,[1]EFAY!$A:$A)</f>
        <v>5712-COM-706012CG</v>
      </c>
      <c r="B194" s="3" t="s">
        <v>850</v>
      </c>
      <c r="C194" t="s">
        <v>1089</v>
      </c>
      <c r="D194" t="str">
        <f>_xlfn.XLOOKUP(B194, [1]EFAY!$B:$B,[1]EFAY!$D:$D)</f>
        <v>(WSL25) #706012CG, Ø30.4x6cm 12" ROUND DEEP PLATE /W STAND, DARK GREY</v>
      </c>
      <c r="E194" t="str">
        <f>_xlfn.XLOOKUP(B194, [1]EFAY!$B:$B,[1]EFAY!$E:$E)</f>
        <v>WSL WITH STOCK</v>
      </c>
      <c r="G194" t="s">
        <v>1094</v>
      </c>
      <c r="H194">
        <f>_xlfn.XLOOKUP(B194, [1]EFAY!$B:$B,[1]EFAY!$H:$H)</f>
        <v>19.34</v>
      </c>
      <c r="I194" t="str">
        <f>_xlfn.XLOOKUP(B194, [1]EFAY!$B:$B,[1]EFAY!$I:$I)</f>
        <v>JS-Janitorial and Stewarding</v>
      </c>
      <c r="J194" t="str">
        <f>_xlfn.XLOOKUP(B194, [1]EFAY!$B:$B,[1]EFAY!$J:$J)</f>
        <v>DWR-Dinnerware</v>
      </c>
      <c r="K194" t="str">
        <f>_xlfn.XLOOKUP(B194, [1]EFAY!$B:$B,[1]EFAY!$K:$K)</f>
        <v>PLT-Plates</v>
      </c>
      <c r="L194" t="str">
        <f>_xlfn.XLOOKUP(B194, [1]EFAY!$B:$B,[1]EFAY!$L:$L)</f>
        <v>#706012CG Ø30.4x6cm 12" Round Deep Plate Dark Grey with Stand</v>
      </c>
      <c r="M194" s="3" t="s">
        <v>1004</v>
      </c>
      <c r="N194" t="s">
        <v>924</v>
      </c>
      <c r="O194" s="1" t="s">
        <v>1005</v>
      </c>
    </row>
    <row r="195" spans="1:15" x14ac:dyDescent="0.25">
      <c r="A195" t="str">
        <f>_xlfn.XLOOKUP(B195, [1]EFAY!$B:$B,[1]EFAY!$A:$A)</f>
        <v>5712-CYBER-705908</v>
      </c>
      <c r="B195" s="3">
        <v>705908</v>
      </c>
      <c r="C195" t="s">
        <v>1089</v>
      </c>
      <c r="D195" t="str">
        <f>_xlfn.XLOOKUP(B195, [1]EFAY!$B:$B,[1]EFAY!$D:$D)</f>
        <v>#705908, DIAØ:20 x HT:35cm 8" CLEAR PC DISPLAY TUBE /W BLACK BASE</v>
      </c>
      <c r="E195" t="str">
        <f>_xlfn.XLOOKUP(B195, [1]EFAY!$B:$B,[1]EFAY!$E:$E)</f>
        <v>NO TAG</v>
      </c>
      <c r="G195" t="s">
        <v>1094</v>
      </c>
      <c r="H195">
        <f>_xlfn.XLOOKUP(B195, [1]EFAY!$B:$B,[1]EFAY!$H:$H)</f>
        <v>51.64</v>
      </c>
      <c r="I195" t="str">
        <f>_xlfn.XLOOKUP(B195, [1]EFAY!$B:$B,[1]EFAY!$I:$I)</f>
        <v>JS-Janitorial and Stewarding</v>
      </c>
      <c r="J195" t="str">
        <f>_xlfn.XLOOKUP(B195, [1]EFAY!$B:$B,[1]EFAY!$J:$J)</f>
        <v/>
      </c>
      <c r="K195" t="str">
        <f>_xlfn.XLOOKUP(B195, [1]EFAY!$B:$B,[1]EFAY!$K:$K)</f>
        <v/>
      </c>
      <c r="L195" t="str">
        <f>_xlfn.XLOOKUP(B195, [1]EFAY!$B:$B,[1]EFAY!$L:$L)</f>
        <v>#705908 PC Ø20xH35cm Display Tube Clear with Black Base</v>
      </c>
      <c r="M195" s="3" t="s">
        <v>1007</v>
      </c>
      <c r="N195" t="s">
        <v>925</v>
      </c>
      <c r="O195" s="1" t="s">
        <v>1008</v>
      </c>
    </row>
    <row r="196" spans="1:15" x14ac:dyDescent="0.25">
      <c r="A196" t="str">
        <f>_xlfn.XLOOKUP(B196, [1]EFAY!$B:$B,[1]EFAY!$A:$A)</f>
        <v>5712-CYBER-705910</v>
      </c>
      <c r="B196" s="3">
        <v>705910</v>
      </c>
      <c r="C196" t="s">
        <v>1089</v>
      </c>
      <c r="D196" t="str">
        <f>_xlfn.XLOOKUP(B196, [1]EFAY!$B:$B,[1]EFAY!$D:$D)</f>
        <v>#705910, DIAØ:25 x HT:45cm 10" CLEAR PC DISPLAY TUBE /W 3-TIER WHITE PLATTER &amp; BLACK BASE</v>
      </c>
      <c r="E196" t="str">
        <f>_xlfn.XLOOKUP(B196, [1]EFAY!$B:$B,[1]EFAY!$E:$E)</f>
        <v>NO TAG</v>
      </c>
      <c r="G196" t="s">
        <v>1094</v>
      </c>
      <c r="H196">
        <f>_xlfn.XLOOKUP(B196, [1]EFAY!$B:$B,[1]EFAY!$H:$H)</f>
        <v>118.83</v>
      </c>
      <c r="I196" t="str">
        <f>_xlfn.XLOOKUP(B196, [1]EFAY!$B:$B,[1]EFAY!$I:$I)</f>
        <v>JS-Janitorial and Stewarding</v>
      </c>
      <c r="J196" t="str">
        <f>_xlfn.XLOOKUP(B196, [1]EFAY!$B:$B,[1]EFAY!$J:$J)</f>
        <v>SVW-Serveware</v>
      </c>
      <c r="K196" t="str">
        <f>_xlfn.XLOOKUP(B196, [1]EFAY!$B:$B,[1]EFAY!$K:$K)</f>
        <v>DRA-Display Risers, Stands &amp; Accessories</v>
      </c>
      <c r="L196" t="str">
        <f>_xlfn.XLOOKUP(B196, [1]EFAY!$B:$B,[1]EFAY!$L:$L)</f>
        <v>#705910 PC Ø25xH45cm 10" Display Tube Clear with 3-Tier White Platter and Black Base</v>
      </c>
      <c r="M196" s="3" t="s">
        <v>1007</v>
      </c>
      <c r="N196" t="s">
        <v>926</v>
      </c>
      <c r="O196" s="1" t="s">
        <v>1008</v>
      </c>
    </row>
    <row r="197" spans="1:15" x14ac:dyDescent="0.25">
      <c r="A197" t="str">
        <f>_xlfn.XLOOKUP(B197, [1]EFAY!$B:$B,[1]EFAY!$A:$A)</f>
        <v>5712-EDA-516004IV</v>
      </c>
      <c r="B197" s="3" t="s">
        <v>851</v>
      </c>
      <c r="C197" t="s">
        <v>1089</v>
      </c>
      <c r="D197" t="str">
        <f>_xlfn.XLOOKUP(B197, [1]EFAY!$B:$B,[1]EFAY!$D:$D)</f>
        <v>(WSL19)#516004, 4'' MELAMINE PETIT WAN WAN DISH (IVORY)</v>
      </c>
      <c r="E197" t="str">
        <f>_xlfn.XLOOKUP(B197, [1]EFAY!$B:$B,[1]EFAY!$E:$E)</f>
        <v>WSL WITH STOCK</v>
      </c>
      <c r="G197" t="s">
        <v>1094</v>
      </c>
      <c r="H197">
        <f>_xlfn.XLOOKUP(B197, [1]EFAY!$B:$B,[1]EFAY!$H:$H)</f>
        <v>1.5</v>
      </c>
      <c r="I197" t="str">
        <f>_xlfn.XLOOKUP(B197, [1]EFAY!$B:$B,[1]EFAY!$I:$I)</f>
        <v>JS-Janitorial and Stewarding</v>
      </c>
      <c r="J197" t="str">
        <f>_xlfn.XLOOKUP(B197, [1]EFAY!$B:$B,[1]EFAY!$J:$J)</f>
        <v>DWR-Dinnerware</v>
      </c>
      <c r="K197" t="str">
        <f>_xlfn.XLOOKUP(B197, [1]EFAY!$B:$B,[1]EFAY!$K:$K)</f>
        <v>BWL-Bowls</v>
      </c>
      <c r="L197" t="str">
        <f>_xlfn.XLOOKUP(B197, [1]EFAY!$B:$B,[1]EFAY!$L:$L)</f>
        <v>#516004 Melamine 4" Petit Wan Wan Dish Ivory</v>
      </c>
      <c r="M197" s="3" t="s">
        <v>1009</v>
      </c>
      <c r="N197" t="s">
        <v>927</v>
      </c>
      <c r="O197" s="1" t="s">
        <v>1010</v>
      </c>
    </row>
    <row r="198" spans="1:15" x14ac:dyDescent="0.25">
      <c r="A198" t="str">
        <f>_xlfn.XLOOKUP(B198, [1]EFAY!$B:$B,[1]EFAY!$A:$A)</f>
        <v>5712-EDB-206131IV</v>
      </c>
      <c r="B198" s="3" t="s">
        <v>852</v>
      </c>
      <c r="C198" t="s">
        <v>1089</v>
      </c>
      <c r="D198" t="str">
        <f>_xlfn.XLOOKUP(B198, [1]EFAY!$B:$B,[1]EFAY!$D:$D)</f>
        <v>(WSL19)(ID ONLY)&lt;4171231&gt; #206131, 31'' MELAMINE MEHNDI OVAL BOWL (IVORY)</v>
      </c>
      <c r="E198" t="str">
        <f>_xlfn.XLOOKUP(B198, [1]EFAY!$B:$B,[1]EFAY!$E:$E)</f>
        <v>WSL WITH STOCK</v>
      </c>
      <c r="G198" t="s">
        <v>1094</v>
      </c>
      <c r="H198">
        <f>_xlfn.XLOOKUP(B198, [1]EFAY!$B:$B,[1]EFAY!$H:$H)</f>
        <v>170.79</v>
      </c>
      <c r="I198" t="str">
        <f>_xlfn.XLOOKUP(B198, [1]EFAY!$B:$B,[1]EFAY!$I:$I)</f>
        <v>JS-Janitorial and Stewarding</v>
      </c>
      <c r="J198" t="str">
        <f>_xlfn.XLOOKUP(B198, [1]EFAY!$B:$B,[1]EFAY!$J:$J)</f>
        <v>SVW-Serveware</v>
      </c>
      <c r="K198" t="str">
        <f>_xlfn.XLOOKUP(B198, [1]EFAY!$B:$B,[1]EFAY!$K:$K)</f>
        <v>MSA-Miscellaneous Serving Accessories</v>
      </c>
      <c r="L198" t="str">
        <f>_xlfn.XLOOKUP(B198, [1]EFAY!$B:$B,[1]EFAY!$L:$L)</f>
        <v>#206131 Melamine 31" Mehndi Oval Bowl Ivory</v>
      </c>
      <c r="M198" s="3" t="s">
        <v>1012</v>
      </c>
      <c r="N198" t="s">
        <v>928</v>
      </c>
      <c r="O198" s="1" t="s">
        <v>1013</v>
      </c>
    </row>
    <row r="199" spans="1:15" x14ac:dyDescent="0.25">
      <c r="A199" t="str">
        <f>_xlfn.XLOOKUP(B199, [1]EFAY!$B:$B,[1]EFAY!$A:$A)</f>
        <v>5712-EDB-206231IV</v>
      </c>
      <c r="B199" s="3" t="s">
        <v>853</v>
      </c>
      <c r="C199" t="s">
        <v>1089</v>
      </c>
      <c r="D199" t="str">
        <f>_xlfn.XLOOKUP(B199, [1]EFAY!$B:$B,[1]EFAY!$D:$D)</f>
        <v>(WSL19)(ID ONLY)&lt;4171331&gt; #206231, 31'' MELAMINE MEHNDI RD BOWL (IVORY)</v>
      </c>
      <c r="E199" t="str">
        <f>_xlfn.XLOOKUP(B199, [1]EFAY!$B:$B,[1]EFAY!$E:$E)</f>
        <v>WSL WITH STOCK</v>
      </c>
      <c r="G199" t="s">
        <v>1094</v>
      </c>
      <c r="H199">
        <f>_xlfn.XLOOKUP(B199, [1]EFAY!$B:$B,[1]EFAY!$H:$H)</f>
        <v>253.34</v>
      </c>
      <c r="I199" t="str">
        <f>_xlfn.XLOOKUP(B199, [1]EFAY!$B:$B,[1]EFAY!$I:$I)</f>
        <v>JS-Janitorial and Stewarding</v>
      </c>
      <c r="J199" t="str">
        <f>_xlfn.XLOOKUP(B199, [1]EFAY!$B:$B,[1]EFAY!$J:$J)</f>
        <v>SVW-Serveware</v>
      </c>
      <c r="K199" t="str">
        <f>_xlfn.XLOOKUP(B199, [1]EFAY!$B:$B,[1]EFAY!$K:$K)</f>
        <v>MSA-Miscellaneous Serving Accessories</v>
      </c>
      <c r="L199" t="str">
        <f>_xlfn.XLOOKUP(B199, [1]EFAY!$B:$B,[1]EFAY!$L:$L)</f>
        <v>#206231 Melamine 31" Mehndi Round Bowl Ivory</v>
      </c>
      <c r="M199" s="3" t="s">
        <v>1012</v>
      </c>
      <c r="N199" t="s">
        <v>929</v>
      </c>
      <c r="O199" s="1" t="s">
        <v>1013</v>
      </c>
    </row>
    <row r="200" spans="1:15" x14ac:dyDescent="0.25">
      <c r="A200" t="str">
        <f>_xlfn.XLOOKUP(B200, [1]EFAY!$B:$B,[1]EFAY!$A:$A)</f>
        <v>5712-EDB-207204IV</v>
      </c>
      <c r="B200" s="3" t="s">
        <v>854</v>
      </c>
      <c r="C200" t="s">
        <v>1089</v>
      </c>
      <c r="D200" t="str">
        <f>_xlfn.XLOOKUP(B200, [1]EFAY!$B:$B,[1]EFAY!$D:$D)</f>
        <v>(WSL19)#207204 4''/8.5cm  MELAMINE 'V' SHAPE BOWL (IVORY)</v>
      </c>
      <c r="E200" t="str">
        <f>_xlfn.XLOOKUP(B200, [1]EFAY!$B:$B,[1]EFAY!$E:$E)</f>
        <v>WSL WITH STOCK</v>
      </c>
      <c r="G200" t="s">
        <v>1094</v>
      </c>
      <c r="H200">
        <f>_xlfn.XLOOKUP(B200, [1]EFAY!$B:$B,[1]EFAY!$H:$H)</f>
        <v>1.92</v>
      </c>
      <c r="I200" t="str">
        <f>_xlfn.XLOOKUP(B200, [1]EFAY!$B:$B,[1]EFAY!$I:$I)</f>
        <v>JS-Janitorial and Stewarding</v>
      </c>
      <c r="J200" t="str">
        <f>_xlfn.XLOOKUP(B200, [1]EFAY!$B:$B,[1]EFAY!$J:$J)</f>
        <v>SVW-Serveware</v>
      </c>
      <c r="K200" t="str">
        <f>_xlfn.XLOOKUP(B200, [1]EFAY!$B:$B,[1]EFAY!$K:$K)</f>
        <v>MSA-Miscellaneous Serving Accessories</v>
      </c>
      <c r="L200" t="str">
        <f>_xlfn.XLOOKUP(B200, [1]EFAY!$B:$B,[1]EFAY!$L:$L)</f>
        <v>#207204 Melamine 4"/8.5cm V Shape Bowl Ivory</v>
      </c>
      <c r="M200" s="3" t="s">
        <v>1017</v>
      </c>
      <c r="N200" t="s">
        <v>930</v>
      </c>
      <c r="O200" s="1" t="s">
        <v>1015</v>
      </c>
    </row>
    <row r="201" spans="1:15" x14ac:dyDescent="0.25">
      <c r="A201" t="str">
        <f>_xlfn.XLOOKUP(B201, [1]EFAY!$B:$B,[1]EFAY!$A:$A)</f>
        <v>5712-EDB-207205IV</v>
      </c>
      <c r="B201" s="3" t="s">
        <v>855</v>
      </c>
      <c r="C201" t="s">
        <v>1089</v>
      </c>
      <c r="D201" t="str">
        <f>_xlfn.XLOOKUP(B201, [1]EFAY!$B:$B,[1]EFAY!$D:$D)</f>
        <v>(WSL19)#207205 5''/13cm  MELAMINE 'V' SHAPE BOWL (IVORY)</v>
      </c>
      <c r="E201" t="str">
        <f>_xlfn.XLOOKUP(B201, [1]EFAY!$B:$B,[1]EFAY!$E:$E)</f>
        <v>WSL WITH STOCK</v>
      </c>
      <c r="G201" t="s">
        <v>1094</v>
      </c>
      <c r="H201">
        <f>_xlfn.XLOOKUP(B201, [1]EFAY!$B:$B,[1]EFAY!$H:$H)</f>
        <v>3.83</v>
      </c>
      <c r="I201" t="str">
        <f>_xlfn.XLOOKUP(B201, [1]EFAY!$B:$B,[1]EFAY!$I:$I)</f>
        <v>JS-Janitorial and Stewarding</v>
      </c>
      <c r="J201" t="str">
        <f>_xlfn.XLOOKUP(B201, [1]EFAY!$B:$B,[1]EFAY!$J:$J)</f>
        <v>SVW-Serveware</v>
      </c>
      <c r="K201" t="str">
        <f>_xlfn.XLOOKUP(B201, [1]EFAY!$B:$B,[1]EFAY!$K:$K)</f>
        <v>MSA-Miscellaneous Serving Accessories</v>
      </c>
      <c r="L201" t="str">
        <f>_xlfn.XLOOKUP(B201, [1]EFAY!$B:$B,[1]EFAY!$L:$L)</f>
        <v>#207205 Melamine 5"/13cm 'V' Shape Bowl Ivory</v>
      </c>
      <c r="M201" s="3" t="s">
        <v>1017</v>
      </c>
      <c r="N201" t="s">
        <v>931</v>
      </c>
      <c r="O201" s="1" t="s">
        <v>1015</v>
      </c>
    </row>
    <row r="202" spans="1:15" x14ac:dyDescent="0.25">
      <c r="A202" t="str">
        <f>_xlfn.XLOOKUP(B202, [1]EFAY!$B:$B,[1]EFAY!$A:$A)</f>
        <v>5712-EDB-207206IV</v>
      </c>
      <c r="B202" s="3" t="s">
        <v>856</v>
      </c>
      <c r="C202" t="s">
        <v>1089</v>
      </c>
      <c r="D202" t="str">
        <f>_xlfn.XLOOKUP(B202, [1]EFAY!$B:$B,[1]EFAY!$D:$D)</f>
        <v>(WSL19)#207206 6''/16cm  MELAMINE 'V' SHAPE BOWL (IVORY)</v>
      </c>
      <c r="E202" t="str">
        <f>_xlfn.XLOOKUP(B202, [1]EFAY!$B:$B,[1]EFAY!$E:$E)</f>
        <v>WSL WITH STOCK</v>
      </c>
      <c r="G202" t="s">
        <v>1094</v>
      </c>
      <c r="H202">
        <f>_xlfn.XLOOKUP(B202, [1]EFAY!$B:$B,[1]EFAY!$H:$H)</f>
        <v>7.72</v>
      </c>
      <c r="I202" t="str">
        <f>_xlfn.XLOOKUP(B202, [1]EFAY!$B:$B,[1]EFAY!$I:$I)</f>
        <v>JS-Janitorial and Stewarding</v>
      </c>
      <c r="J202" t="str">
        <f>_xlfn.XLOOKUP(B202, [1]EFAY!$B:$B,[1]EFAY!$J:$J)</f>
        <v>SVW-Serveware</v>
      </c>
      <c r="K202" t="str">
        <f>_xlfn.XLOOKUP(B202, [1]EFAY!$B:$B,[1]EFAY!$K:$K)</f>
        <v/>
      </c>
      <c r="L202" t="str">
        <f>_xlfn.XLOOKUP(B202, [1]EFAY!$B:$B,[1]EFAY!$L:$L)</f>
        <v>#207206 Melamine 6"/16cm 'V' Shape Bowl Ivory</v>
      </c>
      <c r="M202" s="3" t="s">
        <v>1017</v>
      </c>
      <c r="N202" t="s">
        <v>932</v>
      </c>
      <c r="O202" s="1" t="s">
        <v>1015</v>
      </c>
    </row>
    <row r="203" spans="1:15" x14ac:dyDescent="0.25">
      <c r="A203" t="str">
        <f>_xlfn.XLOOKUP(B203, [1]EFAY!$B:$B,[1]EFAY!$A:$A)</f>
        <v>5712-EDB-224310IV</v>
      </c>
      <c r="B203" s="3" t="s">
        <v>857</v>
      </c>
      <c r="C203" t="s">
        <v>1089</v>
      </c>
      <c r="D203" t="str">
        <f>_xlfn.XLOOKUP(B203, [1]EFAY!$B:$B,[1]EFAY!$D:$D)</f>
        <v>(WSL19)&lt;4171410&gt;#224310, 10'' MELAMINE MEHNDI BOWL (IVORY)</v>
      </c>
      <c r="E203" t="str">
        <f>_xlfn.XLOOKUP(B203, [1]EFAY!$B:$B,[1]EFAY!$E:$E)</f>
        <v>WSL WITH STOCK</v>
      </c>
      <c r="G203" t="s">
        <v>1094</v>
      </c>
      <c r="H203">
        <f>_xlfn.XLOOKUP(B203, [1]EFAY!$B:$B,[1]EFAY!$H:$H)</f>
        <v>4.6100000000000003</v>
      </c>
      <c r="I203" t="str">
        <f>_xlfn.XLOOKUP(B203, [1]EFAY!$B:$B,[1]EFAY!$I:$I)</f>
        <v>JS-Janitorial and Stewarding</v>
      </c>
      <c r="J203" t="str">
        <f>_xlfn.XLOOKUP(B203, [1]EFAY!$B:$B,[1]EFAY!$J:$J)</f>
        <v>DWR-Dinnerware</v>
      </c>
      <c r="K203" t="str">
        <f>_xlfn.XLOOKUP(B203, [1]EFAY!$B:$B,[1]EFAY!$K:$K)</f>
        <v>BWL-Bowls</v>
      </c>
      <c r="L203" t="str">
        <f>_xlfn.XLOOKUP(B203, [1]EFAY!$B:$B,[1]EFAY!$L:$L)</f>
        <v>#224310 Melamine 10" Mehndi Bowl Ivory</v>
      </c>
      <c r="M203" s="3" t="s">
        <v>1020</v>
      </c>
      <c r="N203" t="s">
        <v>933</v>
      </c>
      <c r="O203" s="1" t="s">
        <v>1018</v>
      </c>
    </row>
    <row r="204" spans="1:15" x14ac:dyDescent="0.25">
      <c r="A204" t="str">
        <f>_xlfn.XLOOKUP(B204, [1]EFAY!$B:$B,[1]EFAY!$A:$A)</f>
        <v>5712-EDB-224414IV</v>
      </c>
      <c r="B204" s="3" t="s">
        <v>858</v>
      </c>
      <c r="C204" t="s">
        <v>1089</v>
      </c>
      <c r="D204" t="str">
        <f>_xlfn.XLOOKUP(B204, [1]EFAY!$B:$B,[1]EFAY!$D:$D)</f>
        <v>(WSL19)&lt;4171514&gt;#224414, 14'' MELAMINE MEHNDI BOWL (IVORY)</v>
      </c>
      <c r="E204" t="str">
        <f>_xlfn.XLOOKUP(B204, [1]EFAY!$B:$B,[1]EFAY!$E:$E)</f>
        <v>WSL WITH STOCK</v>
      </c>
      <c r="G204" t="s">
        <v>1094</v>
      </c>
      <c r="H204">
        <f>_xlfn.XLOOKUP(B204, [1]EFAY!$B:$B,[1]EFAY!$H:$H)</f>
        <v>15.43</v>
      </c>
      <c r="I204" t="str">
        <f>_xlfn.XLOOKUP(B204, [1]EFAY!$B:$B,[1]EFAY!$I:$I)</f>
        <v>JS-Janitorial and Stewarding</v>
      </c>
      <c r="J204" t="str">
        <f>_xlfn.XLOOKUP(B204, [1]EFAY!$B:$B,[1]EFAY!$J:$J)</f>
        <v>SVW-Serveware</v>
      </c>
      <c r="K204" t="str">
        <f>_xlfn.XLOOKUP(B204, [1]EFAY!$B:$B,[1]EFAY!$K:$K)</f>
        <v>MSA-Miscellaneous Serving Accessories</v>
      </c>
      <c r="L204" t="str">
        <f>_xlfn.XLOOKUP(B204, [1]EFAY!$B:$B,[1]EFAY!$L:$L)</f>
        <v>#224414 Melamine 14" Mehndi Bowl Ivory</v>
      </c>
      <c r="M204" s="3" t="s">
        <v>1020</v>
      </c>
      <c r="N204" t="s">
        <v>934</v>
      </c>
      <c r="O204" s="1" t="s">
        <v>1018</v>
      </c>
    </row>
    <row r="205" spans="1:15" x14ac:dyDescent="0.25">
      <c r="A205" t="str">
        <f>_xlfn.XLOOKUP(B205, [1]EFAY!$B:$B,[1]EFAY!$A:$A)</f>
        <v>5712-EDB-224521IV</v>
      </c>
      <c r="B205" s="3" t="s">
        <v>859</v>
      </c>
      <c r="C205" t="s">
        <v>1089</v>
      </c>
      <c r="D205" t="str">
        <f>_xlfn.XLOOKUP(B205, [1]EFAY!$B:$B,[1]EFAY!$D:$D)</f>
        <v>&lt;4171621&gt;#224521, 21" MELAMINE MEHNDI BOWL (IVORY)</v>
      </c>
      <c r="E205" t="str">
        <f>_xlfn.XLOOKUP(B205, [1]EFAY!$B:$B,[1]EFAY!$E:$E)</f>
        <v>NO TAG</v>
      </c>
      <c r="G205" t="s">
        <v>1094</v>
      </c>
      <c r="H205">
        <f>_xlfn.XLOOKUP(B205, [1]EFAY!$B:$B,[1]EFAY!$H:$H)</f>
        <v>26.09</v>
      </c>
      <c r="I205" t="str">
        <f>_xlfn.XLOOKUP(B205, [1]EFAY!$B:$B,[1]EFAY!$I:$I)</f>
        <v>JS-Janitorial and Stewarding</v>
      </c>
      <c r="J205" t="str">
        <f>_xlfn.XLOOKUP(B205, [1]EFAY!$B:$B,[1]EFAY!$J:$J)</f>
        <v>SVW-Serveware</v>
      </c>
      <c r="K205" t="str">
        <f>_xlfn.XLOOKUP(B205, [1]EFAY!$B:$B,[1]EFAY!$K:$K)</f>
        <v>MSA-Miscellaneous Serving Accessories</v>
      </c>
      <c r="L205" t="str">
        <f>_xlfn.XLOOKUP(B205, [1]EFAY!$B:$B,[1]EFAY!$L:$L)</f>
        <v>#224521 Melamine 21" Mehndi Bowl Ivory</v>
      </c>
      <c r="M205" s="3" t="s">
        <v>1020</v>
      </c>
      <c r="N205" t="s">
        <v>935</v>
      </c>
      <c r="O205" s="1" t="s">
        <v>1018</v>
      </c>
    </row>
    <row r="206" spans="1:15" x14ac:dyDescent="0.25">
      <c r="A206" t="str">
        <f>_xlfn.XLOOKUP(B206, [1]EFAY!$B:$B,[1]EFAY!$A:$A)</f>
        <v>5712-EDP-100122/BK</v>
      </c>
      <c r="B206" s="3" t="s">
        <v>860</v>
      </c>
      <c r="C206" t="s">
        <v>1089</v>
      </c>
      <c r="D206" t="str">
        <f>_xlfn.XLOOKUP(B206, [1]EFAY!$B:$B,[1]EFAY!$D:$D)</f>
        <v>(ID) #100122 "DIDO" 56cmX32cm RECT. DEEP BUFFET PLATE (BLACK)</v>
      </c>
      <c r="E206" t="str">
        <f>_xlfn.XLOOKUP(B206, [1]EFAY!$B:$B,[1]EFAY!$E:$E)</f>
        <v>ID NO STOCK</v>
      </c>
      <c r="G206" t="s">
        <v>1094</v>
      </c>
      <c r="H206">
        <f>_xlfn.XLOOKUP(B206, [1]EFAY!$B:$B,[1]EFAY!$H:$H)</f>
        <v>30.77</v>
      </c>
      <c r="I206" t="str">
        <f>_xlfn.XLOOKUP(B206, [1]EFAY!$B:$B,[1]EFAY!$I:$I)</f>
        <v>JS-Janitorial and Stewarding</v>
      </c>
      <c r="J206" t="str">
        <f>_xlfn.XLOOKUP(B206, [1]EFAY!$B:$B,[1]EFAY!$J:$J)</f>
        <v>SVW-Serveware</v>
      </c>
      <c r="K206" t="str">
        <f>_xlfn.XLOOKUP(B206, [1]EFAY!$B:$B,[1]EFAY!$K:$K)</f>
        <v>MSA-Miscellaneous Serving Accessories</v>
      </c>
      <c r="L206" t="str">
        <f>_xlfn.XLOOKUP(B206, [1]EFAY!$B:$B,[1]EFAY!$L:$L)</f>
        <v>#10012 56x32cm Dido Rectangular Deep Buffet Plate Black</v>
      </c>
      <c r="M206" s="3" t="s">
        <v>49</v>
      </c>
      <c r="N206" t="s">
        <v>936</v>
      </c>
      <c r="O206" s="1" t="s">
        <v>846</v>
      </c>
    </row>
    <row r="207" spans="1:15" x14ac:dyDescent="0.25">
      <c r="A207" t="str">
        <f>_xlfn.XLOOKUP(B207, [1]EFAY!$B:$B,[1]EFAY!$A:$A)</f>
        <v>5712-EDP-2420A-BK</v>
      </c>
      <c r="B207" s="3" t="s">
        <v>861</v>
      </c>
      <c r="C207" t="s">
        <v>1089</v>
      </c>
      <c r="D207" t="str">
        <f>_xlfn.XLOOKUP(B207, [1]EFAY!$B:$B,[1]EFAY!$D:$D)</f>
        <v>(DCWSL22)&lt;4172501&gt; #2420 2/4x20mm/1" (525X160mm) MELAMINE GN FOOD INSERT PAN (BLACK)</v>
      </c>
      <c r="E207" t="str">
        <f>_xlfn.XLOOKUP(B207, [1]EFAY!$B:$B,[1]EFAY!$E:$E)</f>
        <v>WSL WITH STOCK</v>
      </c>
      <c r="G207" t="s">
        <v>1094</v>
      </c>
      <c r="H207">
        <f>_xlfn.XLOOKUP(B207, [1]EFAY!$B:$B,[1]EFAY!$H:$H)</f>
        <v>15.86</v>
      </c>
      <c r="I207" t="str">
        <f>_xlfn.XLOOKUP(B207, [1]EFAY!$B:$B,[1]EFAY!$I:$I)</f>
        <v>JS-Janitorial and Stewarding</v>
      </c>
      <c r="J207" t="str">
        <f>_xlfn.XLOOKUP(B207, [1]EFAY!$B:$B,[1]EFAY!$J:$J)</f>
        <v>SS-Storage Solutions</v>
      </c>
      <c r="K207" t="str">
        <f>_xlfn.XLOOKUP(B207, [1]EFAY!$B:$B,[1]EFAY!$K:$K)</f>
        <v>FP-Food Pans</v>
      </c>
      <c r="L207" t="str">
        <f>_xlfn.XLOOKUP(B207, [1]EFAY!$B:$B,[1]EFAY!$L:$L)</f>
        <v>#2420  Melamine 2/4x20mm/1" 525x160mm GN Food Insert Pan Black</v>
      </c>
      <c r="M207" s="3" t="s">
        <v>1021</v>
      </c>
      <c r="N207" t="s">
        <v>937</v>
      </c>
      <c r="O207" s="1" t="s">
        <v>1022</v>
      </c>
    </row>
    <row r="208" spans="1:15" x14ac:dyDescent="0.25">
      <c r="A208" t="str">
        <f>_xlfn.XLOOKUP(B208, [1]EFAY!$B:$B,[1]EFAY!$A:$A)</f>
        <v>5712-EDP-2420A-RD</v>
      </c>
      <c r="B208" s="3" t="s">
        <v>862</v>
      </c>
      <c r="C208" t="s">
        <v>1089</v>
      </c>
      <c r="D208" t="str">
        <f>_xlfn.XLOOKUP(B208, [1]EFAY!$B:$B,[1]EFAY!$D:$D)</f>
        <v>(ID-MOQ)&lt;4172501&gt; #2420 2/4x20mm/1" (525X160mm) MELAMINE GN FOOD INSERT PAN (RED)</v>
      </c>
      <c r="E208" t="str">
        <f>_xlfn.XLOOKUP(B208, [1]EFAY!$B:$B,[1]EFAY!$E:$E)</f>
        <v>ID WITH STOCK</v>
      </c>
      <c r="G208" t="s">
        <v>1094</v>
      </c>
      <c r="H208">
        <f>_xlfn.XLOOKUP(B208, [1]EFAY!$B:$B,[1]EFAY!$H:$H)</f>
        <v>16.21</v>
      </c>
      <c r="I208" t="str">
        <f>_xlfn.XLOOKUP(B208, [1]EFAY!$B:$B,[1]EFAY!$I:$I)</f>
        <v>JS-Janitorial and Stewarding</v>
      </c>
      <c r="J208" t="str">
        <f>_xlfn.XLOOKUP(B208, [1]EFAY!$B:$B,[1]EFAY!$J:$J)</f>
        <v>SS-Storage Solutions</v>
      </c>
      <c r="K208" t="str">
        <f>_xlfn.XLOOKUP(B208, [1]EFAY!$B:$B,[1]EFAY!$K:$K)</f>
        <v>FP-Food Pans</v>
      </c>
      <c r="L208" t="str">
        <f>_xlfn.XLOOKUP(B208, [1]EFAY!$B:$B,[1]EFAY!$L:$L)</f>
        <v>#2420 Melamine 2/4x20mm/1" 525x160mm GN Food Insert Pan Red</v>
      </c>
      <c r="M208" s="3" t="s">
        <v>1021</v>
      </c>
      <c r="N208" t="s">
        <v>938</v>
      </c>
      <c r="O208" s="1" t="s">
        <v>1022</v>
      </c>
    </row>
    <row r="209" spans="1:15" x14ac:dyDescent="0.25">
      <c r="A209" t="str">
        <f>_xlfn.XLOOKUP(B209, [1]EFAY!$B:$B,[1]EFAY!$A:$A)</f>
        <v>5712-EGN-1440LIV</v>
      </c>
      <c r="B209" s="3" t="s">
        <v>863</v>
      </c>
      <c r="C209" t="s">
        <v>1089</v>
      </c>
      <c r="D209" t="str">
        <f>_xlfn.XLOOKUP(B209, [1]EFAY!$B:$B,[1]EFAY!$D:$D)</f>
        <v>(WSL19)#1440L, 40MM MELAMINE LUNA GN 1/4 CURVE PLATE (IVORY)</v>
      </c>
      <c r="E209" t="str">
        <f>_xlfn.XLOOKUP(B209, [1]EFAY!$B:$B,[1]EFAY!$E:$E)</f>
        <v>WSL WITH STOCK</v>
      </c>
      <c r="G209" t="s">
        <v>1094</v>
      </c>
      <c r="H209">
        <f>_xlfn.XLOOKUP(B209, [1]EFAY!$B:$B,[1]EFAY!$H:$H)</f>
        <v>7.69</v>
      </c>
      <c r="I209" t="str">
        <f>_xlfn.XLOOKUP(B209, [1]EFAY!$B:$B,[1]EFAY!$I:$I)</f>
        <v>JS-Janitorial and Stewarding</v>
      </c>
      <c r="J209" t="str">
        <f>_xlfn.XLOOKUP(B209, [1]EFAY!$B:$B,[1]EFAY!$J:$J)</f>
        <v>DWR-Dinnerware</v>
      </c>
      <c r="K209" t="str">
        <f>_xlfn.XLOOKUP(B209, [1]EFAY!$B:$B,[1]EFAY!$K:$K)</f>
        <v>PLT-Plates</v>
      </c>
      <c r="L209" t="str">
        <f>_xlfn.XLOOKUP(B209, [1]EFAY!$B:$B,[1]EFAY!$L:$L)</f>
        <v>#1440L GN 1/4  Melamine 40mm LunaCurve Plate Ivory</v>
      </c>
      <c r="M209" s="3" t="s">
        <v>39</v>
      </c>
      <c r="N209" t="s">
        <v>939</v>
      </c>
      <c r="O209" s="1" t="s">
        <v>1024</v>
      </c>
    </row>
    <row r="210" spans="1:15" x14ac:dyDescent="0.25">
      <c r="A210" t="str">
        <f>_xlfn.XLOOKUP(B210, [1]EFAY!$B:$B,[1]EFAY!$A:$A)</f>
        <v>5712-ETS-5316BK1</v>
      </c>
      <c r="B210" s="3" t="s">
        <v>864</v>
      </c>
      <c r="C210" t="s">
        <v>1089</v>
      </c>
      <c r="D210" t="str">
        <f>_xlfn.XLOOKUP(B210, [1]EFAY!$B:$B,[1]EFAY!$D:$D)</f>
        <v>(DCWSL19) #5316BK1 2/4 SIZE 'TAROKO' GRANTIE SLATE,BLACK MARBLE DECAL (520X160mm)</v>
      </c>
      <c r="E210" t="str">
        <f>_xlfn.XLOOKUP(B210, [1]EFAY!$B:$B,[1]EFAY!$E:$E)</f>
        <v>WSL WITH STOCK</v>
      </c>
      <c r="G210" t="s">
        <v>1094</v>
      </c>
      <c r="H210">
        <f>_xlfn.XLOOKUP(B210, [1]EFAY!$B:$B,[1]EFAY!$H:$H)</f>
        <v>23.5</v>
      </c>
      <c r="I210" t="str">
        <f>_xlfn.XLOOKUP(B210, [1]EFAY!$B:$B,[1]EFAY!$I:$I)</f>
        <v>JS-Janitorial and Stewarding</v>
      </c>
      <c r="J210" t="str">
        <f>_xlfn.XLOOKUP(B210, [1]EFAY!$B:$B,[1]EFAY!$J:$J)</f>
        <v>TAL-Table Accessories &amp; Linens</v>
      </c>
      <c r="K210" t="str">
        <f>_xlfn.XLOOKUP(B210, [1]EFAY!$B:$B,[1]EFAY!$K:$K)</f>
        <v>DEC-Decorations</v>
      </c>
      <c r="L210" t="str">
        <f>_xlfn.XLOOKUP(B210, [1]EFAY!$B:$B,[1]EFAY!$L:$L)</f>
        <v>#5316BK1 2/4 Size 520x160mm Taroko Granite Slate Black Marble Decal</v>
      </c>
      <c r="M210" s="3" t="s">
        <v>1027</v>
      </c>
      <c r="N210" t="s">
        <v>940</v>
      </c>
      <c r="O210" s="1" t="s">
        <v>1026</v>
      </c>
    </row>
    <row r="211" spans="1:15" x14ac:dyDescent="0.25">
      <c r="A211" t="str">
        <f>_xlfn.XLOOKUP(B211, [1]EFAY!$B:$B,[1]EFAY!$A:$A)</f>
        <v>5712-GAM-904611BK</v>
      </c>
      <c r="B211" s="3" t="s">
        <v>865</v>
      </c>
      <c r="C211" t="s">
        <v>1089</v>
      </c>
      <c r="D211" t="str">
        <f>_xlfn.XLOOKUP(B211, [1]EFAY!$B:$B,[1]EFAY!$D:$D)</f>
        <v>1/1 SIZE, 55x34xHT:44cm 3 TIER BREAD CASE, METAL+ACRYLIC, GAMMA</v>
      </c>
      <c r="E211" t="str">
        <f>_xlfn.XLOOKUP(B211, [1]EFAY!$B:$B,[1]EFAY!$E:$E)</f>
        <v>NO TAG</v>
      </c>
      <c r="G211" t="s">
        <v>1094</v>
      </c>
      <c r="H211">
        <f>_xlfn.XLOOKUP(B211, [1]EFAY!$B:$B,[1]EFAY!$H:$H)</f>
        <v>323.8</v>
      </c>
      <c r="I211" t="str">
        <f>_xlfn.XLOOKUP(B211, [1]EFAY!$B:$B,[1]EFAY!$I:$I)</f>
        <v>JS-Janitorial and Stewarding</v>
      </c>
      <c r="J211" t="str">
        <f>_xlfn.XLOOKUP(B211, [1]EFAY!$B:$B,[1]EFAY!$J:$J)</f>
        <v>FW-Food Holding &amp; Warming</v>
      </c>
      <c r="K211" t="str">
        <f>_xlfn.XLOOKUP(B211, [1]EFAY!$B:$B,[1]EFAY!$K:$K)</f>
        <v/>
      </c>
      <c r="L211" t="str">
        <f>_xlfn.XLOOKUP(B211, [1]EFAY!$B:$B,[1]EFAY!$L:$L)</f>
        <v>Gamma 1/1 Size Metal+Acrylic 55x34xH44cm 3 Tier Bread Case</v>
      </c>
      <c r="M211" s="3" t="s">
        <v>1029</v>
      </c>
      <c r="N211" t="s">
        <v>941</v>
      </c>
      <c r="O211" s="1" t="s">
        <v>1030</v>
      </c>
    </row>
    <row r="212" spans="1:15" x14ac:dyDescent="0.25">
      <c r="A212" t="str">
        <f>_xlfn.XLOOKUP(B212, [1]EFAY!$B:$B,[1]EFAY!$A:$A)</f>
        <v>5712-GAM-904614BK</v>
      </c>
      <c r="B212" s="3" t="s">
        <v>866</v>
      </c>
      <c r="C212" t="s">
        <v>1089</v>
      </c>
      <c r="D212" t="str">
        <f>_xlfn.XLOOKUP(B212, [1]EFAY!$B:$B,[1]EFAY!$D:$D)</f>
        <v>1/4 SIZE, 27x16xHT:44cm 3 TIER BREAD CASE, DRAWER, METAL+ACRYLIC, GAMMA</v>
      </c>
      <c r="E212" t="str">
        <f>_xlfn.XLOOKUP(B212, [1]EFAY!$B:$B,[1]EFAY!$E:$E)</f>
        <v>NO TAG</v>
      </c>
      <c r="G212" t="s">
        <v>1094</v>
      </c>
      <c r="H212">
        <f>_xlfn.XLOOKUP(B212, [1]EFAY!$B:$B,[1]EFAY!$H:$H)</f>
        <v>210.3</v>
      </c>
      <c r="I212" t="str">
        <f>_xlfn.XLOOKUP(B212, [1]EFAY!$B:$B,[1]EFAY!$I:$I)</f>
        <v>JS-Janitorial and Stewarding</v>
      </c>
      <c r="J212" t="str">
        <f>_xlfn.XLOOKUP(B212, [1]EFAY!$B:$B,[1]EFAY!$J:$J)</f>
        <v>FW-Food Holding &amp; Warming</v>
      </c>
      <c r="K212" t="str">
        <f>_xlfn.XLOOKUP(B212, [1]EFAY!$B:$B,[1]EFAY!$K:$K)</f>
        <v/>
      </c>
      <c r="L212" t="str">
        <f>_xlfn.XLOOKUP(B212, [1]EFAY!$B:$B,[1]EFAY!$L:$L)</f>
        <v>Gamma 1/4 Size Metal + Acrylic 27x16xH44cm 3 Tier Bread Case with Drawer</v>
      </c>
      <c r="M212" s="3" t="s">
        <v>1029</v>
      </c>
      <c r="N212" t="s">
        <v>942</v>
      </c>
      <c r="O212" s="1" t="s">
        <v>1030</v>
      </c>
    </row>
    <row r="213" spans="1:15" x14ac:dyDescent="0.25">
      <c r="A213" t="str">
        <f>_xlfn.XLOOKUP(B213, [1]EFAY!$B:$B,[1]EFAY!$A:$A)</f>
        <v>5712-GAM-904912BK</v>
      </c>
      <c r="B213" s="3" t="s">
        <v>867</v>
      </c>
      <c r="C213" t="s">
        <v>1089</v>
      </c>
      <c r="D213" t="str">
        <f>_xlfn.XLOOKUP(B213, [1]EFAY!$B:$B,[1]EFAY!$D:$D)</f>
        <v>1/2 SIZE, 34.3x28.3xHT:43.5cm 3 TIER BREAD CASE, METAL+ACRYLIC, GAMMA</v>
      </c>
      <c r="E213" t="str">
        <f>_xlfn.XLOOKUP(B213, [1]EFAY!$B:$B,[1]EFAY!$E:$E)</f>
        <v>NO TAG</v>
      </c>
      <c r="G213" t="s">
        <v>1094</v>
      </c>
      <c r="H213">
        <f>_xlfn.XLOOKUP(B213, [1]EFAY!$B:$B,[1]EFAY!$H:$H)</f>
        <v>288.8</v>
      </c>
      <c r="I213" t="str">
        <f>_xlfn.XLOOKUP(B213, [1]EFAY!$B:$B,[1]EFAY!$I:$I)</f>
        <v>JS-Janitorial and Stewarding</v>
      </c>
      <c r="J213" t="str">
        <f>_xlfn.XLOOKUP(B213, [1]EFAY!$B:$B,[1]EFAY!$J:$J)</f>
        <v>FW-Food Holding &amp; Warming</v>
      </c>
      <c r="K213" t="str">
        <f>_xlfn.XLOOKUP(B213, [1]EFAY!$B:$B,[1]EFAY!$K:$K)</f>
        <v/>
      </c>
      <c r="L213" t="str">
        <f>_xlfn.XLOOKUP(B213, [1]EFAY!$B:$B,[1]EFAY!$L:$L)</f>
        <v>Gamma 1/2 Size Metal+Acrylic 34.3x28.3xH43.5cm 3 Tier Bread Case</v>
      </c>
      <c r="M213" s="3" t="s">
        <v>1029</v>
      </c>
      <c r="N213" t="s">
        <v>943</v>
      </c>
      <c r="O213" s="1" t="s">
        <v>1030</v>
      </c>
    </row>
    <row r="214" spans="1:15" x14ac:dyDescent="0.25">
      <c r="A214" t="str">
        <f>_xlfn.XLOOKUP(B214, [1]EFAY!$B:$B,[1]EFAY!$A:$A)</f>
        <v>5712-GN-407811CG40</v>
      </c>
      <c r="B214" s="3" t="s">
        <v>868</v>
      </c>
      <c r="C214" t="s">
        <v>1089</v>
      </c>
      <c r="D214" t="str">
        <f>_xlfn.XLOOKUP(B214, [1]EFAY!$B:$B,[1]EFAY!$D:$D)</f>
        <v>(ID, MOQ:60) #407811-CG40, 1/1 GN BAKER TRAY, CORRASE TERRAZZO</v>
      </c>
      <c r="E214" t="str">
        <f>_xlfn.XLOOKUP(B214, [1]EFAY!$B:$B,[1]EFAY!$E:$E)</f>
        <v>ID WITH STOCK</v>
      </c>
      <c r="G214" t="s">
        <v>1094</v>
      </c>
      <c r="H214">
        <f>_xlfn.XLOOKUP(B214, [1]EFAY!$B:$B,[1]EFAY!$H:$H)</f>
        <v>25.34</v>
      </c>
      <c r="I214" t="str">
        <f>_xlfn.XLOOKUP(B214, [1]EFAY!$B:$B,[1]EFAY!$I:$I)</f>
        <v>JS-Janitorial and Stewarding</v>
      </c>
      <c r="J214" t="str">
        <f>_xlfn.XLOOKUP(B214, [1]EFAY!$B:$B,[1]EFAY!$J:$J)</f>
        <v>BW-Bakeware</v>
      </c>
      <c r="K214" t="str">
        <f>_xlfn.XLOOKUP(B214, [1]EFAY!$B:$B,[1]EFAY!$K:$K)</f>
        <v>BPT-Baking Pans &amp; Trays</v>
      </c>
      <c r="L214" t="str">
        <f>_xlfn.XLOOKUP(B214, [1]EFAY!$B:$B,[1]EFAY!$L:$L)</f>
        <v>#407811-CG40 1/1 GN Baker Tray   Corrase Terrazzo</v>
      </c>
      <c r="M214" s="3" t="s">
        <v>1032</v>
      </c>
      <c r="N214" t="s">
        <v>944</v>
      </c>
      <c r="O214" s="1" t="s">
        <v>1031</v>
      </c>
    </row>
    <row r="215" spans="1:15" x14ac:dyDescent="0.25">
      <c r="A215" t="str">
        <f>_xlfn.XLOOKUP(B215, [1]EFAY!$B:$B,[1]EFAY!$A:$A)</f>
        <v>5712-GN-407811CG46</v>
      </c>
      <c r="B215" s="3" t="s">
        <v>869</v>
      </c>
      <c r="C215" t="s">
        <v>1089</v>
      </c>
      <c r="D215" t="str">
        <f>_xlfn.XLOOKUP(B215, [1]EFAY!$B:$B,[1]EFAY!$D:$D)</f>
        <v>(ID, MOQ:60) #407811-CG46, 1/1 GN BAKER TRAY, RUST</v>
      </c>
      <c r="E215" t="str">
        <f>_xlfn.XLOOKUP(B215, [1]EFAY!$B:$B,[1]EFAY!$E:$E)</f>
        <v>ID WITH STOCK</v>
      </c>
      <c r="G215" t="s">
        <v>1094</v>
      </c>
      <c r="H215">
        <f>_xlfn.XLOOKUP(B215, [1]EFAY!$B:$B,[1]EFAY!$H:$H)</f>
        <v>25.34</v>
      </c>
      <c r="I215" t="str">
        <f>_xlfn.XLOOKUP(B215, [1]EFAY!$B:$B,[1]EFAY!$I:$I)</f>
        <v>JS-Janitorial and Stewarding</v>
      </c>
      <c r="J215" t="str">
        <f>_xlfn.XLOOKUP(B215, [1]EFAY!$B:$B,[1]EFAY!$J:$J)</f>
        <v>BW-Bakeware</v>
      </c>
      <c r="K215" t="str">
        <f>_xlfn.XLOOKUP(B215, [1]EFAY!$B:$B,[1]EFAY!$K:$K)</f>
        <v>BPT-Baking Pans &amp; Trays</v>
      </c>
      <c r="L215" t="str">
        <f>_xlfn.XLOOKUP(B215, [1]EFAY!$B:$B,[1]EFAY!$L:$L)</f>
        <v>#407811-CG46 1/1 GN Baker Tray Rust</v>
      </c>
      <c r="M215" s="3" t="s">
        <v>1032</v>
      </c>
      <c r="N215" t="s">
        <v>945</v>
      </c>
      <c r="O215" s="1" t="s">
        <v>1031</v>
      </c>
    </row>
    <row r="216" spans="1:15" x14ac:dyDescent="0.25">
      <c r="A216" t="str">
        <f>_xlfn.XLOOKUP(B216, [1]EFAY!$B:$B,[1]EFAY!$A:$A)</f>
        <v>5712-GN-407811IV47</v>
      </c>
      <c r="B216" s="3" t="s">
        <v>870</v>
      </c>
      <c r="C216" t="s">
        <v>1089</v>
      </c>
      <c r="D216" t="str">
        <f>_xlfn.XLOOKUP(B216, [1]EFAY!$B:$B,[1]EFAY!$D:$D)</f>
        <v>(ID, MOQ:60) #407811-IV47, 1/1 GN BAKER TRAY, JEAN</v>
      </c>
      <c r="E216" t="str">
        <f>_xlfn.XLOOKUP(B216, [1]EFAY!$B:$B,[1]EFAY!$E:$E)</f>
        <v>ID WITH STOCK</v>
      </c>
      <c r="G216" t="s">
        <v>1094</v>
      </c>
      <c r="H216">
        <f>_xlfn.XLOOKUP(B216, [1]EFAY!$B:$B,[1]EFAY!$H:$H)</f>
        <v>25.34</v>
      </c>
      <c r="I216" t="str">
        <f>_xlfn.XLOOKUP(B216, [1]EFAY!$B:$B,[1]EFAY!$I:$I)</f>
        <v>JS-Janitorial and Stewarding</v>
      </c>
      <c r="J216" t="str">
        <f>_xlfn.XLOOKUP(B216, [1]EFAY!$B:$B,[1]EFAY!$J:$J)</f>
        <v>BW-Bakeware</v>
      </c>
      <c r="K216" t="str">
        <f>_xlfn.XLOOKUP(B216, [1]EFAY!$B:$B,[1]EFAY!$K:$K)</f>
        <v>BPT-Baking Pans &amp; Trays</v>
      </c>
      <c r="L216" t="str">
        <f>_xlfn.XLOOKUP(B216, [1]EFAY!$B:$B,[1]EFAY!$L:$L)</f>
        <v>#407811-IV47 1/1 GN Baker Tray Jean</v>
      </c>
      <c r="M216" s="3" t="s">
        <v>1032</v>
      </c>
      <c r="N216" t="s">
        <v>946</v>
      </c>
      <c r="O216" s="1" t="s">
        <v>1031</v>
      </c>
    </row>
    <row r="217" spans="1:15" x14ac:dyDescent="0.25">
      <c r="A217" t="str">
        <f>_xlfn.XLOOKUP(B217, [1]EFAY!$B:$B,[1]EFAY!$A:$A)</f>
        <v>5712-GN-407812CG46</v>
      </c>
      <c r="B217" s="3" t="s">
        <v>871</v>
      </c>
      <c r="C217" t="s">
        <v>1089</v>
      </c>
      <c r="D217" t="str">
        <f>_xlfn.XLOOKUP(B217, [1]EFAY!$B:$B,[1]EFAY!$D:$D)</f>
        <v>(ID, MOQ:72) #407812-CG46, 1/2 GN BAKER TRAY, RUST</v>
      </c>
      <c r="E217" t="str">
        <f>_xlfn.XLOOKUP(B217, [1]EFAY!$B:$B,[1]EFAY!$E:$E)</f>
        <v>ID WITH STOCK</v>
      </c>
      <c r="G217" t="s">
        <v>1094</v>
      </c>
      <c r="H217">
        <f>_xlfn.XLOOKUP(B217, [1]EFAY!$B:$B,[1]EFAY!$H:$H)</f>
        <v>11.31</v>
      </c>
      <c r="I217" t="str">
        <f>_xlfn.XLOOKUP(B217, [1]EFAY!$B:$B,[1]EFAY!$I:$I)</f>
        <v>JS-Janitorial and Stewarding</v>
      </c>
      <c r="J217" t="str">
        <f>_xlfn.XLOOKUP(B217, [1]EFAY!$B:$B,[1]EFAY!$J:$J)</f>
        <v>BW-Bakeware</v>
      </c>
      <c r="K217" t="str">
        <f>_xlfn.XLOOKUP(B217, [1]EFAY!$B:$B,[1]EFAY!$K:$K)</f>
        <v>BPT-Baking Pans &amp; Trays</v>
      </c>
      <c r="L217" t="str">
        <f>_xlfn.XLOOKUP(B217, [1]EFAY!$B:$B,[1]EFAY!$L:$L)</f>
        <v>#407812-CG46 1/2 GN Baker Tray Rust</v>
      </c>
      <c r="M217" s="3" t="s">
        <v>1032</v>
      </c>
      <c r="N217" t="s">
        <v>947</v>
      </c>
      <c r="O217" s="1" t="s">
        <v>1031</v>
      </c>
    </row>
    <row r="218" spans="1:15" x14ac:dyDescent="0.25">
      <c r="A218" t="str">
        <f>_xlfn.XLOOKUP(B218, [1]EFAY!$B:$B,[1]EFAY!$A:$A)</f>
        <v>5712-GN-407812CP48</v>
      </c>
      <c r="B218" s="3" t="s">
        <v>872</v>
      </c>
      <c r="C218" t="s">
        <v>1089</v>
      </c>
      <c r="D218" t="str">
        <f>_xlfn.XLOOKUP(B218, [1]EFAY!$B:$B,[1]EFAY!$D:$D)</f>
        <v>(ID, MOQ:72) #407812-CP48, 1/2 GN BAKER TRAY, CANDY FLOSS</v>
      </c>
      <c r="E218" t="str">
        <f>_xlfn.XLOOKUP(B218, [1]EFAY!$B:$B,[1]EFAY!$E:$E)</f>
        <v>ID WITH STOCK</v>
      </c>
      <c r="G218" t="s">
        <v>1094</v>
      </c>
      <c r="H218">
        <f>_xlfn.XLOOKUP(B218, [1]EFAY!$B:$B,[1]EFAY!$H:$H)</f>
        <v>11.31</v>
      </c>
      <c r="I218" t="str">
        <f>_xlfn.XLOOKUP(B218, [1]EFAY!$B:$B,[1]EFAY!$I:$I)</f>
        <v>JS-Janitorial and Stewarding</v>
      </c>
      <c r="J218" t="str">
        <f>_xlfn.XLOOKUP(B218, [1]EFAY!$B:$B,[1]EFAY!$J:$J)</f>
        <v>BW-Bakeware</v>
      </c>
      <c r="K218" t="str">
        <f>_xlfn.XLOOKUP(B218, [1]EFAY!$B:$B,[1]EFAY!$K:$K)</f>
        <v>BPT-Baking Pans &amp; Trays</v>
      </c>
      <c r="L218" t="str">
        <f>_xlfn.XLOOKUP(B218, [1]EFAY!$B:$B,[1]EFAY!$L:$L)</f>
        <v>#407812-CP48 1/2 GN Baker Tray Candy Floss</v>
      </c>
      <c r="M218" s="3" t="s">
        <v>1032</v>
      </c>
      <c r="N218" t="s">
        <v>948</v>
      </c>
      <c r="O218" s="1" t="s">
        <v>1031</v>
      </c>
    </row>
    <row r="219" spans="1:15" x14ac:dyDescent="0.25">
      <c r="A219" t="str">
        <f>_xlfn.XLOOKUP(B219, [1]EFAY!$B:$B,[1]EFAY!$A:$A)</f>
        <v>5712-GN-CB803202-WHT</v>
      </c>
      <c r="B219" s="3">
        <v>803202</v>
      </c>
      <c r="C219" t="s">
        <v>1089</v>
      </c>
      <c r="D219" t="str">
        <f>_xlfn.XLOOKUP(B219, [1]EFAY!$B:$B,[1]EFAY!$D:$D)</f>
        <v>#803202, 1/2 SIZE, 325X253X50mm GN RECT CLOUD BOX (WHT)</v>
      </c>
      <c r="E219" t="str">
        <f>_xlfn.XLOOKUP(B219, [1]EFAY!$B:$B,[1]EFAY!$E:$E)</f>
        <v>NO TAG</v>
      </c>
      <c r="G219" t="s">
        <v>1094</v>
      </c>
      <c r="H219">
        <f>_xlfn.XLOOKUP(B219, [1]EFAY!$B:$B,[1]EFAY!$H:$H)</f>
        <v>43.27</v>
      </c>
      <c r="I219" t="str">
        <f>_xlfn.XLOOKUP(B219, [1]EFAY!$B:$B,[1]EFAY!$I:$I)</f>
        <v>JS-Janitorial and Stewarding</v>
      </c>
      <c r="J219" t="str">
        <f>_xlfn.XLOOKUP(B219, [1]EFAY!$B:$B,[1]EFAY!$J:$J)</f>
        <v>SS-Storage Solutions</v>
      </c>
      <c r="K219" t="str">
        <f>_xlfn.XLOOKUP(B219, [1]EFAY!$B:$B,[1]EFAY!$K:$K)</f>
        <v>FP-Food Pans</v>
      </c>
      <c r="L219" t="str">
        <f>_xlfn.XLOOKUP(B219, [1]EFAY!$B:$B,[1]EFAY!$L:$L)</f>
        <v>#803202 1/2 Size 325x253x50mm GN Rect Cloud Box White</v>
      </c>
      <c r="M219" s="3" t="s">
        <v>1034</v>
      </c>
      <c r="N219" t="s">
        <v>949</v>
      </c>
      <c r="O219" s="1" t="s">
        <v>1033</v>
      </c>
    </row>
    <row r="220" spans="1:15" x14ac:dyDescent="0.25">
      <c r="A220" t="str">
        <f>_xlfn.XLOOKUP(B220, [1]EFAY!$B:$B,[1]EFAY!$A:$A)</f>
        <v>5712-GN-CB803302-WHT</v>
      </c>
      <c r="B220" s="3">
        <v>803302</v>
      </c>
      <c r="C220" t="s">
        <v>1089</v>
      </c>
      <c r="D220" t="str">
        <f>_xlfn.XLOOKUP(B220, [1]EFAY!$B:$B,[1]EFAY!$D:$D)</f>
        <v>#803302,1/3 SIZE, 325X173X50mm GN RECT CLOUD BOX (WHT)</v>
      </c>
      <c r="E220" t="str">
        <f>_xlfn.XLOOKUP(B220, [1]EFAY!$B:$B,[1]EFAY!$E:$E)</f>
        <v>NO TAG</v>
      </c>
      <c r="G220" t="s">
        <v>1094</v>
      </c>
      <c r="H220">
        <f>_xlfn.XLOOKUP(B220, [1]EFAY!$B:$B,[1]EFAY!$H:$H)</f>
        <v>43.27</v>
      </c>
      <c r="I220" t="str">
        <f>_xlfn.XLOOKUP(B220, [1]EFAY!$B:$B,[1]EFAY!$I:$I)</f>
        <v>JS-Janitorial and Stewarding</v>
      </c>
      <c r="J220" t="str">
        <f>_xlfn.XLOOKUP(B220, [1]EFAY!$B:$B,[1]EFAY!$J:$J)</f>
        <v>SS-Storage Solutions</v>
      </c>
      <c r="K220" t="str">
        <f>_xlfn.XLOOKUP(B220, [1]EFAY!$B:$B,[1]EFAY!$K:$K)</f>
        <v>FP-Food Pans</v>
      </c>
      <c r="L220" t="str">
        <f>_xlfn.XLOOKUP(B220, [1]EFAY!$B:$B,[1]EFAY!$L:$L)</f>
        <v>#803302 1/3 Size 325x173x50mm GN Rect Cloud Box White</v>
      </c>
      <c r="M220" s="3" t="s">
        <v>1035</v>
      </c>
      <c r="N220" t="s">
        <v>950</v>
      </c>
      <c r="O220" s="1" t="s">
        <v>1033</v>
      </c>
    </row>
    <row r="221" spans="1:15" x14ac:dyDescent="0.25">
      <c r="A221" t="str">
        <f>_xlfn.XLOOKUP(B221, [1]EFAY!$B:$B,[1]EFAY!$A:$A)</f>
        <v>5712-GN-CB803306-WHT</v>
      </c>
      <c r="B221" s="3">
        <v>803306</v>
      </c>
      <c r="C221" t="s">
        <v>1089</v>
      </c>
      <c r="D221" t="str">
        <f>_xlfn.XLOOKUP(B221, [1]EFAY!$B:$B,[1]EFAY!$D:$D)</f>
        <v>#803306,1/3 SIZE,  325X173X150mm GN RECT CLOUD BOX (WHT)</v>
      </c>
      <c r="E221" t="str">
        <f>_xlfn.XLOOKUP(B221, [1]EFAY!$B:$B,[1]EFAY!$E:$E)</f>
        <v>NO TAG</v>
      </c>
      <c r="G221" t="s">
        <v>1094</v>
      </c>
      <c r="H221">
        <f>_xlfn.XLOOKUP(B221, [1]EFAY!$B:$B,[1]EFAY!$H:$H)</f>
        <v>63.87</v>
      </c>
      <c r="I221" t="str">
        <f>_xlfn.XLOOKUP(B221, [1]EFAY!$B:$B,[1]EFAY!$I:$I)</f>
        <v>JS-Janitorial and Stewarding</v>
      </c>
      <c r="J221" t="str">
        <f>_xlfn.XLOOKUP(B221, [1]EFAY!$B:$B,[1]EFAY!$J:$J)</f>
        <v>SS-Storage Solutions</v>
      </c>
      <c r="K221" t="str">
        <f>_xlfn.XLOOKUP(B221, [1]EFAY!$B:$B,[1]EFAY!$K:$K)</f>
        <v>FP-Food Pans</v>
      </c>
      <c r="L221" t="str">
        <f>_xlfn.XLOOKUP(B221, [1]EFAY!$B:$B,[1]EFAY!$L:$L)</f>
        <v>#803306 1/3 Size 325x173x150mm GN Rect Cloud Box White</v>
      </c>
      <c r="M221" s="3" t="s">
        <v>1036</v>
      </c>
      <c r="N221" t="s">
        <v>951</v>
      </c>
      <c r="O221" s="1" t="s">
        <v>1033</v>
      </c>
    </row>
    <row r="222" spans="1:15" x14ac:dyDescent="0.25">
      <c r="A222" t="str">
        <f>_xlfn.XLOOKUP(B222, [1]EFAY!$B:$B,[1]EFAY!$A:$A)</f>
        <v>5712-GN-CB803402-WHT</v>
      </c>
      <c r="B222" s="3">
        <v>803402</v>
      </c>
      <c r="C222" t="s">
        <v>1089</v>
      </c>
      <c r="D222" t="str">
        <f>_xlfn.XLOOKUP(B222, [1]EFAY!$B:$B,[1]EFAY!$D:$D)</f>
        <v>#803402, 2/4 SIZE, 530X150X50mm GN RECT CLOUD BOX (WHT)</v>
      </c>
      <c r="E222" t="str">
        <f>_xlfn.XLOOKUP(B222, [1]EFAY!$B:$B,[1]EFAY!$E:$E)</f>
        <v>NO TAG</v>
      </c>
      <c r="G222" t="s">
        <v>1094</v>
      </c>
      <c r="H222">
        <f>_xlfn.XLOOKUP(B222, [1]EFAY!$B:$B,[1]EFAY!$H:$H)</f>
        <v>43.27</v>
      </c>
      <c r="I222" t="str">
        <f>_xlfn.XLOOKUP(B222, [1]EFAY!$B:$B,[1]EFAY!$I:$I)</f>
        <v>JS-Janitorial and Stewarding</v>
      </c>
      <c r="J222" t="str">
        <f>_xlfn.XLOOKUP(B222, [1]EFAY!$B:$B,[1]EFAY!$J:$J)</f>
        <v>SS-Storage Solutions</v>
      </c>
      <c r="K222" t="str">
        <f>_xlfn.XLOOKUP(B222, [1]EFAY!$B:$B,[1]EFAY!$K:$K)</f>
        <v>FP-Food Pans</v>
      </c>
      <c r="L222" t="str">
        <f>_xlfn.XLOOKUP(B222, [1]EFAY!$B:$B,[1]EFAY!$L:$L)</f>
        <v>#803402 2/4 Size 530x150x50mm GN Rect Cloud Box White</v>
      </c>
      <c r="M222" s="3" t="s">
        <v>1037</v>
      </c>
      <c r="N222" t="s">
        <v>952</v>
      </c>
      <c r="O222" s="1" t="s">
        <v>1033</v>
      </c>
    </row>
    <row r="223" spans="1:15" x14ac:dyDescent="0.25">
      <c r="A223" t="str">
        <f>_xlfn.XLOOKUP(B223, [1]EFAY!$B:$B,[1]EFAY!$A:$A)</f>
        <v>5712-GN-CB803404-WHT</v>
      </c>
      <c r="B223" s="3">
        <v>803404</v>
      </c>
      <c r="C223" t="s">
        <v>1089</v>
      </c>
      <c r="D223" t="str">
        <f>_xlfn.XLOOKUP(B223, [1]EFAY!$B:$B,[1]EFAY!$D:$D)</f>
        <v>#803404,2/4 SIZE, 530X150X100mm GN RECT CLOUD BOX (WHT)</v>
      </c>
      <c r="E223" t="str">
        <f>_xlfn.XLOOKUP(B223, [1]EFAY!$B:$B,[1]EFAY!$E:$E)</f>
        <v>NO TAG</v>
      </c>
      <c r="G223" t="s">
        <v>1094</v>
      </c>
      <c r="H223">
        <f>_xlfn.XLOOKUP(B223, [1]EFAY!$B:$B,[1]EFAY!$H:$H)</f>
        <v>56.32</v>
      </c>
      <c r="I223" t="str">
        <f>_xlfn.XLOOKUP(B223, [1]EFAY!$B:$B,[1]EFAY!$I:$I)</f>
        <v>JS-Janitorial and Stewarding</v>
      </c>
      <c r="J223" t="str">
        <f>_xlfn.XLOOKUP(B223, [1]EFAY!$B:$B,[1]EFAY!$J:$J)</f>
        <v>SS-Storage Solutions</v>
      </c>
      <c r="K223" t="str">
        <f>_xlfn.XLOOKUP(B223, [1]EFAY!$B:$B,[1]EFAY!$K:$K)</f>
        <v>FP-Food Pans</v>
      </c>
      <c r="L223" t="str">
        <f>_xlfn.XLOOKUP(B223, [1]EFAY!$B:$B,[1]EFAY!$L:$L)</f>
        <v>#803404 2/4 Size 530x150x100mm GN Rect Cloud Box White</v>
      </c>
      <c r="M223" s="3" t="s">
        <v>1038</v>
      </c>
      <c r="N223" t="s">
        <v>953</v>
      </c>
      <c r="O223" s="1" t="s">
        <v>1033</v>
      </c>
    </row>
    <row r="224" spans="1:15" x14ac:dyDescent="0.25">
      <c r="A224" t="str">
        <f>_xlfn.XLOOKUP(B224, [1]EFAY!$B:$B,[1]EFAY!$A:$A)</f>
        <v>5712-GNHP-903411SL</v>
      </c>
      <c r="B224" s="3" t="s">
        <v>873</v>
      </c>
      <c r="C224" t="s">
        <v>1089</v>
      </c>
      <c r="D224" t="str">
        <f>_xlfn.XLOOKUP(B224, [1]EFAY!$B:$B,[1]EFAY!$D:$D)</f>
        <v>#903411SL, 53x32.5x15cm 1/1 SIZE GN NON SLIP BUFFET DISPLAY RISER, SILVER</v>
      </c>
      <c r="E224" t="str">
        <f>_xlfn.XLOOKUP(B224, [1]EFAY!$B:$B,[1]EFAY!$E:$E)</f>
        <v>NO TAG</v>
      </c>
      <c r="G224" t="s">
        <v>1094</v>
      </c>
      <c r="H224">
        <f>_xlfn.XLOOKUP(B224, [1]EFAY!$B:$B,[1]EFAY!$H:$H)</f>
        <v>17.04</v>
      </c>
      <c r="I224" t="str">
        <f>_xlfn.XLOOKUP(B224, [1]EFAY!$B:$B,[1]EFAY!$I:$I)</f>
        <v>JS-Janitorial and Stewarding</v>
      </c>
      <c r="J224" t="str">
        <f>_xlfn.XLOOKUP(B224, [1]EFAY!$B:$B,[1]EFAY!$J:$J)</f>
        <v>SVW-Serveware</v>
      </c>
      <c r="K224" t="str">
        <f>_xlfn.XLOOKUP(B224, [1]EFAY!$B:$B,[1]EFAY!$K:$K)</f>
        <v>DRA-Display Risers, Stands &amp; Accessories</v>
      </c>
      <c r="L224" t="str">
        <f>_xlfn.XLOOKUP(B224, [1]EFAY!$B:$B,[1]EFAY!$L:$L)</f>
        <v>#903411SL 53x32.5x15cm 1/1 Size GN Non-Slip Buffet Display Riser Silver</v>
      </c>
      <c r="M224" s="3" t="s">
        <v>1040</v>
      </c>
      <c r="N224" t="s">
        <v>954</v>
      </c>
      <c r="O224" s="1" t="s">
        <v>1039</v>
      </c>
    </row>
    <row r="225" spans="1:15" x14ac:dyDescent="0.25">
      <c r="A225" t="str">
        <f>_xlfn.XLOOKUP(B225, [1]EFAY!$B:$B,[1]EFAY!$A:$A)</f>
        <v>5712-GNHP-903412SL</v>
      </c>
      <c r="B225" s="3" t="s">
        <v>874</v>
      </c>
      <c r="C225" t="s">
        <v>1089</v>
      </c>
      <c r="D225" t="str">
        <f>_xlfn.XLOOKUP(B225, [1]EFAY!$B:$B,[1]EFAY!$D:$D)</f>
        <v>#903412SL, 32.5x26.5x15cm 1/2 SIZE GN NON SLIP BUFFET DISPLAY RISER, SILVER</v>
      </c>
      <c r="E225" t="str">
        <f>_xlfn.XLOOKUP(B225, [1]EFAY!$B:$B,[1]EFAY!$E:$E)</f>
        <v>NO TAG</v>
      </c>
      <c r="G225" t="s">
        <v>1094</v>
      </c>
      <c r="H225">
        <f>_xlfn.XLOOKUP(B225, [1]EFAY!$B:$B,[1]EFAY!$H:$H)</f>
        <v>13.12</v>
      </c>
      <c r="I225" t="str">
        <f>_xlfn.XLOOKUP(B225, [1]EFAY!$B:$B,[1]EFAY!$I:$I)</f>
        <v>JS-Janitorial and Stewarding</v>
      </c>
      <c r="J225" t="str">
        <f>_xlfn.XLOOKUP(B225, [1]EFAY!$B:$B,[1]EFAY!$J:$J)</f>
        <v>SVW-Serveware</v>
      </c>
      <c r="K225" t="str">
        <f>_xlfn.XLOOKUP(B225, [1]EFAY!$B:$B,[1]EFAY!$K:$K)</f>
        <v>DRA-Display Risers, Stands &amp; Accessories</v>
      </c>
      <c r="L225" t="str">
        <f>_xlfn.XLOOKUP(B225, [1]EFAY!$B:$B,[1]EFAY!$L:$L)</f>
        <v>#903412SL 32.5x26.5x15cm 1/2 Size GN Non-Slip Buffet Display Riser Silver</v>
      </c>
      <c r="M225" s="3" t="s">
        <v>1040</v>
      </c>
      <c r="N225" t="s">
        <v>955</v>
      </c>
      <c r="O225" s="1" t="s">
        <v>1039</v>
      </c>
    </row>
    <row r="226" spans="1:15" x14ac:dyDescent="0.25">
      <c r="A226" t="str">
        <f>_xlfn.XLOOKUP(B226, [1]EFAY!$B:$B,[1]EFAY!$A:$A)</f>
        <v>5712-IDS-9002BK</v>
      </c>
      <c r="B226" s="3" t="s">
        <v>875</v>
      </c>
      <c r="C226" t="s">
        <v>1089</v>
      </c>
      <c r="D226" t="str">
        <f>_xlfn.XLOOKUP(B226, [1]EFAY!$B:$B,[1]EFAY!$D:$D)</f>
        <v>(DCWSL19)&lt;4170910&gt;(CONE CUP SOLD SEPARATELY) #9002,  10'' GEOMETRY CONE CUP STAND (BLACK</v>
      </c>
      <c r="E226" t="str">
        <f>_xlfn.XLOOKUP(B226, [1]EFAY!$B:$B,[1]EFAY!$E:$E)</f>
        <v>WSL WITH STOCK</v>
      </c>
      <c r="G226" t="s">
        <v>1094</v>
      </c>
      <c r="H226">
        <f>_xlfn.XLOOKUP(B226, [1]EFAY!$B:$B,[1]EFAY!$H:$H)</f>
        <v>4.0999999999999996</v>
      </c>
      <c r="I226" t="str">
        <f>_xlfn.XLOOKUP(B226, [1]EFAY!$B:$B,[1]EFAY!$I:$I)</f>
        <v>JS-Janitorial and Stewarding</v>
      </c>
      <c r="J226" t="str">
        <f>_xlfn.XLOOKUP(B226, [1]EFAY!$B:$B,[1]EFAY!$J:$J)</f>
        <v>DTW-Disposable Tableware</v>
      </c>
      <c r="K226" t="str">
        <f>_xlfn.XLOOKUP(B226, [1]EFAY!$B:$B,[1]EFAY!$K:$K)</f>
        <v/>
      </c>
      <c r="L226" t="str">
        <f>_xlfn.XLOOKUP(B226, [1]EFAY!$B:$B,[1]EFAY!$L:$L)</f>
        <v>#9002 10" Geometry Cone Cup Stand Black</v>
      </c>
      <c r="M226" s="3" t="s">
        <v>1041</v>
      </c>
      <c r="N226" t="s">
        <v>956</v>
      </c>
      <c r="O226" s="1" t="s">
        <v>1042</v>
      </c>
    </row>
    <row r="227" spans="1:15" x14ac:dyDescent="0.25">
      <c r="A227" t="str">
        <f>_xlfn.XLOOKUP(B227, [1]EFAY!$B:$B,[1]EFAY!$A:$A)</f>
        <v>5712-PC-GN-541111</v>
      </c>
      <c r="B227" s="3">
        <v>541111</v>
      </c>
      <c r="C227" t="s">
        <v>1089</v>
      </c>
      <c r="D227" t="str">
        <f>_xlfn.XLOOKUP(B227, [1]EFAY!$B:$B,[1]EFAY!$D:$D)</f>
        <v>1/1, 53X33XHT:10cm ROLL TOP TRANSPARENT PC COVER ONLY (*NO BASE)</v>
      </c>
      <c r="E227" t="str">
        <f>_xlfn.XLOOKUP(B227, [1]EFAY!$B:$B,[1]EFAY!$E:$E)</f>
        <v>NO TAG</v>
      </c>
      <c r="G227" t="s">
        <v>1094</v>
      </c>
      <c r="H227">
        <f>_xlfn.XLOOKUP(B227, [1]EFAY!$B:$B,[1]EFAY!$H:$H)</f>
        <v>37.299999999999997</v>
      </c>
      <c r="I227" t="str">
        <f>_xlfn.XLOOKUP(B227, [1]EFAY!$B:$B,[1]EFAY!$I:$I)</f>
        <v>JS-Janitorial and Stewarding</v>
      </c>
      <c r="J227" t="str">
        <f>_xlfn.XLOOKUP(B227, [1]EFAY!$B:$B,[1]EFAY!$J:$J)</f>
        <v/>
      </c>
      <c r="K227" t="str">
        <f>_xlfn.XLOOKUP(B227, [1]EFAY!$B:$B,[1]EFAY!$K:$K)</f>
        <v/>
      </c>
      <c r="L227" t="str">
        <f>_xlfn.XLOOKUP(B227, [1]EFAY!$B:$B,[1]EFAY!$L:$L)</f>
        <v>1/1 PC 53x33xH10cm Roll Top Cover Transparent</v>
      </c>
      <c r="M227" s="3" t="s">
        <v>1041</v>
      </c>
      <c r="N227" t="s">
        <v>957</v>
      </c>
      <c r="O227" s="1" t="s">
        <v>1042</v>
      </c>
    </row>
    <row r="228" spans="1:15" x14ac:dyDescent="0.25">
      <c r="A228" t="str">
        <f>_xlfn.XLOOKUP(B228, [1]EFAY!$B:$B,[1]EFAY!$A:$A)</f>
        <v>5712-R-222414WS-WHT</v>
      </c>
      <c r="B228" s="3" t="s">
        <v>876</v>
      </c>
      <c r="C228" t="s">
        <v>1089</v>
      </c>
      <c r="D228" t="str">
        <f>_xlfn.XLOOKUP(B228, [1]EFAY!$B:$B,[1]EFAY!$D:$D)</f>
        <v>(WSL22) 222414WS, D:34.5cm  7 LTR MELAMINE "ROCKY" TRIANGLE BOWL (WHITE)</v>
      </c>
      <c r="E228" t="str">
        <f>_xlfn.XLOOKUP(B228, [1]EFAY!$B:$B,[1]EFAY!$E:$E)</f>
        <v>WSL WITH STOCK</v>
      </c>
      <c r="G228" t="s">
        <v>1094</v>
      </c>
      <c r="H228">
        <f>_xlfn.XLOOKUP(B228, [1]EFAY!$B:$B,[1]EFAY!$H:$H)</f>
        <v>31.26</v>
      </c>
      <c r="I228" t="str">
        <f>_xlfn.XLOOKUP(B228, [1]EFAY!$B:$B,[1]EFAY!$I:$I)</f>
        <v>JS-Janitorial and Stewarding</v>
      </c>
      <c r="J228" t="str">
        <f>_xlfn.XLOOKUP(B228, [1]EFAY!$B:$B,[1]EFAY!$J:$J)</f>
        <v>SVW-Serveware</v>
      </c>
      <c r="K228" t="str">
        <f>_xlfn.XLOOKUP(B228, [1]EFAY!$B:$B,[1]EFAY!$K:$K)</f>
        <v>MSA-Miscellaneous Serving Accessories</v>
      </c>
      <c r="L228" t="str">
        <f>_xlfn.XLOOKUP(B228, [1]EFAY!$B:$B,[1]EFAY!$L:$L)</f>
        <v>222414WS Melamine Ø34.5cm 7L Rocky Triangle Bowl White</v>
      </c>
      <c r="M228" s="3" t="s">
        <v>1045</v>
      </c>
      <c r="N228" t="s">
        <v>958</v>
      </c>
      <c r="O228" s="1" t="s">
        <v>1044</v>
      </c>
    </row>
    <row r="229" spans="1:15" x14ac:dyDescent="0.25">
      <c r="A229" t="str">
        <f>_xlfn.XLOOKUP(B229, [1]EFAY!$B:$B,[1]EFAY!$A:$A)</f>
        <v>5712-RIP-226003ST</v>
      </c>
      <c r="B229" s="3" t="s">
        <v>877</v>
      </c>
      <c r="C229" t="s">
        <v>1089</v>
      </c>
      <c r="D229" t="str">
        <f>_xlfn.XLOOKUP(B229, [1]EFAY!$B:$B,[1]EFAY!$D:$D)</f>
        <v>#226003ST, Ø7.8x4.3cm 4oz ROUND MELAMINE RAMEKIN, TERRACOTA SAND</v>
      </c>
      <c r="E229" t="str">
        <f>_xlfn.XLOOKUP(B229, [1]EFAY!$B:$B,[1]EFAY!$E:$E)</f>
        <v>NO TAG</v>
      </c>
      <c r="G229" t="s">
        <v>1094</v>
      </c>
      <c r="H229">
        <f>_xlfn.XLOOKUP(B229, [1]EFAY!$B:$B,[1]EFAY!$H:$H)</f>
        <v>1.34</v>
      </c>
      <c r="I229" t="str">
        <f>_xlfn.XLOOKUP(B229, [1]EFAY!$B:$B,[1]EFAY!$I:$I)</f>
        <v>JS-Janitorial and Stewarding</v>
      </c>
      <c r="J229" t="str">
        <f>_xlfn.XLOOKUP(B229, [1]EFAY!$B:$B,[1]EFAY!$J:$J)</f>
        <v>SVW-Serveware</v>
      </c>
      <c r="K229" t="str">
        <f>_xlfn.XLOOKUP(B229, [1]EFAY!$B:$B,[1]EFAY!$K:$K)</f>
        <v>MSA-Miscellaneous Serving Accessories</v>
      </c>
      <c r="L229" t="str">
        <f>_xlfn.XLOOKUP(B229, [1]EFAY!$B:$B,[1]EFAY!$L:$L)</f>
        <v>#226003ST Melamine Ø7.8x4.3cm 4oz Round Ramekin Terracotta Sand</v>
      </c>
      <c r="M229" s="3" t="s">
        <v>1045</v>
      </c>
      <c r="N229" t="s">
        <v>959</v>
      </c>
      <c r="O229" s="1" t="s">
        <v>1044</v>
      </c>
    </row>
    <row r="230" spans="1:15" x14ac:dyDescent="0.25">
      <c r="A230" t="str">
        <f>_xlfn.XLOOKUP(B230, [1]EFAY!$B:$B,[1]EFAY!$A:$A)</f>
        <v>5712-RIP-226008ST</v>
      </c>
      <c r="B230" s="3" t="s">
        <v>878</v>
      </c>
      <c r="C230" t="s">
        <v>1089</v>
      </c>
      <c r="D230" t="str">
        <f>_xlfn.XLOOKUP(B230, [1]EFAY!$B:$B,[1]EFAY!$D:$D)</f>
        <v>#226008ST, Ø20x7cm 8" ROUND LOW BOWL, TERRACOTA SAND</v>
      </c>
      <c r="E230" t="str">
        <f>_xlfn.XLOOKUP(B230, [1]EFAY!$B:$B,[1]EFAY!$E:$E)</f>
        <v>NO TAG</v>
      </c>
      <c r="G230" t="s">
        <v>1094</v>
      </c>
      <c r="H230">
        <f>_xlfn.XLOOKUP(B230, [1]EFAY!$B:$B,[1]EFAY!$H:$H)</f>
        <v>6.89</v>
      </c>
      <c r="I230" t="str">
        <f>_xlfn.XLOOKUP(B230, [1]EFAY!$B:$B,[1]EFAY!$I:$I)</f>
        <v>JS-Janitorial and Stewarding</v>
      </c>
      <c r="J230" t="str">
        <f>_xlfn.XLOOKUP(B230, [1]EFAY!$B:$B,[1]EFAY!$J:$J)</f>
        <v>DWR-Dinnerware</v>
      </c>
      <c r="K230" t="str">
        <f>_xlfn.XLOOKUP(B230, [1]EFAY!$B:$B,[1]EFAY!$K:$K)</f>
        <v>BWL-Bowls</v>
      </c>
      <c r="L230" t="str">
        <f>_xlfn.XLOOKUP(B230, [1]EFAY!$B:$B,[1]EFAY!$L:$L)</f>
        <v>#226008ST Ø20x7cm 8" Round Low Bowl Terracota Sand</v>
      </c>
      <c r="M230" s="3" t="s">
        <v>1048</v>
      </c>
      <c r="N230" t="s">
        <v>960</v>
      </c>
      <c r="O230" s="1" t="s">
        <v>1047</v>
      </c>
    </row>
    <row r="231" spans="1:15" x14ac:dyDescent="0.25">
      <c r="A231" t="str">
        <f>_xlfn.XLOOKUP(B231, [1]EFAY!$B:$B,[1]EFAY!$A:$A)</f>
        <v>5712-RIP-226010ST</v>
      </c>
      <c r="B231" s="3" t="s">
        <v>879</v>
      </c>
      <c r="C231" t="s">
        <v>1089</v>
      </c>
      <c r="D231" t="str">
        <f>_xlfn.XLOOKUP(B231, [1]EFAY!$B:$B,[1]EFAY!$D:$D)</f>
        <v>#226010ST, Ø25x15cm 10" ROUND RIPPLE DEEP BOWL, TERRACOTA SAND</v>
      </c>
      <c r="E231" t="str">
        <f>_xlfn.XLOOKUP(B231, [1]EFAY!$B:$B,[1]EFAY!$E:$E)</f>
        <v>NO TAG</v>
      </c>
      <c r="G231" t="s">
        <v>1094</v>
      </c>
      <c r="H231">
        <f>_xlfn.XLOOKUP(B231, [1]EFAY!$B:$B,[1]EFAY!$H:$H)</f>
        <v>15.01</v>
      </c>
      <c r="I231" t="str">
        <f>_xlfn.XLOOKUP(B231, [1]EFAY!$B:$B,[1]EFAY!$I:$I)</f>
        <v>JS-Janitorial and Stewarding</v>
      </c>
      <c r="J231" t="str">
        <f>_xlfn.XLOOKUP(B231, [1]EFAY!$B:$B,[1]EFAY!$J:$J)</f>
        <v>DWR-Dinnerware</v>
      </c>
      <c r="K231" t="str">
        <f>_xlfn.XLOOKUP(B231, [1]EFAY!$B:$B,[1]EFAY!$K:$K)</f>
        <v>BWL-Bowls</v>
      </c>
      <c r="L231" t="str">
        <f>_xlfn.XLOOKUP(B231, [1]EFAY!$B:$B,[1]EFAY!$L:$L)</f>
        <v>#226010ST Ø25x15cm 10" Round Ripple Deep Bowl Terracota Sand</v>
      </c>
      <c r="M231" s="3" t="s">
        <v>1048</v>
      </c>
      <c r="N231" t="s">
        <v>961</v>
      </c>
      <c r="O231" s="1" t="s">
        <v>1047</v>
      </c>
    </row>
    <row r="232" spans="1:15" x14ac:dyDescent="0.25">
      <c r="A232" t="str">
        <f>_xlfn.XLOOKUP(B232, [1]EFAY!$B:$B,[1]EFAY!$A:$A)</f>
        <v>5712-RIP-226012ST</v>
      </c>
      <c r="B232" s="3" t="s">
        <v>880</v>
      </c>
      <c r="C232" t="s">
        <v>1089</v>
      </c>
      <c r="D232" t="str">
        <f>_xlfn.XLOOKUP(B232, [1]EFAY!$B:$B,[1]EFAY!$D:$D)</f>
        <v>#226012ST, Ø30.5x13cm 12" ROUND RIPPLE SALAD BOWL, TERRACOTA SAND</v>
      </c>
      <c r="E232" t="str">
        <f>_xlfn.XLOOKUP(B232, [1]EFAY!$B:$B,[1]EFAY!$E:$E)</f>
        <v>NO TAG</v>
      </c>
      <c r="G232" t="s">
        <v>1094</v>
      </c>
      <c r="H232">
        <f>_xlfn.XLOOKUP(B232, [1]EFAY!$B:$B,[1]EFAY!$H:$H)</f>
        <v>18.32</v>
      </c>
      <c r="I232" t="str">
        <f>_xlfn.XLOOKUP(B232, [1]EFAY!$B:$B,[1]EFAY!$I:$I)</f>
        <v>JS-Janitorial and Stewarding</v>
      </c>
      <c r="J232" t="str">
        <f>_xlfn.XLOOKUP(B232, [1]EFAY!$B:$B,[1]EFAY!$J:$J)</f>
        <v>SVW-Serveware</v>
      </c>
      <c r="K232" t="str">
        <f>_xlfn.XLOOKUP(B232, [1]EFAY!$B:$B,[1]EFAY!$K:$K)</f>
        <v>MSA-Miscellaneous Serving Accessories</v>
      </c>
      <c r="L232" t="str">
        <f>_xlfn.XLOOKUP(B232, [1]EFAY!$B:$B,[1]EFAY!$L:$L)</f>
        <v>#226012ST Ø30.5x13cm 12" Round Ripple Salad Bowl Terracota Sand</v>
      </c>
      <c r="M232" s="3" t="s">
        <v>1048</v>
      </c>
      <c r="N232" t="s">
        <v>962</v>
      </c>
      <c r="O232" s="1" t="s">
        <v>1047</v>
      </c>
    </row>
    <row r="233" spans="1:15" x14ac:dyDescent="0.25">
      <c r="A233" t="str">
        <f>_xlfn.XLOOKUP(B233, [1]EFAY!$B:$B,[1]EFAY!$A:$A)</f>
        <v>5712-RIP-226025ST</v>
      </c>
      <c r="B233" s="3" t="s">
        <v>881</v>
      </c>
      <c r="C233" t="s">
        <v>1089</v>
      </c>
      <c r="D233" t="str">
        <f>_xlfn.XLOOKUP(B233, [1]EFAY!$B:$B,[1]EFAY!$D:$D)</f>
        <v>#226025ST, Ø6.2x3.5cm 2oz ROUND MELAMINE RAMEKIN, TERRACOTA SAND</v>
      </c>
      <c r="E233" t="str">
        <f>_xlfn.XLOOKUP(B233, [1]EFAY!$B:$B,[1]EFAY!$E:$E)</f>
        <v>NO TAG</v>
      </c>
      <c r="G233" t="s">
        <v>1094</v>
      </c>
      <c r="H233">
        <f>_xlfn.XLOOKUP(B233, [1]EFAY!$B:$B,[1]EFAY!$H:$H)</f>
        <v>0.95</v>
      </c>
      <c r="I233" t="str">
        <f>_xlfn.XLOOKUP(B233, [1]EFAY!$B:$B,[1]EFAY!$I:$I)</f>
        <v>JS-Janitorial and Stewarding</v>
      </c>
      <c r="J233" t="str">
        <f>_xlfn.XLOOKUP(B233, [1]EFAY!$B:$B,[1]EFAY!$J:$J)</f>
        <v>SVW-Serveware</v>
      </c>
      <c r="K233" t="str">
        <f>_xlfn.XLOOKUP(B233, [1]EFAY!$B:$B,[1]EFAY!$K:$K)</f>
        <v>MSA-Miscellaneous Serving Accessories</v>
      </c>
      <c r="L233" t="str">
        <f>_xlfn.XLOOKUP(B233, [1]EFAY!$B:$B,[1]EFAY!$L:$L)</f>
        <v>#226025ST Melamine Ø6.2x3.5cm 2oz Round Ramekin Terracotta Sand</v>
      </c>
      <c r="M233" s="3" t="s">
        <v>1051</v>
      </c>
      <c r="N233" t="s">
        <v>963</v>
      </c>
      <c r="O233" s="1" t="s">
        <v>1050</v>
      </c>
    </row>
    <row r="234" spans="1:15" x14ac:dyDescent="0.25">
      <c r="A234" t="str">
        <f>_xlfn.XLOOKUP(B234, [1]EFAY!$B:$B,[1]EFAY!$A:$A)</f>
        <v>5712-RIP-226028ST</v>
      </c>
      <c r="B234" s="3" t="s">
        <v>882</v>
      </c>
      <c r="C234" t="s">
        <v>1089</v>
      </c>
      <c r="D234" t="str">
        <f>_xlfn.XLOOKUP(B234, [1]EFAY!$B:$B,[1]EFAY!$D:$D)</f>
        <v>#226028ST, Ø6.7x3.6cm 2.4oz ROUND MELAMINE RAMEKIN, TERRACOTA SAND</v>
      </c>
      <c r="E234" t="str">
        <f>_xlfn.XLOOKUP(B234, [1]EFAY!$B:$B,[1]EFAY!$E:$E)</f>
        <v>NO TAG</v>
      </c>
      <c r="G234" t="s">
        <v>1094</v>
      </c>
      <c r="H234">
        <f>_xlfn.XLOOKUP(B234, [1]EFAY!$B:$B,[1]EFAY!$H:$H)</f>
        <v>1.02</v>
      </c>
      <c r="I234" t="str">
        <f>_xlfn.XLOOKUP(B234, [1]EFAY!$B:$B,[1]EFAY!$I:$I)</f>
        <v>JS-Janitorial and Stewarding</v>
      </c>
      <c r="J234" t="str">
        <f>_xlfn.XLOOKUP(B234, [1]EFAY!$B:$B,[1]EFAY!$J:$J)</f>
        <v>SVW-Serveware</v>
      </c>
      <c r="K234" t="str">
        <f>_xlfn.XLOOKUP(B234, [1]EFAY!$B:$B,[1]EFAY!$K:$K)</f>
        <v>MSA-Miscellaneous Serving Accessories</v>
      </c>
      <c r="L234" t="str">
        <f>_xlfn.XLOOKUP(B234, [1]EFAY!$B:$B,[1]EFAY!$L:$L)</f>
        <v>#226028ST Melamine Ø6.7xH3.6cm 2.4oz Round Ramekin Terracotta Sand</v>
      </c>
      <c r="M234" s="3" t="s">
        <v>1051</v>
      </c>
      <c r="N234" t="s">
        <v>964</v>
      </c>
      <c r="O234" s="1" t="s">
        <v>1050</v>
      </c>
    </row>
    <row r="235" spans="1:15" x14ac:dyDescent="0.25">
      <c r="A235" t="str">
        <f>_xlfn.XLOOKUP(B235, [1]EFAY!$B:$B,[1]EFAY!$A:$A)</f>
        <v>5712-RIP-226055ST</v>
      </c>
      <c r="B235" s="3" t="s">
        <v>883</v>
      </c>
      <c r="C235" t="s">
        <v>1089</v>
      </c>
      <c r="D235" t="str">
        <f>_xlfn.XLOOKUP(B235, [1]EFAY!$B:$B,[1]EFAY!$D:$D)</f>
        <v>#226055ST, Ø14x9cm 5.5" ROUND DEEP BOWL, TERRACOTA SAND</v>
      </c>
      <c r="E235" t="str">
        <f>_xlfn.XLOOKUP(B235, [1]EFAY!$B:$B,[1]EFAY!$E:$E)</f>
        <v>NO TAG</v>
      </c>
      <c r="G235" t="s">
        <v>1094</v>
      </c>
      <c r="H235">
        <f>_xlfn.XLOOKUP(B235, [1]EFAY!$B:$B,[1]EFAY!$H:$H)</f>
        <v>4.3899999999999997</v>
      </c>
      <c r="I235" t="str">
        <f>_xlfn.XLOOKUP(B235, [1]EFAY!$B:$B,[1]EFAY!$I:$I)</f>
        <v>JS-Janitorial and Stewarding</v>
      </c>
      <c r="J235" t="str">
        <f>_xlfn.XLOOKUP(B235, [1]EFAY!$B:$B,[1]EFAY!$J:$J)</f>
        <v>DWR-Dinnerware</v>
      </c>
      <c r="K235" t="str">
        <f>_xlfn.XLOOKUP(B235, [1]EFAY!$B:$B,[1]EFAY!$K:$K)</f>
        <v>BWL-Bowls</v>
      </c>
      <c r="L235" t="str">
        <f>_xlfn.XLOOKUP(B235, [1]EFAY!$B:$B,[1]EFAY!$L:$L)</f>
        <v>#226055ST Ø14x9cm 5.5" Round Deep Bowl Terracota Sand</v>
      </c>
      <c r="M235" s="3" t="s">
        <v>1051</v>
      </c>
      <c r="N235" t="s">
        <v>965</v>
      </c>
      <c r="O235" s="1" t="s">
        <v>1050</v>
      </c>
    </row>
    <row r="236" spans="1:15" x14ac:dyDescent="0.25">
      <c r="A236" t="str">
        <f>_xlfn.XLOOKUP(B236, [1]EFAY!$B:$B,[1]EFAY!$A:$A)</f>
        <v>5712-ROC-525901-GS</v>
      </c>
      <c r="B236" s="3" t="s">
        <v>884</v>
      </c>
      <c r="C236" t="s">
        <v>1089</v>
      </c>
      <c r="D236" t="str">
        <f>_xlfn.XLOOKUP(B236, [1]EFAY!$B:$B,[1]EFAY!$D:$D)</f>
        <v>#525901-GS, 1 oz MELAMINE "ROCKY" TRI. RAMEKIN (STONE GREY)</v>
      </c>
      <c r="E236" t="str">
        <f>_xlfn.XLOOKUP(B236, [1]EFAY!$B:$B,[1]EFAY!$E:$E)</f>
        <v>NO TAG</v>
      </c>
      <c r="G236" t="s">
        <v>1094</v>
      </c>
      <c r="H236">
        <f>_xlfn.XLOOKUP(B236, [1]EFAY!$B:$B,[1]EFAY!$H:$H)</f>
        <v>0.7</v>
      </c>
      <c r="I236" t="str">
        <f>_xlfn.XLOOKUP(B236, [1]EFAY!$B:$B,[1]EFAY!$I:$I)</f>
        <v>JS-Janitorial and Stewarding</v>
      </c>
      <c r="J236" t="str">
        <f>_xlfn.XLOOKUP(B236, [1]EFAY!$B:$B,[1]EFAY!$J:$J)</f>
        <v>SVW-Serveware</v>
      </c>
      <c r="K236" t="str">
        <f>_xlfn.XLOOKUP(B236, [1]EFAY!$B:$B,[1]EFAY!$K:$K)</f>
        <v>MSA-Miscellaneous Serving Accessories</v>
      </c>
      <c r="L236" t="str">
        <f>_xlfn.XLOOKUP(B236, [1]EFAY!$B:$B,[1]EFAY!$L:$L)</f>
        <v>#525901-GS Melamine 1 oz Rocky Triangular Ramekin Stone Grey</v>
      </c>
      <c r="M236" s="3" t="s">
        <v>1085</v>
      </c>
      <c r="N236" t="s">
        <v>966</v>
      </c>
      <c r="O236" s="1" t="s">
        <v>1084</v>
      </c>
    </row>
    <row r="237" spans="1:15" x14ac:dyDescent="0.25">
      <c r="A237" t="str">
        <f>_xlfn.XLOOKUP(B237, [1]EFAY!$B:$B,[1]EFAY!$A:$A)</f>
        <v>5712-ROC-525901-WS</v>
      </c>
      <c r="B237" s="3" t="s">
        <v>885</v>
      </c>
      <c r="C237" t="s">
        <v>1089</v>
      </c>
      <c r="D237" t="str">
        <f>_xlfn.XLOOKUP(B237, [1]EFAY!$B:$B,[1]EFAY!$D:$D)</f>
        <v>#525901-WS, 1 oz MELAMINE "ROCKY" TRI. RAMEKIN (WHITE STONE)</v>
      </c>
      <c r="E237" t="str">
        <f>_xlfn.XLOOKUP(B237, [1]EFAY!$B:$B,[1]EFAY!$E:$E)</f>
        <v>NO TAG</v>
      </c>
      <c r="G237" t="s">
        <v>1094</v>
      </c>
      <c r="H237">
        <f>_xlfn.XLOOKUP(B237, [1]EFAY!$B:$B,[1]EFAY!$H:$H)</f>
        <v>0.7</v>
      </c>
      <c r="I237" t="str">
        <f>_xlfn.XLOOKUP(B237, [1]EFAY!$B:$B,[1]EFAY!$I:$I)</f>
        <v>JS-Janitorial and Stewarding</v>
      </c>
      <c r="J237" t="str">
        <f>_xlfn.XLOOKUP(B237, [1]EFAY!$B:$B,[1]EFAY!$J:$J)</f>
        <v>DWR-Dinnerware</v>
      </c>
      <c r="K237" t="str">
        <f>_xlfn.XLOOKUP(B237, [1]EFAY!$B:$B,[1]EFAY!$K:$K)</f>
        <v/>
      </c>
      <c r="L237" t="str">
        <f>_xlfn.XLOOKUP(B237, [1]EFAY!$B:$B,[1]EFAY!$L:$L)</f>
        <v>#525901-WS Melamine 1 oz Rocky Triangular Ramekin White Stone</v>
      </c>
      <c r="M237" s="3" t="s">
        <v>1083</v>
      </c>
      <c r="N237" t="s">
        <v>967</v>
      </c>
      <c r="O237" s="1" t="s">
        <v>1082</v>
      </c>
    </row>
    <row r="238" spans="1:15" x14ac:dyDescent="0.25">
      <c r="A238" t="str">
        <f>_xlfn.XLOOKUP(B238, [1]EFAY!$B:$B,[1]EFAY!$A:$A)</f>
        <v>5712-ROC-526002-WS</v>
      </c>
      <c r="B238" s="3" t="s">
        <v>886</v>
      </c>
      <c r="C238" t="s">
        <v>1089</v>
      </c>
      <c r="D238" t="str">
        <f>_xlfn.XLOOKUP(B238, [1]EFAY!$B:$B,[1]EFAY!$D:$D)</f>
        <v>(WSL25)#526002-WS, 2 oz MELAMINE "ROCKY" TRI. RAMEKIN (WHITE STONE)</v>
      </c>
      <c r="E238" t="str">
        <f>_xlfn.XLOOKUP(B238, [1]EFAY!$B:$B,[1]EFAY!$E:$E)</f>
        <v>WSL WITH STOCK</v>
      </c>
      <c r="G238" t="s">
        <v>1094</v>
      </c>
      <c r="H238">
        <f>_xlfn.XLOOKUP(B238, [1]EFAY!$B:$B,[1]EFAY!$H:$H)</f>
        <v>1.02</v>
      </c>
      <c r="I238" t="str">
        <f>_xlfn.XLOOKUP(B238, [1]EFAY!$B:$B,[1]EFAY!$I:$I)</f>
        <v>JS-Janitorial and Stewarding</v>
      </c>
      <c r="J238" t="str">
        <f>_xlfn.XLOOKUP(B238, [1]EFAY!$B:$B,[1]EFAY!$J:$J)</f>
        <v>SVW-Serveware</v>
      </c>
      <c r="K238" t="str">
        <f>_xlfn.XLOOKUP(B238, [1]EFAY!$B:$B,[1]EFAY!$K:$K)</f>
        <v>MSA-Miscellaneous Serving Accessories</v>
      </c>
      <c r="L238" t="str">
        <f>_xlfn.XLOOKUP(B238, [1]EFAY!$B:$B,[1]EFAY!$L:$L)</f>
        <v>#526002-W Melamine 2 oz Rocky Triangular Ramekin White Stone</v>
      </c>
      <c r="M238" s="3" t="s">
        <v>1083</v>
      </c>
      <c r="N238" t="s">
        <v>968</v>
      </c>
      <c r="O238" s="1" t="s">
        <v>1082</v>
      </c>
    </row>
    <row r="239" spans="1:15" x14ac:dyDescent="0.25">
      <c r="A239" t="str">
        <f>_xlfn.XLOOKUP(B239, [1]EFAY!$B:$B,[1]EFAY!$A:$A)</f>
        <v>5712-ROC-526103-GS</v>
      </c>
      <c r="B239" s="3" t="s">
        <v>887</v>
      </c>
      <c r="C239" t="s">
        <v>1089</v>
      </c>
      <c r="D239" t="str">
        <f>_xlfn.XLOOKUP(B239, [1]EFAY!$B:$B,[1]EFAY!$D:$D)</f>
        <v>#526103-GS, 3 oz MELAMINE "ROCKY" TRI. RAMEKIN (STONE GREY)</v>
      </c>
      <c r="E239" t="str">
        <f>_xlfn.XLOOKUP(B239, [1]EFAY!$B:$B,[1]EFAY!$E:$E)</f>
        <v>NO TAG</v>
      </c>
      <c r="G239" t="s">
        <v>1094</v>
      </c>
      <c r="H239">
        <f>_xlfn.XLOOKUP(B239, [1]EFAY!$B:$B,[1]EFAY!$H:$H)</f>
        <v>1.66</v>
      </c>
      <c r="I239" t="str">
        <f>_xlfn.XLOOKUP(B239, [1]EFAY!$B:$B,[1]EFAY!$I:$I)</f>
        <v>JS-Janitorial and Stewarding</v>
      </c>
      <c r="J239" t="str">
        <f>_xlfn.XLOOKUP(B239, [1]EFAY!$B:$B,[1]EFAY!$J:$J)</f>
        <v>DWR-Dinnerware</v>
      </c>
      <c r="K239" t="str">
        <f>_xlfn.XLOOKUP(B239, [1]EFAY!$B:$B,[1]EFAY!$K:$K)</f>
        <v/>
      </c>
      <c r="L239" t="str">
        <f>_xlfn.XLOOKUP(B239, [1]EFAY!$B:$B,[1]EFAY!$L:$L)</f>
        <v>#526103-GS Melamine 3 oz Rocky Triangular Ramekin Stone Grey</v>
      </c>
      <c r="M239" s="3" t="s">
        <v>1085</v>
      </c>
      <c r="N239" t="s">
        <v>969</v>
      </c>
      <c r="O239" s="1" t="s">
        <v>1084</v>
      </c>
    </row>
    <row r="240" spans="1:15" x14ac:dyDescent="0.25">
      <c r="A240" t="str">
        <f>_xlfn.XLOOKUP(B240, [1]EFAY!$B:$B,[1]EFAY!$A:$A)</f>
        <v>5712-ROC-526104-GS</v>
      </c>
      <c r="B240" s="3" t="s">
        <v>888</v>
      </c>
      <c r="C240" t="s">
        <v>1089</v>
      </c>
      <c r="D240" t="str">
        <f>_xlfn.XLOOKUP(B240, [1]EFAY!$B:$B,[1]EFAY!$D:$D)</f>
        <v>#526104-GS, 4 oz MELAMINE "ROCKY" TRI. RAMEKIN (STONE GREY)</v>
      </c>
      <c r="E240" t="str">
        <f>_xlfn.XLOOKUP(B240, [1]EFAY!$B:$B,[1]EFAY!$E:$E)</f>
        <v>NO TAG</v>
      </c>
      <c r="G240" t="s">
        <v>1094</v>
      </c>
      <c r="H240">
        <f>_xlfn.XLOOKUP(B240, [1]EFAY!$B:$B,[1]EFAY!$H:$H)</f>
        <v>2.57</v>
      </c>
      <c r="I240" t="str">
        <f>_xlfn.XLOOKUP(B240, [1]EFAY!$B:$B,[1]EFAY!$I:$I)</f>
        <v>JS-Janitorial and Stewarding</v>
      </c>
      <c r="J240" t="str">
        <f>_xlfn.XLOOKUP(B240, [1]EFAY!$B:$B,[1]EFAY!$J:$J)</f>
        <v>SVW-Serveware</v>
      </c>
      <c r="K240" t="str">
        <f>_xlfn.XLOOKUP(B240, [1]EFAY!$B:$B,[1]EFAY!$K:$K)</f>
        <v>MSA-Miscellaneous Serving Accessories</v>
      </c>
      <c r="L240" t="str">
        <f>_xlfn.XLOOKUP(B240, [1]EFAY!$B:$B,[1]EFAY!$L:$L)</f>
        <v>#526104-G Melamine 4 oz Rocky Triangular Ramekin Stone Grey</v>
      </c>
      <c r="M240" s="3" t="s">
        <v>1085</v>
      </c>
      <c r="N240" t="s">
        <v>970</v>
      </c>
      <c r="O240" s="1" t="s">
        <v>1084</v>
      </c>
    </row>
    <row r="241" spans="1:15" x14ac:dyDescent="0.25">
      <c r="A241" t="str">
        <f>_xlfn.XLOOKUP(B241, [1]EFAY!$B:$B,[1]EFAY!$A:$A)</f>
        <v>5712-SOL-224606/CH</v>
      </c>
      <c r="B241" s="3" t="s">
        <v>889</v>
      </c>
      <c r="C241" t="s">
        <v>1089</v>
      </c>
      <c r="D241" t="str">
        <f>_xlfn.XLOOKUP(B241, [1]EFAY!$B:$B,[1]EFAY!$D:$D)</f>
        <v>L:16.9xW:10.3cm SOLAR 6.5" SWING BOWL (CHAMPAGNE)</v>
      </c>
      <c r="E241" t="str">
        <f>_xlfn.XLOOKUP(B241, [1]EFAY!$B:$B,[1]EFAY!$E:$E)</f>
        <v>NO TAG</v>
      </c>
      <c r="G241" t="s">
        <v>1094</v>
      </c>
      <c r="H241">
        <f>_xlfn.XLOOKUP(B241, [1]EFAY!$B:$B,[1]EFAY!$H:$H)</f>
        <v>3.16</v>
      </c>
      <c r="I241" t="str">
        <f>_xlfn.XLOOKUP(B241, [1]EFAY!$B:$B,[1]EFAY!$I:$I)</f>
        <v>JS-Janitorial and Stewarding</v>
      </c>
      <c r="J241" t="str">
        <f>_xlfn.XLOOKUP(B241, [1]EFAY!$B:$B,[1]EFAY!$J:$J)</f>
        <v>SVW-Serveware</v>
      </c>
      <c r="K241" t="str">
        <f>_xlfn.XLOOKUP(B241, [1]EFAY!$B:$B,[1]EFAY!$K:$K)</f>
        <v>MSA-Miscellaneous Serving Accessories</v>
      </c>
      <c r="L241" t="str">
        <f>_xlfn.XLOOKUP(B241, [1]EFAY!$B:$B,[1]EFAY!$L:$L)</f>
        <v>Solar 16.9x10.3cm 6.5" Swing Bowl Champagne</v>
      </c>
      <c r="M241" s="3" t="s">
        <v>1054</v>
      </c>
      <c r="N241" t="s">
        <v>971</v>
      </c>
      <c r="O241" s="1" t="s">
        <v>1053</v>
      </c>
    </row>
    <row r="242" spans="1:15" x14ac:dyDescent="0.25">
      <c r="A242" t="str">
        <f>_xlfn.XLOOKUP(B242, [1]EFAY!$B:$B,[1]EFAY!$A:$A)</f>
        <v>5712-SOL-224606/PO</v>
      </c>
      <c r="B242" s="3" t="s">
        <v>890</v>
      </c>
      <c r="C242" t="s">
        <v>1089</v>
      </c>
      <c r="D242" t="str">
        <f>_xlfn.XLOOKUP(B242, [1]EFAY!$B:$B,[1]EFAY!$D:$D)</f>
        <v>L:16.9xW:10.3cm SOLAR 6.5" SWING BOWL (P.ORANGE)</v>
      </c>
      <c r="E242" t="str">
        <f>_xlfn.XLOOKUP(B242, [1]EFAY!$B:$B,[1]EFAY!$E:$E)</f>
        <v>NO TAG</v>
      </c>
      <c r="G242" t="s">
        <v>1094</v>
      </c>
      <c r="H242">
        <f>_xlfn.XLOOKUP(B242, [1]EFAY!$B:$B,[1]EFAY!$H:$H)</f>
        <v>3.16</v>
      </c>
      <c r="I242" t="str">
        <f>_xlfn.XLOOKUP(B242, [1]EFAY!$B:$B,[1]EFAY!$I:$I)</f>
        <v>JS-Janitorial and Stewarding</v>
      </c>
      <c r="J242" t="str">
        <f>_xlfn.XLOOKUP(B242, [1]EFAY!$B:$B,[1]EFAY!$J:$J)</f>
        <v>SVW-Serveware</v>
      </c>
      <c r="K242" t="str">
        <f>_xlfn.XLOOKUP(B242, [1]EFAY!$B:$B,[1]EFAY!$K:$K)</f>
        <v>MSA-Miscellaneous Serving Accessories</v>
      </c>
      <c r="L242" t="str">
        <f>_xlfn.XLOOKUP(B242, [1]EFAY!$B:$B,[1]EFAY!$L:$L)</f>
        <v>Solar 16.9x10.3cm 6.5" Swing Bowl P.Orange</v>
      </c>
      <c r="M242" s="3" t="s">
        <v>1060</v>
      </c>
      <c r="N242" t="s">
        <v>972</v>
      </c>
      <c r="O242" s="1" t="s">
        <v>1055</v>
      </c>
    </row>
    <row r="243" spans="1:15" x14ac:dyDescent="0.25">
      <c r="A243" t="str">
        <f>_xlfn.XLOOKUP(B243, [1]EFAY!$B:$B,[1]EFAY!$A:$A)</f>
        <v>5712-SOL-224607/CH</v>
      </c>
      <c r="B243" s="3" t="s">
        <v>891</v>
      </c>
      <c r="C243" t="s">
        <v>1089</v>
      </c>
      <c r="D243" t="str">
        <f>_xlfn.XLOOKUP(B243, [1]EFAY!$B:$B,[1]EFAY!$D:$D)</f>
        <v>L:17.9xW:13.3cm SOLAR 7" SWING BOWL (CHAMPAGNE)</v>
      </c>
      <c r="E243" t="str">
        <f>_xlfn.XLOOKUP(B243, [1]EFAY!$B:$B,[1]EFAY!$E:$E)</f>
        <v>NO TAG</v>
      </c>
      <c r="G243" t="s">
        <v>1094</v>
      </c>
      <c r="H243">
        <f>_xlfn.XLOOKUP(B243, [1]EFAY!$B:$B,[1]EFAY!$H:$H)</f>
        <v>3.41</v>
      </c>
      <c r="I243" t="str">
        <f>_xlfn.XLOOKUP(B243, [1]EFAY!$B:$B,[1]EFAY!$I:$I)</f>
        <v>JS-Janitorial and Stewarding</v>
      </c>
      <c r="J243" t="str">
        <f>_xlfn.XLOOKUP(B243, [1]EFAY!$B:$B,[1]EFAY!$J:$J)</f>
        <v>SVW-Serveware</v>
      </c>
      <c r="K243" t="str">
        <f>_xlfn.XLOOKUP(B243, [1]EFAY!$B:$B,[1]EFAY!$K:$K)</f>
        <v>MSA-Miscellaneous Serving Accessories</v>
      </c>
      <c r="L243" t="str">
        <f>_xlfn.XLOOKUP(B243, [1]EFAY!$B:$B,[1]EFAY!$L:$L)</f>
        <v>Solar L17.9xW13.3cm 7" Swing Bowl Champagne</v>
      </c>
      <c r="M243" s="3" t="s">
        <v>1054</v>
      </c>
      <c r="N243" t="s">
        <v>973</v>
      </c>
      <c r="O243" s="1" t="s">
        <v>1056</v>
      </c>
    </row>
    <row r="244" spans="1:15" x14ac:dyDescent="0.25">
      <c r="A244" t="str">
        <f>_xlfn.XLOOKUP(B244, [1]EFAY!$B:$B,[1]EFAY!$A:$A)</f>
        <v>5712-SOL-224607/PO</v>
      </c>
      <c r="B244" s="3" t="s">
        <v>892</v>
      </c>
      <c r="C244" t="s">
        <v>1089</v>
      </c>
      <c r="D244" t="str">
        <f>_xlfn.XLOOKUP(B244, [1]EFAY!$B:$B,[1]EFAY!$D:$D)</f>
        <v>L:17.9xW:13.3cm SOLAR 7" SWING BOWL (P.ORANGE)</v>
      </c>
      <c r="E244" t="str">
        <f>_xlfn.XLOOKUP(B244, [1]EFAY!$B:$B,[1]EFAY!$E:$E)</f>
        <v>NO TAG</v>
      </c>
      <c r="G244" t="s">
        <v>1094</v>
      </c>
      <c r="H244">
        <f>_xlfn.XLOOKUP(B244, [1]EFAY!$B:$B,[1]EFAY!$H:$H)</f>
        <v>3.41</v>
      </c>
      <c r="I244" t="str">
        <f>_xlfn.XLOOKUP(B244, [1]EFAY!$B:$B,[1]EFAY!$I:$I)</f>
        <v>JS-Janitorial and Stewarding</v>
      </c>
      <c r="J244" t="str">
        <f>_xlfn.XLOOKUP(B244, [1]EFAY!$B:$B,[1]EFAY!$J:$J)</f>
        <v>SVW-Serveware</v>
      </c>
      <c r="K244" t="str">
        <f>_xlfn.XLOOKUP(B244, [1]EFAY!$B:$B,[1]EFAY!$K:$K)</f>
        <v>MSA-Miscellaneous Serving Accessories</v>
      </c>
      <c r="L244" t="str">
        <f>_xlfn.XLOOKUP(B244, [1]EFAY!$B:$B,[1]EFAY!$L:$L)</f>
        <v>Solar L17.9xW13.3cm 7" Swing Bowl P.Orange</v>
      </c>
      <c r="M244" s="3" t="s">
        <v>1054</v>
      </c>
      <c r="N244" t="s">
        <v>974</v>
      </c>
      <c r="O244" s="1" t="s">
        <v>1057</v>
      </c>
    </row>
    <row r="245" spans="1:15" x14ac:dyDescent="0.25">
      <c r="A245" t="str">
        <f>_xlfn.XLOOKUP(B245, [1]EFAY!$B:$B,[1]EFAY!$A:$A)</f>
        <v>5712-SOL-224608/CH</v>
      </c>
      <c r="B245" s="3" t="s">
        <v>893</v>
      </c>
      <c r="C245" t="s">
        <v>1089</v>
      </c>
      <c r="D245" t="str">
        <f>_xlfn.XLOOKUP(B245, [1]EFAY!$B:$B,[1]EFAY!$D:$D)</f>
        <v>L:21.5xW:11.3cm SOLAR 8.5" SWING PLATE ( CHAMPAGNE)</v>
      </c>
      <c r="E245" t="str">
        <f>_xlfn.XLOOKUP(B245, [1]EFAY!$B:$B,[1]EFAY!$E:$E)</f>
        <v>NO TAG</v>
      </c>
      <c r="G245" t="s">
        <v>1094</v>
      </c>
      <c r="H245">
        <f>_xlfn.XLOOKUP(B245, [1]EFAY!$B:$B,[1]EFAY!$H:$H)</f>
        <v>3.7</v>
      </c>
      <c r="I245" t="str">
        <f>_xlfn.XLOOKUP(B245, [1]EFAY!$B:$B,[1]EFAY!$I:$I)</f>
        <v>JS-Janitorial and Stewarding</v>
      </c>
      <c r="J245" t="str">
        <f>_xlfn.XLOOKUP(B245, [1]EFAY!$B:$B,[1]EFAY!$J:$J)</f>
        <v>DWR-Dinnerware</v>
      </c>
      <c r="K245" t="str">
        <f>_xlfn.XLOOKUP(B245, [1]EFAY!$B:$B,[1]EFAY!$K:$K)</f>
        <v>PLT-Plates</v>
      </c>
      <c r="L245" t="str">
        <f>_xlfn.XLOOKUP(B245, [1]EFAY!$B:$B,[1]EFAY!$L:$L)</f>
        <v>Solar 21.5x11.3cm 8.5" Swing Plate Champagne</v>
      </c>
      <c r="M245" s="3" t="s">
        <v>1060</v>
      </c>
      <c r="N245" t="s">
        <v>975</v>
      </c>
      <c r="O245" s="1" t="s">
        <v>1058</v>
      </c>
    </row>
    <row r="246" spans="1:15" x14ac:dyDescent="0.25">
      <c r="A246" t="str">
        <f>_xlfn.XLOOKUP(B246, [1]EFAY!$B:$B,[1]EFAY!$A:$A)</f>
        <v>5712-SOL-224608/PO</v>
      </c>
      <c r="B246" s="3" t="s">
        <v>894</v>
      </c>
      <c r="C246" t="s">
        <v>1089</v>
      </c>
      <c r="D246" t="str">
        <f>_xlfn.XLOOKUP(B246, [1]EFAY!$B:$B,[1]EFAY!$D:$D)</f>
        <v>L:21.5xW:11.3cm SOLAR 8.5" SWING PLATE ( P. ORANGE)</v>
      </c>
      <c r="E246" t="str">
        <f>_xlfn.XLOOKUP(B246, [1]EFAY!$B:$B,[1]EFAY!$E:$E)</f>
        <v>NO TAG</v>
      </c>
      <c r="G246" t="s">
        <v>1094</v>
      </c>
      <c r="H246">
        <f>_xlfn.XLOOKUP(B246, [1]EFAY!$B:$B,[1]EFAY!$H:$H)</f>
        <v>3.7</v>
      </c>
      <c r="I246" t="str">
        <f>_xlfn.XLOOKUP(B246, [1]EFAY!$B:$B,[1]EFAY!$I:$I)</f>
        <v>JS-Janitorial and Stewarding</v>
      </c>
      <c r="J246" t="str">
        <f>_xlfn.XLOOKUP(B246, [1]EFAY!$B:$B,[1]EFAY!$J:$J)</f>
        <v>DWR-Dinnerware</v>
      </c>
      <c r="K246" t="str">
        <f>_xlfn.XLOOKUP(B246, [1]EFAY!$B:$B,[1]EFAY!$K:$K)</f>
        <v>PLT-Plates</v>
      </c>
      <c r="L246" t="str">
        <f>_xlfn.XLOOKUP(B246, [1]EFAY!$B:$B,[1]EFAY!$L:$L)</f>
        <v>Solar L21.5xW11.3cm 8.5" Swing Plate P. Orange</v>
      </c>
      <c r="M246" s="3" t="s">
        <v>1060</v>
      </c>
      <c r="N246" t="s">
        <v>976</v>
      </c>
      <c r="O246" s="1" t="s">
        <v>1059</v>
      </c>
    </row>
    <row r="247" spans="1:15" x14ac:dyDescent="0.25">
      <c r="A247" t="str">
        <f>_xlfn.XLOOKUP(B247, [1]EFAY!$B:$B,[1]EFAY!$A:$A)</f>
        <v>5712-SOL-226108/CH</v>
      </c>
      <c r="B247" s="3" t="s">
        <v>895</v>
      </c>
      <c r="C247" t="s">
        <v>1089</v>
      </c>
      <c r="D247" t="str">
        <f>_xlfn.XLOOKUP(B247, [1]EFAY!$B:$B,[1]EFAY!$D:$D)</f>
        <v>L:20xW:15.5cm SOLAR 8" SWING BOWL (CHAMPAGNE)</v>
      </c>
      <c r="E247" t="str">
        <f>_xlfn.XLOOKUP(B247, [1]EFAY!$B:$B,[1]EFAY!$E:$E)</f>
        <v>NO TAG</v>
      </c>
      <c r="G247" t="s">
        <v>1094</v>
      </c>
      <c r="H247">
        <f>_xlfn.XLOOKUP(B247, [1]EFAY!$B:$B,[1]EFAY!$H:$H)</f>
        <v>11.02</v>
      </c>
      <c r="I247" t="str">
        <f>_xlfn.XLOOKUP(B247, [1]EFAY!$B:$B,[1]EFAY!$I:$I)</f>
        <v>JS-Janitorial and Stewarding</v>
      </c>
      <c r="J247" t="str">
        <f>_xlfn.XLOOKUP(B247, [1]EFAY!$B:$B,[1]EFAY!$J:$J)</f>
        <v>SVW-Serveware</v>
      </c>
      <c r="K247" t="str">
        <f>_xlfn.XLOOKUP(B247, [1]EFAY!$B:$B,[1]EFAY!$K:$K)</f>
        <v>MSA-Miscellaneous Serving Accessories</v>
      </c>
      <c r="L247" t="str">
        <f>_xlfn.XLOOKUP(B247, [1]EFAY!$B:$B,[1]EFAY!$L:$L)</f>
        <v>Solar L20xW15.5cm 8" Swing Bowl Champagne</v>
      </c>
      <c r="M247" s="3" t="s">
        <v>1073</v>
      </c>
      <c r="N247" t="s">
        <v>977</v>
      </c>
      <c r="O247" s="1" t="s">
        <v>1061</v>
      </c>
    </row>
    <row r="248" spans="1:15" x14ac:dyDescent="0.25">
      <c r="A248" t="str">
        <f>_xlfn.XLOOKUP(B248, [1]EFAY!$B:$B,[1]EFAY!$A:$A)</f>
        <v>5712-SOL-226108/PO</v>
      </c>
      <c r="B248" s="3" t="s">
        <v>896</v>
      </c>
      <c r="C248" t="s">
        <v>1089</v>
      </c>
      <c r="D248" t="str">
        <f>_xlfn.XLOOKUP(B248, [1]EFAY!$B:$B,[1]EFAY!$D:$D)</f>
        <v>L:20xW:15.5cm SOLAR 8" SWING BOWL (P.ORANGE)</v>
      </c>
      <c r="E248" t="str">
        <f>_xlfn.XLOOKUP(B248, [1]EFAY!$B:$B,[1]EFAY!$E:$E)</f>
        <v>NO TAG</v>
      </c>
      <c r="G248" t="s">
        <v>1094</v>
      </c>
      <c r="H248">
        <f>_xlfn.XLOOKUP(B248, [1]EFAY!$B:$B,[1]EFAY!$H:$H)</f>
        <v>11.02</v>
      </c>
      <c r="I248" t="str">
        <f>_xlfn.XLOOKUP(B248, [1]EFAY!$B:$B,[1]EFAY!$I:$I)</f>
        <v>JS-Janitorial and Stewarding</v>
      </c>
      <c r="J248" t="str">
        <f>_xlfn.XLOOKUP(B248, [1]EFAY!$B:$B,[1]EFAY!$J:$J)</f>
        <v>SVW-Serveware</v>
      </c>
      <c r="K248" t="str">
        <f>_xlfn.XLOOKUP(B248, [1]EFAY!$B:$B,[1]EFAY!$K:$K)</f>
        <v>MSA-Miscellaneous Serving Accessories</v>
      </c>
      <c r="L248" t="str">
        <f>_xlfn.XLOOKUP(B248, [1]EFAY!$B:$B,[1]EFAY!$L:$L)</f>
        <v>Solar L20xW15.5cm 8" Swing Bowl P.Orange</v>
      </c>
      <c r="M248" s="3" t="s">
        <v>1071</v>
      </c>
      <c r="N248" t="s">
        <v>978</v>
      </c>
      <c r="O248" s="1" t="s">
        <v>1062</v>
      </c>
    </row>
    <row r="249" spans="1:15" x14ac:dyDescent="0.25">
      <c r="A249" t="str">
        <f>_xlfn.XLOOKUP(B249, [1]EFAY!$B:$B,[1]EFAY!$A:$A)</f>
        <v>5712-SOL-226112/CH</v>
      </c>
      <c r="B249" s="3" t="s">
        <v>897</v>
      </c>
      <c r="C249" t="s">
        <v>1089</v>
      </c>
      <c r="D249" t="str">
        <f>_xlfn.XLOOKUP(B249, [1]EFAY!$B:$B,[1]EFAY!$D:$D)</f>
        <v>L:32.5xW:26.5cm SOLAR 13" SWING BOWL (CHAMPAGNE)</v>
      </c>
      <c r="E249" t="str">
        <f>_xlfn.XLOOKUP(B249, [1]EFAY!$B:$B,[1]EFAY!$E:$E)</f>
        <v>NO TAG</v>
      </c>
      <c r="G249" t="s">
        <v>1094</v>
      </c>
      <c r="H249">
        <f>_xlfn.XLOOKUP(B249, [1]EFAY!$B:$B,[1]EFAY!$H:$H)</f>
        <v>32.630000000000003</v>
      </c>
      <c r="I249" t="str">
        <f>_xlfn.XLOOKUP(B249, [1]EFAY!$B:$B,[1]EFAY!$I:$I)</f>
        <v>JS-Janitorial and Stewarding</v>
      </c>
      <c r="J249" t="str">
        <f>_xlfn.XLOOKUP(B249, [1]EFAY!$B:$B,[1]EFAY!$J:$J)</f>
        <v>SVW-Serveware</v>
      </c>
      <c r="K249" t="str">
        <f>_xlfn.XLOOKUP(B249, [1]EFAY!$B:$B,[1]EFAY!$K:$K)</f>
        <v>MSA-Miscellaneous Serving Accessories</v>
      </c>
      <c r="L249" t="str">
        <f>_xlfn.XLOOKUP(B249, [1]EFAY!$B:$B,[1]EFAY!$L:$L)</f>
        <v>Solar L32.5xW26.5cm 13" Swing Bowl Champagne</v>
      </c>
      <c r="M249" s="3" t="s">
        <v>1072</v>
      </c>
      <c r="N249" t="s">
        <v>979</v>
      </c>
      <c r="O249" s="1" t="s">
        <v>1064</v>
      </c>
    </row>
    <row r="250" spans="1:15" x14ac:dyDescent="0.25">
      <c r="A250" t="str">
        <f>_xlfn.XLOOKUP(B250, [1]EFAY!$B:$B,[1]EFAY!$A:$A)</f>
        <v>5712-SOL-226112/PO</v>
      </c>
      <c r="B250" s="3" t="s">
        <v>898</v>
      </c>
      <c r="C250" t="s">
        <v>1089</v>
      </c>
      <c r="D250" t="str">
        <f>_xlfn.XLOOKUP(B250, [1]EFAY!$B:$B,[1]EFAY!$D:$D)</f>
        <v>L:32.5xW:26.5cm SOLAR 13" SWING BOWL (P.ORANGE)</v>
      </c>
      <c r="E250" t="str">
        <f>_xlfn.XLOOKUP(B250, [1]EFAY!$B:$B,[1]EFAY!$E:$E)</f>
        <v>NO TAG</v>
      </c>
      <c r="G250" t="s">
        <v>1094</v>
      </c>
      <c r="H250">
        <f>_xlfn.XLOOKUP(B250, [1]EFAY!$B:$B,[1]EFAY!$H:$H)</f>
        <v>32.630000000000003</v>
      </c>
      <c r="I250" t="str">
        <f>_xlfn.XLOOKUP(B250, [1]EFAY!$B:$B,[1]EFAY!$I:$I)</f>
        <v>JS-Janitorial and Stewarding</v>
      </c>
      <c r="J250" t="str">
        <f>_xlfn.XLOOKUP(B250, [1]EFAY!$B:$B,[1]EFAY!$J:$J)</f>
        <v>SVW-Serveware</v>
      </c>
      <c r="K250" t="str">
        <f>_xlfn.XLOOKUP(B250, [1]EFAY!$B:$B,[1]EFAY!$K:$K)</f>
        <v>MSA-Miscellaneous Serving Accessories</v>
      </c>
      <c r="L250" t="str">
        <f>_xlfn.XLOOKUP(B250, [1]EFAY!$B:$B,[1]EFAY!$L:$L)</f>
        <v>Solar L32.5xW26.5cm 13" Swing Bowl Pink Orange</v>
      </c>
      <c r="M250" s="3" t="s">
        <v>1073</v>
      </c>
      <c r="N250" t="s">
        <v>980</v>
      </c>
      <c r="O250" s="1" t="s">
        <v>1063</v>
      </c>
    </row>
    <row r="251" spans="1:15" x14ac:dyDescent="0.25">
      <c r="A251" t="str">
        <f>_xlfn.XLOOKUP(B251, [1]EFAY!$B:$B,[1]EFAY!$A:$A)</f>
        <v>5712-SOL-226204/CH</v>
      </c>
      <c r="B251" s="3" t="s">
        <v>899</v>
      </c>
      <c r="C251" t="s">
        <v>1089</v>
      </c>
      <c r="D251" t="str">
        <f>_xlfn.XLOOKUP(B251, [1]EFAY!$B:$B,[1]EFAY!$D:$D)</f>
        <v>DIA:10xH:10cm SOLAR 4" ROUND SNACK BOWL (CHAMPAGNE)</v>
      </c>
      <c r="E251" t="str">
        <f>_xlfn.XLOOKUP(B251, [1]EFAY!$B:$B,[1]EFAY!$E:$E)</f>
        <v>NO TAG</v>
      </c>
      <c r="G251" t="s">
        <v>1094</v>
      </c>
      <c r="H251">
        <f>_xlfn.XLOOKUP(B251, [1]EFAY!$B:$B,[1]EFAY!$H:$H)</f>
        <v>3.55</v>
      </c>
      <c r="I251" t="str">
        <f>_xlfn.XLOOKUP(B251, [1]EFAY!$B:$B,[1]EFAY!$I:$I)</f>
        <v>JS-Janitorial and Stewarding</v>
      </c>
      <c r="J251" t="str">
        <f>_xlfn.XLOOKUP(B251, [1]EFAY!$B:$B,[1]EFAY!$J:$J)</f>
        <v>SVW-Serveware</v>
      </c>
      <c r="K251" t="str">
        <f>_xlfn.XLOOKUP(B251, [1]EFAY!$B:$B,[1]EFAY!$K:$K)</f>
        <v>MSA-Miscellaneous Serving Accessories</v>
      </c>
      <c r="L251" t="str">
        <f>_xlfn.XLOOKUP(B251, [1]EFAY!$B:$B,[1]EFAY!$L:$L)</f>
        <v>Solar 10xH10cm Round Snack Bowl Champagne</v>
      </c>
      <c r="M251" s="3" t="s">
        <v>1073</v>
      </c>
      <c r="N251" t="s">
        <v>981</v>
      </c>
      <c r="O251" s="1" t="s">
        <v>1061</v>
      </c>
    </row>
    <row r="252" spans="1:15" x14ac:dyDescent="0.25">
      <c r="A252" t="str">
        <f>_xlfn.XLOOKUP(B252, [1]EFAY!$B:$B,[1]EFAY!$A:$A)</f>
        <v>5712-SOL-226204/DP</v>
      </c>
      <c r="B252" s="3" t="s">
        <v>900</v>
      </c>
      <c r="C252" t="s">
        <v>1089</v>
      </c>
      <c r="D252" t="str">
        <f>_xlfn.XLOOKUP(B252, [1]EFAY!$B:$B,[1]EFAY!$D:$D)</f>
        <v>DIA:10xH:10cm SOLAR 4" ROUND SNACK BOWL (DUSTY PINK)</v>
      </c>
      <c r="E252" t="str">
        <f>_xlfn.XLOOKUP(B252, [1]EFAY!$B:$B,[1]EFAY!$E:$E)</f>
        <v>NO TAG</v>
      </c>
      <c r="G252" t="s">
        <v>1094</v>
      </c>
      <c r="H252">
        <f>_xlfn.XLOOKUP(B252, [1]EFAY!$B:$B,[1]EFAY!$H:$H)</f>
        <v>3.55</v>
      </c>
      <c r="I252" t="str">
        <f>_xlfn.XLOOKUP(B252, [1]EFAY!$B:$B,[1]EFAY!$I:$I)</f>
        <v>JS-Janitorial and Stewarding</v>
      </c>
      <c r="J252" t="str">
        <f>_xlfn.XLOOKUP(B252, [1]EFAY!$B:$B,[1]EFAY!$J:$J)</f>
        <v>SVW-Serveware</v>
      </c>
      <c r="K252" t="str">
        <f>_xlfn.XLOOKUP(B252, [1]EFAY!$B:$B,[1]EFAY!$K:$K)</f>
        <v>MSA-Miscellaneous Serving Accessories</v>
      </c>
      <c r="L252" t="str">
        <f>_xlfn.XLOOKUP(B252, [1]EFAY!$B:$B,[1]EFAY!$L:$L)</f>
        <v>Solar 10xH10cm 4" Round Snack Bowl Dusty Pink</v>
      </c>
      <c r="M252" s="3" t="s">
        <v>1073</v>
      </c>
      <c r="N252" t="s">
        <v>982</v>
      </c>
      <c r="O252" s="1" t="s">
        <v>1063</v>
      </c>
    </row>
    <row r="253" spans="1:15" x14ac:dyDescent="0.25">
      <c r="A253" t="str">
        <f>_xlfn.XLOOKUP(B253, [1]EFAY!$B:$B,[1]EFAY!$A:$A)</f>
        <v>5712-SOL-226204/LV</v>
      </c>
      <c r="B253" s="3" t="s">
        <v>901</v>
      </c>
      <c r="C253" t="s">
        <v>1089</v>
      </c>
      <c r="D253" t="str">
        <f>_xlfn.XLOOKUP(B253, [1]EFAY!$B:$B,[1]EFAY!$D:$D)</f>
        <v>DIA:10xH:10cm SOLAR 4" ROUND SNACK BOWL (LAVA GRAY)</v>
      </c>
      <c r="E253" t="str">
        <f>_xlfn.XLOOKUP(B253, [1]EFAY!$B:$B,[1]EFAY!$E:$E)</f>
        <v>NO TAG</v>
      </c>
      <c r="G253" t="s">
        <v>1094</v>
      </c>
      <c r="H253">
        <f>_xlfn.XLOOKUP(B253, [1]EFAY!$B:$B,[1]EFAY!$H:$H)</f>
        <v>3.55</v>
      </c>
      <c r="I253" t="str">
        <f>_xlfn.XLOOKUP(B253, [1]EFAY!$B:$B,[1]EFAY!$I:$I)</f>
        <v>JS-Janitorial and Stewarding</v>
      </c>
      <c r="J253" t="str">
        <f>_xlfn.XLOOKUP(B253, [1]EFAY!$B:$B,[1]EFAY!$J:$J)</f>
        <v>SVW-Serveware</v>
      </c>
      <c r="K253" t="str">
        <f>_xlfn.XLOOKUP(B253, [1]EFAY!$B:$B,[1]EFAY!$K:$K)</f>
        <v>MSA-Miscellaneous Serving Accessories</v>
      </c>
      <c r="L253" t="str">
        <f>_xlfn.XLOOKUP(B253, [1]EFAY!$B:$B,[1]EFAY!$L:$L)</f>
        <v>Solar 10xH10cm Round Snack Bowl Lava Grey</v>
      </c>
      <c r="M253" s="3" t="s">
        <v>1071</v>
      </c>
      <c r="N253" t="s">
        <v>983</v>
      </c>
      <c r="O253" s="2" t="s">
        <v>1062</v>
      </c>
    </row>
    <row r="254" spans="1:15" x14ac:dyDescent="0.25">
      <c r="A254" t="str">
        <f>_xlfn.XLOOKUP(B254, [1]EFAY!$B:$B,[1]EFAY!$A:$A)</f>
        <v>5712-SOL-226212/CH</v>
      </c>
      <c r="B254" s="3" t="s">
        <v>902</v>
      </c>
      <c r="C254" t="s">
        <v>1089</v>
      </c>
      <c r="D254" t="str">
        <f>_xlfn.XLOOKUP(B254, [1]EFAY!$B:$B,[1]EFAY!$D:$D)</f>
        <v>DIA:29xH:10cm SOLAR 11.5" SALAD BOWL (CHAMPAGNE)</v>
      </c>
      <c r="E254" t="str">
        <f>_xlfn.XLOOKUP(B254, [1]EFAY!$B:$B,[1]EFAY!$E:$E)</f>
        <v>NO TAG</v>
      </c>
      <c r="G254" t="s">
        <v>1094</v>
      </c>
      <c r="H254">
        <f>_xlfn.XLOOKUP(B254, [1]EFAY!$B:$B,[1]EFAY!$H:$H)</f>
        <v>15.35</v>
      </c>
      <c r="I254" t="str">
        <f>_xlfn.XLOOKUP(B254, [1]EFAY!$B:$B,[1]EFAY!$I:$I)</f>
        <v>JS-Janitorial and Stewarding</v>
      </c>
      <c r="J254" t="str">
        <f>_xlfn.XLOOKUP(B254, [1]EFAY!$B:$B,[1]EFAY!$J:$J)</f>
        <v>SVW-Serveware</v>
      </c>
      <c r="K254" t="str">
        <f>_xlfn.XLOOKUP(B254, [1]EFAY!$B:$B,[1]EFAY!$K:$K)</f>
        <v>MSA-Miscellaneous Serving Accessories</v>
      </c>
      <c r="L254" t="str">
        <f>_xlfn.XLOOKUP(B254, [1]EFAY!$B:$B,[1]EFAY!$L:$L)</f>
        <v>Solar 29xH10cm 11.5" Salad Bowl Champagne</v>
      </c>
      <c r="M254" s="3" t="s">
        <v>1072</v>
      </c>
      <c r="N254" t="s">
        <v>984</v>
      </c>
      <c r="O254" s="1" t="s">
        <v>1064</v>
      </c>
    </row>
    <row r="255" spans="1:15" x14ac:dyDescent="0.25">
      <c r="A255" t="str">
        <f>_xlfn.XLOOKUP(B255, [1]EFAY!$B:$B,[1]EFAY!$A:$A)</f>
        <v>5712-SOL-226212/LV</v>
      </c>
      <c r="B255" s="3" t="s">
        <v>903</v>
      </c>
      <c r="C255" t="s">
        <v>1089</v>
      </c>
      <c r="D255" t="str">
        <f>_xlfn.XLOOKUP(B255, [1]EFAY!$B:$B,[1]EFAY!$D:$D)</f>
        <v>DIA:29xH:10cm SOLAR 11.5" SALAD BOWL (LAVA GRAY)</v>
      </c>
      <c r="E255" t="str">
        <f>_xlfn.XLOOKUP(B255, [1]EFAY!$B:$B,[1]EFAY!$E:$E)</f>
        <v>NO TAG</v>
      </c>
      <c r="G255" t="s">
        <v>1094</v>
      </c>
      <c r="H255">
        <f>_xlfn.XLOOKUP(B255, [1]EFAY!$B:$B,[1]EFAY!$H:$H)</f>
        <v>15.35</v>
      </c>
      <c r="I255" t="str">
        <f>_xlfn.XLOOKUP(B255, [1]EFAY!$B:$B,[1]EFAY!$I:$I)</f>
        <v>JS-Janitorial and Stewarding</v>
      </c>
      <c r="J255" t="str">
        <f>_xlfn.XLOOKUP(B255, [1]EFAY!$B:$B,[1]EFAY!$J:$J)</f>
        <v>SVW-Serveware</v>
      </c>
      <c r="K255" t="str">
        <f>_xlfn.XLOOKUP(B255, [1]EFAY!$B:$B,[1]EFAY!$K:$K)</f>
        <v>MSA-Miscellaneous Serving Accessories</v>
      </c>
      <c r="L255" t="str">
        <f>_xlfn.XLOOKUP(B255, [1]EFAY!$B:$B,[1]EFAY!$L:$L)</f>
        <v>Solar 29xH10cm 11.5" Salad Bowl Lava Grey</v>
      </c>
      <c r="M255" s="3" t="s">
        <v>1073</v>
      </c>
      <c r="N255" t="s">
        <v>985</v>
      </c>
      <c r="O255" s="1" t="s">
        <v>1063</v>
      </c>
    </row>
    <row r="256" spans="1:15" x14ac:dyDescent="0.25">
      <c r="A256" t="str">
        <f>_xlfn.XLOOKUP(B256, [1]EFAY!$B:$B,[1]EFAY!$A:$A)</f>
        <v>5712-SOL-226214/CH</v>
      </c>
      <c r="B256" s="3" t="s">
        <v>904</v>
      </c>
      <c r="C256" t="s">
        <v>1089</v>
      </c>
      <c r="D256" t="str">
        <f>_xlfn.XLOOKUP(B256, [1]EFAY!$B:$B,[1]EFAY!$D:$D)</f>
        <v>DIA:35xH:7cm SOLAR 14" SALAD BOWL (CHAMPAGNE)</v>
      </c>
      <c r="E256" t="str">
        <f>_xlfn.XLOOKUP(B256, [1]EFAY!$B:$B,[1]EFAY!$E:$E)</f>
        <v>NO TAG</v>
      </c>
      <c r="G256" t="s">
        <v>1094</v>
      </c>
      <c r="H256">
        <f>_xlfn.XLOOKUP(B256, [1]EFAY!$B:$B,[1]EFAY!$H:$H)</f>
        <v>17.45</v>
      </c>
      <c r="I256" t="str">
        <f>_xlfn.XLOOKUP(B256, [1]EFAY!$B:$B,[1]EFAY!$I:$I)</f>
        <v>JS-Janitorial and Stewarding</v>
      </c>
      <c r="J256" t="str">
        <f>_xlfn.XLOOKUP(B256, [1]EFAY!$B:$B,[1]EFAY!$J:$J)</f>
        <v>SVW-Serveware</v>
      </c>
      <c r="K256" t="str">
        <f>_xlfn.XLOOKUP(B256, [1]EFAY!$B:$B,[1]EFAY!$K:$K)</f>
        <v>MSA-Miscellaneous Serving Accessories</v>
      </c>
      <c r="L256" t="str">
        <f>_xlfn.XLOOKUP(B256, [1]EFAY!$B:$B,[1]EFAY!$L:$L)</f>
        <v>Solar 35xH7cm 14" Salad Bowl Champagne</v>
      </c>
      <c r="M256" s="3" t="s">
        <v>1072</v>
      </c>
      <c r="N256" t="s">
        <v>986</v>
      </c>
      <c r="O256" s="1" t="s">
        <v>1064</v>
      </c>
    </row>
    <row r="257" spans="1:15" x14ac:dyDescent="0.25">
      <c r="A257" t="str">
        <f>_xlfn.XLOOKUP(B257, [1]EFAY!$B:$B,[1]EFAY!$A:$A)</f>
        <v>5712-SOL-226214/LV</v>
      </c>
      <c r="B257" s="3" t="s">
        <v>905</v>
      </c>
      <c r="C257" t="s">
        <v>1089</v>
      </c>
      <c r="D257" t="str">
        <f>_xlfn.XLOOKUP(B257, [1]EFAY!$B:$B,[1]EFAY!$D:$D)</f>
        <v>DIA:35xH:7cm SOLAR 14" SALAD BOWL (LAVA GRAY)</v>
      </c>
      <c r="E257" t="str">
        <f>_xlfn.XLOOKUP(B257, [1]EFAY!$B:$B,[1]EFAY!$E:$E)</f>
        <v>NO TAG</v>
      </c>
      <c r="G257" t="s">
        <v>1094</v>
      </c>
      <c r="H257">
        <f>_xlfn.XLOOKUP(B257, [1]EFAY!$B:$B,[1]EFAY!$H:$H)</f>
        <v>17.45</v>
      </c>
      <c r="I257" t="str">
        <f>_xlfn.XLOOKUP(B257, [1]EFAY!$B:$B,[1]EFAY!$I:$I)</f>
        <v>JS-Janitorial and Stewarding</v>
      </c>
      <c r="J257" t="str">
        <f>_xlfn.XLOOKUP(B257, [1]EFAY!$B:$B,[1]EFAY!$J:$J)</f>
        <v>SVW-Serveware</v>
      </c>
      <c r="K257" t="str">
        <f>_xlfn.XLOOKUP(B257, [1]EFAY!$B:$B,[1]EFAY!$K:$K)</f>
        <v>MSA-Miscellaneous Serving Accessories</v>
      </c>
      <c r="L257" t="str">
        <f>_xlfn.XLOOKUP(B257, [1]EFAY!$B:$B,[1]EFAY!$L:$L)</f>
        <v>Solar Ø35xH7cm 14" Lava Gray Salad Bowl</v>
      </c>
      <c r="M257" s="3" t="s">
        <v>1073</v>
      </c>
      <c r="N257" t="s">
        <v>987</v>
      </c>
      <c r="O257" s="1" t="s">
        <v>1055</v>
      </c>
    </row>
    <row r="258" spans="1:15" x14ac:dyDescent="0.25">
      <c r="A258" t="str">
        <f>_xlfn.XLOOKUP(B258, [1]EFAY!$B:$B,[1]EFAY!$A:$A)</f>
        <v>5712-SOL-226222/CH</v>
      </c>
      <c r="B258" s="3" t="s">
        <v>906</v>
      </c>
      <c r="C258" t="s">
        <v>1089</v>
      </c>
      <c r="D258" t="str">
        <f>_xlfn.XLOOKUP(B258, [1]EFAY!$B:$B,[1]EFAY!$D:$D)</f>
        <v>DIA:5.5xH:5.5cm SOLAR 2.2" ROUND SAUCE BOWL (CHAMPAGNE)</v>
      </c>
      <c r="E258" t="str">
        <f>_xlfn.XLOOKUP(B258, [1]EFAY!$B:$B,[1]EFAY!$E:$E)</f>
        <v>NO TAG</v>
      </c>
      <c r="G258" t="s">
        <v>1094</v>
      </c>
      <c r="H258">
        <f>_xlfn.XLOOKUP(B258, [1]EFAY!$B:$B,[1]EFAY!$H:$H)</f>
        <v>1.21</v>
      </c>
      <c r="I258" t="str">
        <f>_xlfn.XLOOKUP(B258, [1]EFAY!$B:$B,[1]EFAY!$I:$I)</f>
        <v>JS-Janitorial and Stewarding</v>
      </c>
      <c r="J258" t="str">
        <f>_xlfn.XLOOKUP(B258, [1]EFAY!$B:$B,[1]EFAY!$J:$J)</f>
        <v>SVW-Serveware</v>
      </c>
      <c r="K258" t="str">
        <f>_xlfn.XLOOKUP(B258, [1]EFAY!$B:$B,[1]EFAY!$K:$K)</f>
        <v>CHD-Condiment Holders</v>
      </c>
      <c r="L258" t="str">
        <f>_xlfn.XLOOKUP(B258, [1]EFAY!$B:$B,[1]EFAY!$L:$L)</f>
        <v>Solar Ø5.5xH5.5cm 2.2" Round Sauce Bowl Champagne</v>
      </c>
      <c r="M258" s="3" t="s">
        <v>1073</v>
      </c>
      <c r="N258" t="s">
        <v>988</v>
      </c>
      <c r="O258" s="1" t="s">
        <v>1058</v>
      </c>
    </row>
    <row r="259" spans="1:15" x14ac:dyDescent="0.25">
      <c r="A259" t="str">
        <f>_xlfn.XLOOKUP(B259, [1]EFAY!$B:$B,[1]EFAY!$A:$A)</f>
        <v>5712-SOL-226222/DP</v>
      </c>
      <c r="B259" s="3" t="s">
        <v>907</v>
      </c>
      <c r="C259" t="s">
        <v>1089</v>
      </c>
      <c r="D259" t="str">
        <f>_xlfn.XLOOKUP(B259, [1]EFAY!$B:$B,[1]EFAY!$D:$D)</f>
        <v>DIA:5.5xH:5.5cm SOLAR 2.2" ROUND SAUCE BOWL (DUSTY PINK)</v>
      </c>
      <c r="E259" t="str">
        <f>_xlfn.XLOOKUP(B259, [1]EFAY!$B:$B,[1]EFAY!$E:$E)</f>
        <v>NO TAG</v>
      </c>
      <c r="G259" t="s">
        <v>1094</v>
      </c>
      <c r="H259">
        <f>_xlfn.XLOOKUP(B259, [1]EFAY!$B:$B,[1]EFAY!$H:$H)</f>
        <v>1.21</v>
      </c>
      <c r="I259" t="str">
        <f>_xlfn.XLOOKUP(B259, [1]EFAY!$B:$B,[1]EFAY!$I:$I)</f>
        <v>JS-Janitorial and Stewarding</v>
      </c>
      <c r="J259" t="str">
        <f>_xlfn.XLOOKUP(B259, [1]EFAY!$B:$B,[1]EFAY!$J:$J)</f>
        <v>SVW-Serveware</v>
      </c>
      <c r="K259" t="str">
        <f>_xlfn.XLOOKUP(B259, [1]EFAY!$B:$B,[1]EFAY!$K:$K)</f>
        <v>CHD-Condiment Holders</v>
      </c>
      <c r="L259" t="str">
        <f>_xlfn.XLOOKUP(B259, [1]EFAY!$B:$B,[1]EFAY!$L:$L)</f>
        <v>Solar Ø5.5xH5.5cm 2.2" Round Sauce Bowl Dusty Pink</v>
      </c>
      <c r="M259" s="3" t="s">
        <v>1071</v>
      </c>
      <c r="N259" t="s">
        <v>989</v>
      </c>
      <c r="O259" s="1" t="s">
        <v>1062</v>
      </c>
    </row>
    <row r="260" spans="1:15" x14ac:dyDescent="0.25">
      <c r="A260" t="str">
        <f>_xlfn.XLOOKUP(B260, [1]EFAY!$B:$B,[1]EFAY!$A:$A)</f>
        <v>5712-SOL-226222/LV</v>
      </c>
      <c r="B260" s="3" t="s">
        <v>908</v>
      </c>
      <c r="C260" t="s">
        <v>1089</v>
      </c>
      <c r="D260" t="str">
        <f>_xlfn.XLOOKUP(B260, [1]EFAY!$B:$B,[1]EFAY!$D:$D)</f>
        <v>DIA:5.5xH:5.5cm SOLAR 2.2" ROUND SAUCE BOWL (LAVA GRAY)</v>
      </c>
      <c r="E260" t="str">
        <f>_xlfn.XLOOKUP(B260, [1]EFAY!$B:$B,[1]EFAY!$E:$E)</f>
        <v>NO TAG</v>
      </c>
      <c r="G260" t="s">
        <v>1094</v>
      </c>
      <c r="H260">
        <f>_xlfn.XLOOKUP(B260, [1]EFAY!$B:$B,[1]EFAY!$H:$H)</f>
        <v>1.21</v>
      </c>
      <c r="I260" t="str">
        <f>_xlfn.XLOOKUP(B260, [1]EFAY!$B:$B,[1]EFAY!$I:$I)</f>
        <v>JS-Janitorial and Stewarding</v>
      </c>
      <c r="J260" t="str">
        <f>_xlfn.XLOOKUP(B260, [1]EFAY!$B:$B,[1]EFAY!$J:$J)</f>
        <v>SVW-Serveware</v>
      </c>
      <c r="K260" t="str">
        <f>_xlfn.XLOOKUP(B260, [1]EFAY!$B:$B,[1]EFAY!$K:$K)</f>
        <v>CHD-Condiment Holders</v>
      </c>
      <c r="L260" t="str">
        <f>_xlfn.XLOOKUP(B260, [1]EFAY!$B:$B,[1]EFAY!$L:$L)</f>
        <v>Solar Ø5.5xH5.5cm 2.2"  Round Sauce Bowl Lava Grey</v>
      </c>
      <c r="M260" s="3" t="s">
        <v>1060</v>
      </c>
      <c r="N260" t="s">
        <v>990</v>
      </c>
      <c r="O260" s="1" t="s">
        <v>1063</v>
      </c>
    </row>
    <row r="261" spans="1:15" x14ac:dyDescent="0.25">
      <c r="A261" t="str">
        <f>_xlfn.XLOOKUP(B261, [1]EFAY!$B:$B,[1]EFAY!$A:$A)</f>
        <v>5712-SOL-226228/CH</v>
      </c>
      <c r="B261" s="3" t="s">
        <v>909</v>
      </c>
      <c r="C261" t="s">
        <v>1089</v>
      </c>
      <c r="D261" t="str">
        <f>_xlfn.XLOOKUP(B261, [1]EFAY!$B:$B,[1]EFAY!$D:$D)</f>
        <v>DIA:7xH:7cm SOLAR 2.8" ROUND SNACK BOWL (CHAMPAGNE)</v>
      </c>
      <c r="E261" t="str">
        <f>_xlfn.XLOOKUP(B261, [1]EFAY!$B:$B,[1]EFAY!$E:$E)</f>
        <v>NO TAG</v>
      </c>
      <c r="G261" t="s">
        <v>1094</v>
      </c>
      <c r="H261">
        <f>_xlfn.XLOOKUP(B261, [1]EFAY!$B:$B,[1]EFAY!$H:$H)</f>
        <v>1.89</v>
      </c>
      <c r="I261" t="str">
        <f>_xlfn.XLOOKUP(B261, [1]EFAY!$B:$B,[1]EFAY!$I:$I)</f>
        <v>JS-Janitorial and Stewarding</v>
      </c>
      <c r="J261" t="str">
        <f>_xlfn.XLOOKUP(B261, [1]EFAY!$B:$B,[1]EFAY!$J:$J)</f>
        <v>SVW-Serveware</v>
      </c>
      <c r="K261" t="str">
        <f>_xlfn.XLOOKUP(B261, [1]EFAY!$B:$B,[1]EFAY!$K:$K)</f>
        <v>MSA-Miscellaneous Serving Accessories</v>
      </c>
      <c r="L261" t="str">
        <f>_xlfn.XLOOKUP(B261, [1]EFAY!$B:$B,[1]EFAY!$L:$L)</f>
        <v>Solar Ø7xH7cm 2.8" Round Snack Bowl Champagne</v>
      </c>
      <c r="M261" s="3" t="s">
        <v>1068</v>
      </c>
      <c r="N261" t="s">
        <v>991</v>
      </c>
      <c r="O261" s="1" t="s">
        <v>1061</v>
      </c>
    </row>
    <row r="262" spans="1:15" x14ac:dyDescent="0.25">
      <c r="A262" t="str">
        <f>_xlfn.XLOOKUP(B262, [1]EFAY!$B:$B,[1]EFAY!$A:$A)</f>
        <v>5712-SOL-226228/DP</v>
      </c>
      <c r="B262" s="3" t="s">
        <v>910</v>
      </c>
      <c r="C262" t="s">
        <v>1089</v>
      </c>
      <c r="D262" t="str">
        <f>_xlfn.XLOOKUP(B262, [1]EFAY!$B:$B,[1]EFAY!$D:$D)</f>
        <v>DIA:7xH:7cm SOLAR 2.8" ROUND SNACK BOWL (DUSTY PINK)</v>
      </c>
      <c r="E262" t="str">
        <f>_xlfn.XLOOKUP(B262, [1]EFAY!$B:$B,[1]EFAY!$E:$E)</f>
        <v>NO TAG</v>
      </c>
      <c r="G262" t="s">
        <v>1094</v>
      </c>
      <c r="H262">
        <f>_xlfn.XLOOKUP(B262, [1]EFAY!$B:$B,[1]EFAY!$H:$H)</f>
        <v>1.89</v>
      </c>
      <c r="I262" t="str">
        <f>_xlfn.XLOOKUP(B262, [1]EFAY!$B:$B,[1]EFAY!$I:$I)</f>
        <v>JS-Janitorial and Stewarding</v>
      </c>
      <c r="J262" t="str">
        <f>_xlfn.XLOOKUP(B262, [1]EFAY!$B:$B,[1]EFAY!$J:$J)</f>
        <v>SVW-Serveware</v>
      </c>
      <c r="K262" t="str">
        <f>_xlfn.XLOOKUP(B262, [1]EFAY!$B:$B,[1]EFAY!$K:$K)</f>
        <v>MSA-Miscellaneous Serving Accessories</v>
      </c>
      <c r="L262" t="str">
        <f>_xlfn.XLOOKUP(B262, [1]EFAY!$B:$B,[1]EFAY!$L:$L)</f>
        <v>Solar Ø7xH7cm 2.8" Round Snack Bowl Dusty Pink</v>
      </c>
      <c r="M262" s="3" t="s">
        <v>1069</v>
      </c>
      <c r="N262" t="s">
        <v>992</v>
      </c>
      <c r="O262" s="1" t="s">
        <v>1062</v>
      </c>
    </row>
    <row r="263" spans="1:15" x14ac:dyDescent="0.25">
      <c r="A263" t="str">
        <f>_xlfn.XLOOKUP(B263, [1]EFAY!$B:$B,[1]EFAY!$A:$A)</f>
        <v>5712-SOL-226228/LV</v>
      </c>
      <c r="B263" s="3" t="s">
        <v>911</v>
      </c>
      <c r="C263" t="s">
        <v>1089</v>
      </c>
      <c r="D263" t="str">
        <f>_xlfn.XLOOKUP(B263, [1]EFAY!$B:$B,[1]EFAY!$D:$D)</f>
        <v>DIA:7xH:7cm SOLAR 2.8" ROUND SNACK BOWL (LAVA GRAY)</v>
      </c>
      <c r="E263" t="str">
        <f>_xlfn.XLOOKUP(B263, [1]EFAY!$B:$B,[1]EFAY!$E:$E)</f>
        <v>NO TAG</v>
      </c>
      <c r="G263" t="s">
        <v>1094</v>
      </c>
      <c r="H263">
        <f>_xlfn.XLOOKUP(B263, [1]EFAY!$B:$B,[1]EFAY!$H:$H)</f>
        <v>1.89</v>
      </c>
      <c r="I263" t="str">
        <f>_xlfn.XLOOKUP(B263, [1]EFAY!$B:$B,[1]EFAY!$I:$I)</f>
        <v>JS-Janitorial and Stewarding</v>
      </c>
      <c r="J263" t="str">
        <f>_xlfn.XLOOKUP(B263, [1]EFAY!$B:$B,[1]EFAY!$J:$J)</f>
        <v>SVW-Serveware</v>
      </c>
      <c r="K263" t="str">
        <f>_xlfn.XLOOKUP(B263, [1]EFAY!$B:$B,[1]EFAY!$K:$K)</f>
        <v>MSA-Miscellaneous Serving Accessories</v>
      </c>
      <c r="L263" t="str">
        <f>_xlfn.XLOOKUP(B263, [1]EFAY!$B:$B,[1]EFAY!$L:$L)</f>
        <v>Solar Ø7xH7cm 2.8" Round Snack Bowl Lava Grey</v>
      </c>
      <c r="M263" s="3" t="s">
        <v>1075</v>
      </c>
      <c r="N263" t="s">
        <v>993</v>
      </c>
      <c r="O263" s="1" t="s">
        <v>1065</v>
      </c>
    </row>
    <row r="264" spans="1:15" x14ac:dyDescent="0.25">
      <c r="A264" t="str">
        <f>_xlfn.XLOOKUP(B264, [1]EFAY!$B:$B,[1]EFAY!$A:$A)</f>
        <v>5712-SOL-226235/CH</v>
      </c>
      <c r="B264" s="3" t="s">
        <v>912</v>
      </c>
      <c r="C264" t="s">
        <v>1089</v>
      </c>
      <c r="D264" t="str">
        <f>_xlfn.XLOOKUP(B264, [1]EFAY!$B:$B,[1]EFAY!$D:$D)</f>
        <v>DIA:8.5xH:8.5cm SOLAR 3.5" ROUND SNACK BOWL (CHAMPAGNE)</v>
      </c>
      <c r="E264" t="str">
        <f>_xlfn.XLOOKUP(B264, [1]EFAY!$B:$B,[1]EFAY!$E:$E)</f>
        <v>NO TAG</v>
      </c>
      <c r="G264" t="s">
        <v>1094</v>
      </c>
      <c r="H264">
        <f>_xlfn.XLOOKUP(B264, [1]EFAY!$B:$B,[1]EFAY!$H:$H)</f>
        <v>2.4700000000000002</v>
      </c>
      <c r="I264" t="str">
        <f>_xlfn.XLOOKUP(B264, [1]EFAY!$B:$B,[1]EFAY!$I:$I)</f>
        <v>JS-Janitorial and Stewarding</v>
      </c>
      <c r="J264" t="str">
        <f>_xlfn.XLOOKUP(B264, [1]EFAY!$B:$B,[1]EFAY!$J:$J)</f>
        <v>SVW-Serveware</v>
      </c>
      <c r="K264" t="str">
        <f>_xlfn.XLOOKUP(B264, [1]EFAY!$B:$B,[1]EFAY!$K:$K)</f>
        <v>MSA-Miscellaneous Serving Accessories</v>
      </c>
      <c r="L264" t="str">
        <f>_xlfn.XLOOKUP(B264, [1]EFAY!$B:$B,[1]EFAY!$L:$L)</f>
        <v>Solar Ø8.5xH8.5cm 3.5" Round Snack Bowl Champagne</v>
      </c>
      <c r="M264" s="3" t="s">
        <v>1070</v>
      </c>
      <c r="N264" t="s">
        <v>994</v>
      </c>
      <c r="O264" s="1" t="s">
        <v>1066</v>
      </c>
    </row>
    <row r="265" spans="1:15" x14ac:dyDescent="0.25">
      <c r="A265" t="str">
        <f>_xlfn.XLOOKUP(B265, [1]EFAY!$B:$B,[1]EFAY!$A:$A)</f>
        <v>5712-SOL-226235/DP</v>
      </c>
      <c r="B265" s="3" t="s">
        <v>913</v>
      </c>
      <c r="C265" t="s">
        <v>1089</v>
      </c>
      <c r="D265" t="str">
        <f>_xlfn.XLOOKUP(B265, [1]EFAY!$B:$B,[1]EFAY!$D:$D)</f>
        <v>DIA:8.5xH:8.5cm SOLAR 3.5" ROUND SNACK BOWL (DUSTY PINK)</v>
      </c>
      <c r="E265" t="str">
        <f>_xlfn.XLOOKUP(B265, [1]EFAY!$B:$B,[1]EFAY!$E:$E)</f>
        <v>NO TAG</v>
      </c>
      <c r="G265" t="s">
        <v>1094</v>
      </c>
      <c r="H265">
        <f>_xlfn.XLOOKUP(B265, [1]EFAY!$B:$B,[1]EFAY!$H:$H)</f>
        <v>2.4700000000000002</v>
      </c>
      <c r="I265" t="str">
        <f>_xlfn.XLOOKUP(B265, [1]EFAY!$B:$B,[1]EFAY!$I:$I)</f>
        <v>JS-Janitorial and Stewarding</v>
      </c>
      <c r="J265" t="str">
        <f>_xlfn.XLOOKUP(B265, [1]EFAY!$B:$B,[1]EFAY!$J:$J)</f>
        <v>SVW-Serveware</v>
      </c>
      <c r="K265" t="str">
        <f>_xlfn.XLOOKUP(B265, [1]EFAY!$B:$B,[1]EFAY!$K:$K)</f>
        <v>MSA-Miscellaneous Serving Accessories</v>
      </c>
      <c r="L265" t="str">
        <f>_xlfn.XLOOKUP(B265, [1]EFAY!$B:$B,[1]EFAY!$L:$L)</f>
        <v>Solar Ø8.5xH8.5cm 3.5" Round Snack Bowl Dusty Pink</v>
      </c>
      <c r="M265" s="3" t="s">
        <v>1070</v>
      </c>
      <c r="N265" t="s">
        <v>995</v>
      </c>
      <c r="O265" s="1" t="s">
        <v>1067</v>
      </c>
    </row>
    <row r="266" spans="1:15" x14ac:dyDescent="0.25">
      <c r="A266" t="str">
        <f>_xlfn.XLOOKUP(B266, [1]EFAY!$B:$B,[1]EFAY!$A:$A)</f>
        <v>5712-SOL-226235/LV</v>
      </c>
      <c r="B266" s="3" t="s">
        <v>914</v>
      </c>
      <c r="C266" t="s">
        <v>1089</v>
      </c>
      <c r="D266" t="str">
        <f>_xlfn.XLOOKUP(B266, [1]EFAY!$B:$B,[1]EFAY!$D:$D)</f>
        <v>DIA:8.5xH:8.5cm SOLAR 3.5" ROUND SNACK BOWL (LAVA GRAY)</v>
      </c>
      <c r="E266" t="str">
        <f>_xlfn.XLOOKUP(B266, [1]EFAY!$B:$B,[1]EFAY!$E:$E)</f>
        <v>NO TAG</v>
      </c>
      <c r="G266" t="s">
        <v>1094</v>
      </c>
      <c r="H266">
        <f>_xlfn.XLOOKUP(B266, [1]EFAY!$B:$B,[1]EFAY!$H:$H)</f>
        <v>2.4700000000000002</v>
      </c>
      <c r="I266" t="str">
        <f>_xlfn.XLOOKUP(B266, [1]EFAY!$B:$B,[1]EFAY!$I:$I)</f>
        <v>JS-Janitorial and Stewarding</v>
      </c>
      <c r="J266" t="str">
        <f>_xlfn.XLOOKUP(B266, [1]EFAY!$B:$B,[1]EFAY!$J:$J)</f>
        <v>SVW-Serveware</v>
      </c>
      <c r="K266" t="str">
        <f>_xlfn.XLOOKUP(B266, [1]EFAY!$B:$B,[1]EFAY!$K:$K)</f>
        <v>MSA-Miscellaneous Serving Accessories</v>
      </c>
      <c r="L266" t="str">
        <f>_xlfn.XLOOKUP(B266, [1]EFAY!$B:$B,[1]EFAY!$L:$L)</f>
        <v>Solar Ø8.5xH8.5cm 3.5" Round Snack Bowl Lava Grey</v>
      </c>
      <c r="M266" s="3" t="s">
        <v>1070</v>
      </c>
      <c r="N266" t="s">
        <v>996</v>
      </c>
      <c r="O266" s="1" t="s">
        <v>1067</v>
      </c>
    </row>
    <row r="267" spans="1:15" x14ac:dyDescent="0.25">
      <c r="A267" t="str">
        <f>_xlfn.XLOOKUP(B267, [1]EFAY!$B:$B,[1]EFAY!$A:$A)</f>
        <v>5712-SOL-226285/CH</v>
      </c>
      <c r="B267" s="3" t="s">
        <v>915</v>
      </c>
      <c r="C267" t="s">
        <v>1089</v>
      </c>
      <c r="D267" t="str">
        <f>_xlfn.XLOOKUP(B267, [1]EFAY!$B:$B,[1]EFAY!$D:$D)</f>
        <v>DIA:22.5xH:7.1cm SOLAR 8.5" SALAD BOWL (CHAMPAGNE)</v>
      </c>
      <c r="E267" t="str">
        <f>_xlfn.XLOOKUP(B267, [1]EFAY!$B:$B,[1]EFAY!$E:$E)</f>
        <v>NO TAG</v>
      </c>
      <c r="G267" t="s">
        <v>1094</v>
      </c>
      <c r="H267">
        <f>_xlfn.XLOOKUP(B267, [1]EFAY!$B:$B,[1]EFAY!$H:$H)</f>
        <v>9.52</v>
      </c>
      <c r="I267" t="str">
        <f>_xlfn.XLOOKUP(B267, [1]EFAY!$B:$B,[1]EFAY!$I:$I)</f>
        <v>JS-Janitorial and Stewarding</v>
      </c>
      <c r="J267" t="str">
        <f>_xlfn.XLOOKUP(B267, [1]EFAY!$B:$B,[1]EFAY!$J:$J)</f>
        <v>DWR-Dinnerware</v>
      </c>
      <c r="K267" t="str">
        <f>_xlfn.XLOOKUP(B267, [1]EFAY!$B:$B,[1]EFAY!$K:$K)</f>
        <v>BWL-Bowls</v>
      </c>
      <c r="L267" t="str">
        <f>_xlfn.XLOOKUP(B267, [1]EFAY!$B:$B,[1]EFAY!$L:$L)</f>
        <v>Solar Ø22.5xH7.1cm 8.5" Salad Bowl Champagne</v>
      </c>
      <c r="M267" s="3" t="s">
        <v>1075</v>
      </c>
      <c r="N267" t="s">
        <v>997</v>
      </c>
      <c r="O267" s="1" t="s">
        <v>1074</v>
      </c>
    </row>
    <row r="268" spans="1:15" x14ac:dyDescent="0.25">
      <c r="A268" t="str">
        <f>_xlfn.XLOOKUP(B268, [1]EFAY!$B:$B,[1]EFAY!$A:$A)</f>
        <v>5712-SOL-226285/LV</v>
      </c>
      <c r="B268" s="3" t="s">
        <v>916</v>
      </c>
      <c r="C268" t="s">
        <v>1089</v>
      </c>
      <c r="D268" t="str">
        <f>_xlfn.XLOOKUP(B268, [1]EFAY!$B:$B,[1]EFAY!$D:$D)</f>
        <v>DIA:22.5xH:7.1cm SOLAR 8.5" SALAD BOWL (LAVA GRAY)</v>
      </c>
      <c r="E268" t="str">
        <f>_xlfn.XLOOKUP(B268, [1]EFAY!$B:$B,[1]EFAY!$E:$E)</f>
        <v>NO TAG</v>
      </c>
      <c r="G268" t="s">
        <v>1094</v>
      </c>
      <c r="H268">
        <f>_xlfn.XLOOKUP(B268, [1]EFAY!$B:$B,[1]EFAY!$H:$H)</f>
        <v>9.52</v>
      </c>
      <c r="I268" t="str">
        <f>_xlfn.XLOOKUP(B268, [1]EFAY!$B:$B,[1]EFAY!$I:$I)</f>
        <v>JS-Janitorial and Stewarding</v>
      </c>
      <c r="J268" t="str">
        <f>_xlfn.XLOOKUP(B268, [1]EFAY!$B:$B,[1]EFAY!$J:$J)</f>
        <v>SVW-Serveware</v>
      </c>
      <c r="K268" t="str">
        <f>_xlfn.XLOOKUP(B268, [1]EFAY!$B:$B,[1]EFAY!$K:$K)</f>
        <v/>
      </c>
      <c r="L268" t="str">
        <f>_xlfn.XLOOKUP(B268, [1]EFAY!$B:$B,[1]EFAY!$L:$L)</f>
        <v>Solar Ø22.5xH7.1cm 8.5" Salad Bowl Lava Grey</v>
      </c>
      <c r="M268" s="3" t="s">
        <v>1075</v>
      </c>
      <c r="N268" t="s">
        <v>998</v>
      </c>
      <c r="O268" s="1" t="s">
        <v>1074</v>
      </c>
    </row>
    <row r="269" spans="1:15" x14ac:dyDescent="0.25">
      <c r="A269" t="str">
        <f>_xlfn.XLOOKUP(B269, [1]EFAY!$B:$B,[1]EFAY!$A:$A)</f>
        <v>5712-SOL-532304/DP</v>
      </c>
      <c r="B269" s="3" t="s">
        <v>917</v>
      </c>
      <c r="C269" t="s">
        <v>1089</v>
      </c>
      <c r="D269" t="str">
        <f>_xlfn.XLOOKUP(B269, [1]EFAY!$B:$B,[1]EFAY!$D:$D)</f>
        <v>DIA:16.5xH:10cm SOLAR ROUND TALL BASE STAND (DUSTY PINK)</v>
      </c>
      <c r="E269" t="str">
        <f>_xlfn.XLOOKUP(B269, [1]EFAY!$B:$B,[1]EFAY!$E:$E)</f>
        <v>NO TAG</v>
      </c>
      <c r="G269" t="s">
        <v>1094</v>
      </c>
      <c r="H269">
        <f>_xlfn.XLOOKUP(B269, [1]EFAY!$B:$B,[1]EFAY!$H:$H)</f>
        <v>8.56</v>
      </c>
      <c r="I269" t="str">
        <f>_xlfn.XLOOKUP(B269, [1]EFAY!$B:$B,[1]EFAY!$I:$I)</f>
        <v>JS-Janitorial and Stewarding</v>
      </c>
      <c r="J269" t="str">
        <f>_xlfn.XLOOKUP(B269, [1]EFAY!$B:$B,[1]EFAY!$J:$J)</f>
        <v/>
      </c>
      <c r="K269" t="str">
        <f>_xlfn.XLOOKUP(B269, [1]EFAY!$B:$B,[1]EFAY!$K:$K)</f>
        <v/>
      </c>
      <c r="L269" t="str">
        <f>_xlfn.XLOOKUP(B269, [1]EFAY!$B:$B,[1]EFAY!$L:$L)</f>
        <v>Solar Ø16.5xH10cm Round Tall Base Stand Dusty Pink</v>
      </c>
      <c r="M269" s="3" t="s">
        <v>1077</v>
      </c>
      <c r="N269" t="s">
        <v>999</v>
      </c>
      <c r="O269" s="1" t="s">
        <v>1076</v>
      </c>
    </row>
    <row r="270" spans="1:15" x14ac:dyDescent="0.25">
      <c r="A270" t="str">
        <f>_xlfn.XLOOKUP(B270, [1]EFAY!$B:$B,[1]EFAY!$A:$A)</f>
        <v>5712-SOL-532304/LV</v>
      </c>
      <c r="B270" s="3" t="s">
        <v>918</v>
      </c>
      <c r="C270" t="s">
        <v>1089</v>
      </c>
      <c r="D270" t="str">
        <f>_xlfn.XLOOKUP(B270, [1]EFAY!$B:$B,[1]EFAY!$D:$D)</f>
        <v>DIA:16.5xH:10cm SOLAR ROUND TALL BASE STAND (LAVA GRAY)</v>
      </c>
      <c r="E270" t="str">
        <f>_xlfn.XLOOKUP(B270, [1]EFAY!$B:$B,[1]EFAY!$E:$E)</f>
        <v>NO TAG</v>
      </c>
      <c r="G270" t="s">
        <v>1094</v>
      </c>
      <c r="H270">
        <f>_xlfn.XLOOKUP(B270, [1]EFAY!$B:$B,[1]EFAY!$H:$H)</f>
        <v>8.56</v>
      </c>
      <c r="I270" t="str">
        <f>_xlfn.XLOOKUP(B270, [1]EFAY!$B:$B,[1]EFAY!$I:$I)</f>
        <v>JS-Janitorial and Stewarding</v>
      </c>
      <c r="J270" t="str">
        <f>_xlfn.XLOOKUP(B270, [1]EFAY!$B:$B,[1]EFAY!$J:$J)</f>
        <v/>
      </c>
      <c r="K270" t="str">
        <f>_xlfn.XLOOKUP(B270, [1]EFAY!$B:$B,[1]EFAY!$K:$K)</f>
        <v/>
      </c>
      <c r="L270" t="str">
        <f>_xlfn.XLOOKUP(B270, [1]EFAY!$B:$B,[1]EFAY!$L:$L)</f>
        <v>Solar Ø16.5xH10cm Round Tall Base Stand Lava Grey</v>
      </c>
      <c r="M270" s="3" t="s">
        <v>1077</v>
      </c>
      <c r="N270" t="s">
        <v>1000</v>
      </c>
      <c r="O270" s="1" t="s">
        <v>1076</v>
      </c>
    </row>
    <row r="271" spans="1:15" x14ac:dyDescent="0.25">
      <c r="A271" t="str">
        <f>_xlfn.XLOOKUP(B271, [1]EFAY!$B:$B,[1]EFAY!$A:$A)</f>
        <v>5712-SOL-532307/LV</v>
      </c>
      <c r="B271" s="3" t="s">
        <v>919</v>
      </c>
      <c r="C271" t="s">
        <v>1089</v>
      </c>
      <c r="D271" t="str">
        <f>_xlfn.XLOOKUP(B271, [1]EFAY!$B:$B,[1]EFAY!$D:$D)</f>
        <v>DIA:16.5xH:18cm SOLAR ROUND TALL BASE STAND (LAVA GRAY)</v>
      </c>
      <c r="E271" t="str">
        <f>_xlfn.XLOOKUP(B271, [1]EFAY!$B:$B,[1]EFAY!$E:$E)</f>
        <v>NO TAG</v>
      </c>
      <c r="G271" t="s">
        <v>1094</v>
      </c>
      <c r="H271">
        <f>_xlfn.XLOOKUP(B271, [1]EFAY!$B:$B,[1]EFAY!$H:$H)</f>
        <v>11.74</v>
      </c>
      <c r="I271" t="str">
        <f>_xlfn.XLOOKUP(B271, [1]EFAY!$B:$B,[1]EFAY!$I:$I)</f>
        <v>JS-Janitorial and Stewarding</v>
      </c>
      <c r="J271" t="str">
        <f>_xlfn.XLOOKUP(B271, [1]EFAY!$B:$B,[1]EFAY!$J:$J)</f>
        <v/>
      </c>
      <c r="K271" t="str">
        <f>_xlfn.XLOOKUP(B271, [1]EFAY!$B:$B,[1]EFAY!$K:$K)</f>
        <v/>
      </c>
      <c r="L271" t="str">
        <f>_xlfn.XLOOKUP(B271, [1]EFAY!$B:$B,[1]EFAY!$L:$L)</f>
        <v>Solar Ø16.5xH18cm Round Tall Base Stand Lava Grey</v>
      </c>
      <c r="M271" s="3" t="s">
        <v>1077</v>
      </c>
      <c r="N271" t="s">
        <v>1001</v>
      </c>
      <c r="O271" s="1" t="s">
        <v>1076</v>
      </c>
    </row>
    <row r="272" spans="1:15" x14ac:dyDescent="0.25">
      <c r="A272" t="str">
        <f>_xlfn.XLOOKUP(B272, [1]EFAY!$B:$B,[1]EFAY!$A:$A)</f>
        <v>5712-TERRA-520504TI</v>
      </c>
      <c r="B272" s="3" t="s">
        <v>920</v>
      </c>
      <c r="C272" t="s">
        <v>1089</v>
      </c>
      <c r="D272" t="str">
        <f>_xlfn.XLOOKUP(B272, [1]EFAY!$B:$B,[1]EFAY!$D:$D)</f>
        <v>10X10X3cm ROUND TERRACOTTA DISH  (TILES RED)</v>
      </c>
      <c r="E272" t="str">
        <f>_xlfn.XLOOKUP(B272, [1]EFAY!$B:$B,[1]EFAY!$E:$E)</f>
        <v>NO TAG</v>
      </c>
      <c r="G272" t="s">
        <v>1094</v>
      </c>
      <c r="H272">
        <f>_xlfn.XLOOKUP(B272, [1]EFAY!$B:$B,[1]EFAY!$H:$H)</f>
        <v>1.82</v>
      </c>
      <c r="I272" t="str">
        <f>_xlfn.XLOOKUP(B272, [1]EFAY!$B:$B,[1]EFAY!$I:$I)</f>
        <v>JS-Janitorial and Stewarding</v>
      </c>
      <c r="J272" t="str">
        <f>_xlfn.XLOOKUP(B272, [1]EFAY!$B:$B,[1]EFAY!$J:$J)</f>
        <v>DWR-Dinnerware</v>
      </c>
      <c r="K272" t="str">
        <f>_xlfn.XLOOKUP(B272, [1]EFAY!$B:$B,[1]EFAY!$K:$K)</f>
        <v/>
      </c>
      <c r="L272" t="str">
        <f>_xlfn.XLOOKUP(B272, [1]EFAY!$B:$B,[1]EFAY!$L:$L)</f>
        <v>Terracotta 10x10x3cm Round Dish Red</v>
      </c>
      <c r="M272" s="3" t="s">
        <v>1078</v>
      </c>
      <c r="N272" t="s">
        <v>1002</v>
      </c>
      <c r="O272" s="1" t="s">
        <v>1079</v>
      </c>
    </row>
    <row r="273" spans="1:15" x14ac:dyDescent="0.25">
      <c r="A273" t="str">
        <f>_xlfn.XLOOKUP(B273, [1]EFAY!$B:$B,[1]EFAY!$A:$A)</f>
        <v>5712-WOOD-407612ER5</v>
      </c>
      <c r="B273" s="3" t="s">
        <v>921</v>
      </c>
      <c r="C273" t="s">
        <v>1089</v>
      </c>
      <c r="D273" t="str">
        <f>_xlfn.XLOOKUP(B273, [1]EFAY!$B:$B,[1]EFAY!$D:$D)</f>
        <v>#407612, L:30xW:30cm SQUARE WOODY BAKER PASTRY TRAY</v>
      </c>
      <c r="E273" t="str">
        <f>_xlfn.XLOOKUP(B273, [1]EFAY!$B:$B,[1]EFAY!$E:$E)</f>
        <v>NO TAG</v>
      </c>
      <c r="G273" t="s">
        <v>1094</v>
      </c>
      <c r="H273">
        <f>_xlfn.XLOOKUP(B273, [1]EFAY!$B:$B,[1]EFAY!$H:$H)</f>
        <v>11.09</v>
      </c>
      <c r="I273" t="str">
        <f>_xlfn.XLOOKUP(B273, [1]EFAY!$B:$B,[1]EFAY!$I:$I)</f>
        <v>JS-Janitorial and Stewarding</v>
      </c>
      <c r="J273" t="str">
        <f>_xlfn.XLOOKUP(B273, [1]EFAY!$B:$B,[1]EFAY!$J:$J)</f>
        <v>BW-Bakeware</v>
      </c>
      <c r="K273" t="str">
        <f>_xlfn.XLOOKUP(B273, [1]EFAY!$B:$B,[1]EFAY!$K:$K)</f>
        <v>BPT-Baking Pans &amp; Trays</v>
      </c>
      <c r="L273" t="str">
        <f>_xlfn.XLOOKUP(B273, [1]EFAY!$B:$B,[1]EFAY!$L:$L)</f>
        <v>#407612 L30xW30cm Woody Square Pastry Tray</v>
      </c>
      <c r="M273" s="3" t="s">
        <v>1081</v>
      </c>
      <c r="N273" t="s">
        <v>1003</v>
      </c>
      <c r="O273" s="1" t="s">
        <v>1080</v>
      </c>
    </row>
  </sheetData>
  <conditionalFormatting sqref="B1:B1048576">
    <cfRule type="duplicateValues" dxfId="2" priority="1"/>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A9F0-966C-4D5E-9568-70F4EA026178}">
  <dimension ref="A1:M273"/>
  <sheetViews>
    <sheetView tabSelected="1" topLeftCell="A259" workbookViewId="0">
      <selection activeCell="J279" sqref="J279"/>
    </sheetView>
  </sheetViews>
  <sheetFormatPr defaultRowHeight="15" x14ac:dyDescent="0.25"/>
  <cols>
    <col min="2" max="2" width="9.140625" style="3"/>
    <col min="5" max="5" width="15.7109375" customWidth="1"/>
    <col min="13" max="13" width="21.85546875" style="3" customWidth="1"/>
  </cols>
  <sheetData>
    <row r="1" spans="1:13" x14ac:dyDescent="0.25">
      <c r="A1" s="4" t="s">
        <v>1087</v>
      </c>
      <c r="B1" s="4" t="s">
        <v>1086</v>
      </c>
      <c r="C1" s="4" t="s">
        <v>1088</v>
      </c>
      <c r="D1" s="4" t="s">
        <v>1090</v>
      </c>
      <c r="E1" s="4" t="s">
        <v>1091</v>
      </c>
      <c r="F1" s="4" t="s">
        <v>1092</v>
      </c>
      <c r="G1" s="4" t="s">
        <v>1093</v>
      </c>
      <c r="H1" s="4" t="s">
        <v>1095</v>
      </c>
      <c r="I1" s="5" t="s">
        <v>1096</v>
      </c>
      <c r="J1" s="5" t="s">
        <v>1097</v>
      </c>
      <c r="K1" s="5" t="s">
        <v>1098</v>
      </c>
      <c r="L1" s="5" t="s">
        <v>1099</v>
      </c>
      <c r="M1" s="7" t="s">
        <v>2</v>
      </c>
    </row>
    <row r="2" spans="1:13" x14ac:dyDescent="0.25">
      <c r="A2" t="str">
        <f>_xlfn.XLOOKUP(B2, [1]EFAY!$B:$B,[1]EFAY!$A:$A)</f>
        <v>5712-MINI-530413BK</v>
      </c>
      <c r="B2" s="3" t="s">
        <v>22</v>
      </c>
      <c r="C2" t="s">
        <v>1089</v>
      </c>
      <c r="D2" t="str">
        <f>_xlfn.XLOOKUP(B2, [1]EFAY!$B:$B,[1]EFAY!$D:$D)</f>
        <v>(D:32cm) MELAMINE "LITTLE CHEF" 13" SALAD WOK BOWL, BLACK</v>
      </c>
      <c r="E2" t="str">
        <f>_xlfn.XLOOKUP(B2, [1]EFAY!$B:$B,[1]EFAY!$E:$E)</f>
        <v>NO TAG</v>
      </c>
      <c r="G2" t="s">
        <v>1094</v>
      </c>
      <c r="H2">
        <f>_xlfn.XLOOKUP(B2, [1]EFAY!$B:$B,[1]EFAY!$H:$H)</f>
        <v>13.82</v>
      </c>
      <c r="I2" t="str">
        <f>_xlfn.XLOOKUP(B2, [1]EFAY!$B:$B,[1]EFAY!$I:$I)</f>
        <v>JS-Janitorial and Stewarding</v>
      </c>
      <c r="J2" t="str">
        <f>_xlfn.XLOOKUP(B2, [1]EFAY!$B:$B,[1]EFAY!$J:$J)</f>
        <v>SVW-Serveware</v>
      </c>
      <c r="K2" t="str">
        <f>_xlfn.XLOOKUP(B2, [1]EFAY!$B:$B,[1]EFAY!$K:$K)</f>
        <v>MSA-Miscellaneous Serving Accessories</v>
      </c>
      <c r="L2" t="str">
        <f>_xlfn.XLOOKUP(B2, [1]EFAY!$B:$B,[1]EFAY!$L:$L)</f>
        <v>Melamine Ø32cm 13" "Little Chef" Salad Wok Bowl Black</v>
      </c>
    </row>
    <row r="3" spans="1:13" x14ac:dyDescent="0.25">
      <c r="A3" t="str">
        <f>_xlfn.XLOOKUP(B3, [1]EFAY!$B:$B,[1]EFAY!$A:$A)</f>
        <v>5712-MINI-530415BK</v>
      </c>
      <c r="B3" s="3" t="s">
        <v>26</v>
      </c>
      <c r="C3" t="s">
        <v>1089</v>
      </c>
      <c r="D3" t="str">
        <f>_xlfn.XLOOKUP(B3, [1]EFAY!$B:$B,[1]EFAY!$D:$D)</f>
        <v>(D:39cm) MELAMINE "LITTLE CHEF" 15" SALAD WOK BOWL, BLACK</v>
      </c>
      <c r="E3" t="str">
        <f>_xlfn.XLOOKUP(B3, [1]EFAY!$B:$B,[1]EFAY!$E:$E)</f>
        <v>NO TAG</v>
      </c>
      <c r="G3" t="s">
        <v>1094</v>
      </c>
      <c r="H3">
        <f>_xlfn.XLOOKUP(B3, [1]EFAY!$B:$B,[1]EFAY!$H:$H)</f>
        <v>26.7</v>
      </c>
      <c r="I3" t="str">
        <f>_xlfn.XLOOKUP(B3, [1]EFAY!$B:$B,[1]EFAY!$I:$I)</f>
        <v>JS-Janitorial and Stewarding</v>
      </c>
      <c r="J3" t="str">
        <f>_xlfn.XLOOKUP(B3, [1]EFAY!$B:$B,[1]EFAY!$J:$J)</f>
        <v>SVW-Serveware</v>
      </c>
      <c r="K3" t="str">
        <f>_xlfn.XLOOKUP(B3, [1]EFAY!$B:$B,[1]EFAY!$K:$K)</f>
        <v>MSA-Miscellaneous Serving Accessories</v>
      </c>
      <c r="L3" t="str">
        <f>_xlfn.XLOOKUP(B3, [1]EFAY!$B:$B,[1]EFAY!$L:$L)</f>
        <v>Melamine Ø39cm 15" "Little Chef" Salad Wok Bowl Black</v>
      </c>
    </row>
    <row r="4" spans="1:13" x14ac:dyDescent="0.25">
      <c r="A4" t="str">
        <f>_xlfn.XLOOKUP(B4, [1]EFAY!$B:$B,[1]EFAY!$A:$A)</f>
        <v>5712-MINI-530417BK</v>
      </c>
      <c r="B4" s="3" t="s">
        <v>30</v>
      </c>
      <c r="C4" t="s">
        <v>1089</v>
      </c>
      <c r="D4" t="str">
        <f>_xlfn.XLOOKUP(B4, [1]EFAY!$B:$B,[1]EFAY!$D:$D)</f>
        <v>(D:44cm) MELAMINE "LITTLE CHEF" 17" SALAD WOK BOWL, BLACK</v>
      </c>
      <c r="E4" t="str">
        <f>_xlfn.XLOOKUP(B4, [1]EFAY!$B:$B,[1]EFAY!$E:$E)</f>
        <v>NO TAG</v>
      </c>
      <c r="G4" t="s">
        <v>1094</v>
      </c>
      <c r="H4">
        <f>_xlfn.XLOOKUP(B4, [1]EFAY!$B:$B,[1]EFAY!$H:$H)</f>
        <v>35.6</v>
      </c>
      <c r="I4" t="str">
        <f>_xlfn.XLOOKUP(B4, [1]EFAY!$B:$B,[1]EFAY!$I:$I)</f>
        <v>JS-Janitorial and Stewarding</v>
      </c>
      <c r="J4" t="str">
        <f>_xlfn.XLOOKUP(B4, [1]EFAY!$B:$B,[1]EFAY!$J:$J)</f>
        <v>SVW-Serveware</v>
      </c>
      <c r="K4" t="str">
        <f>_xlfn.XLOOKUP(B4, [1]EFAY!$B:$B,[1]EFAY!$K:$K)</f>
        <v>MSA-Miscellaneous Serving Accessories</v>
      </c>
      <c r="L4" t="str">
        <f>_xlfn.XLOOKUP(B4, [1]EFAY!$B:$B,[1]EFAY!$L:$L)</f>
        <v>Melamine Ø44cm17" "Little Chef"  Salad Wok Bowl Black</v>
      </c>
    </row>
    <row r="5" spans="1:13" x14ac:dyDescent="0.25">
      <c r="A5" t="str">
        <f>_xlfn.XLOOKUP(B5, [1]EFAY!$B:$B,[1]EFAY!$A:$A)</f>
        <v>5712-GN-407812IV47</v>
      </c>
      <c r="B5" s="3" t="s">
        <v>35</v>
      </c>
      <c r="C5" t="s">
        <v>1089</v>
      </c>
      <c r="D5" t="str">
        <f>_xlfn.XLOOKUP(B5, [1]EFAY!$B:$B,[1]EFAY!$D:$D)</f>
        <v>(ID, MOQ:72) #407812-IV47, 1/2 GN BAKER TRAY, JEAN</v>
      </c>
      <c r="E5" t="str">
        <f>_xlfn.XLOOKUP(B5, [1]EFAY!$B:$B,[1]EFAY!$E:$E)</f>
        <v>ID WITH STOCK</v>
      </c>
      <c r="G5" t="s">
        <v>1094</v>
      </c>
      <c r="H5">
        <f>_xlfn.XLOOKUP(B5, [1]EFAY!$B:$B,[1]EFAY!$H:$H)</f>
        <v>11.31</v>
      </c>
      <c r="I5" t="str">
        <f>_xlfn.XLOOKUP(B5, [1]EFAY!$B:$B,[1]EFAY!$I:$I)</f>
        <v>JS-Janitorial and Stewarding</v>
      </c>
      <c r="J5" t="str">
        <f>_xlfn.XLOOKUP(B5, [1]EFAY!$B:$B,[1]EFAY!$J:$J)</f>
        <v>BW-Bakeware</v>
      </c>
      <c r="K5" t="str">
        <f>_xlfn.XLOOKUP(B5, [1]EFAY!$B:$B,[1]EFAY!$K:$K)</f>
        <v>BPT-Baking Pans &amp; Trays</v>
      </c>
      <c r="L5" t="str">
        <f>_xlfn.XLOOKUP(B5, [1]EFAY!$B:$B,[1]EFAY!$L:$L)</f>
        <v>#407812-IV47 1/2 GN Baker Tray Jean</v>
      </c>
    </row>
    <row r="6" spans="1:13" x14ac:dyDescent="0.25">
      <c r="A6" t="str">
        <f>_xlfn.XLOOKUP(B6, [1]EFAY!$B:$B,[1]EFAY!$A:$A)</f>
        <v>5712-ENAMEL-2214123-BK</v>
      </c>
      <c r="B6" s="3">
        <v>2214123</v>
      </c>
      <c r="C6" t="s">
        <v>1089</v>
      </c>
      <c r="D6" t="str">
        <f>_xlfn.XLOOKUP(B6, [1]EFAY!$B:$B,[1]EFAY!$D:$D)</f>
        <v>32.5X26.5cm 1/2 SIZE "ENAMEL LOOK" RECT TRAY (BLACK W/WHITE LINE)</v>
      </c>
      <c r="E6" t="str">
        <f>_xlfn.XLOOKUP(B6, [1]EFAY!$B:$B,[1]EFAY!$E:$E)</f>
        <v>NO TAG</v>
      </c>
      <c r="G6" t="s">
        <v>1094</v>
      </c>
      <c r="H6">
        <f>_xlfn.XLOOKUP(B6, [1]EFAY!$B:$B,[1]EFAY!$H:$H)</f>
        <v>15.35</v>
      </c>
      <c r="I6" t="str">
        <f>_xlfn.XLOOKUP(B6, [1]EFAY!$B:$B,[1]EFAY!$I:$I)</f>
        <v>JS-Janitorial and Stewarding</v>
      </c>
      <c r="J6" t="str">
        <f>_xlfn.XLOOKUP(B6, [1]EFAY!$B:$B,[1]EFAY!$J:$J)</f>
        <v>SVW-Serveware</v>
      </c>
      <c r="K6" t="str">
        <f>_xlfn.XLOOKUP(B6, [1]EFAY!$B:$B,[1]EFAY!$K:$K)</f>
        <v>MSA-Miscellaneous Serving Accessories</v>
      </c>
      <c r="L6" t="str">
        <f>_xlfn.XLOOKUP(B6, [1]EFAY!$B:$B,[1]EFAY!$L:$L)</f>
        <v>32.5x26.5cm 1/2 Size Enamel Look Black Rectangular Tray with White Line</v>
      </c>
    </row>
    <row r="7" spans="1:13" x14ac:dyDescent="0.25">
      <c r="A7" t="str">
        <f>_xlfn.XLOOKUP(B7, [1]EFAY!$B:$B,[1]EFAY!$A:$A)</f>
        <v>5712-ENAMEL-2214122-GY</v>
      </c>
      <c r="B7" s="3">
        <v>2214122</v>
      </c>
      <c r="C7" t="s">
        <v>1089</v>
      </c>
      <c r="D7" t="str">
        <f>_xlfn.XLOOKUP(B7, [1]EFAY!$B:$B,[1]EFAY!$D:$D)</f>
        <v>(WSL24)32.5X26.5cm 1/2 SIZE "ENAMEL LOOK" RECT TRAY (GREY W/WHITE LINE)</v>
      </c>
      <c r="E7" t="str">
        <f>_xlfn.XLOOKUP(B7, [1]EFAY!$B:$B,[1]EFAY!$E:$E)</f>
        <v>WSL WITH STOCK</v>
      </c>
      <c r="G7" t="s">
        <v>1094</v>
      </c>
      <c r="H7">
        <f>_xlfn.XLOOKUP(B7, [1]EFAY!$B:$B,[1]EFAY!$H:$H)</f>
        <v>15.35</v>
      </c>
      <c r="I7" t="str">
        <f>_xlfn.XLOOKUP(B7, [1]EFAY!$B:$B,[1]EFAY!$I:$I)</f>
        <v>JS-Janitorial and Stewarding</v>
      </c>
      <c r="J7" t="str">
        <f>_xlfn.XLOOKUP(B7, [1]EFAY!$B:$B,[1]EFAY!$J:$J)</f>
        <v>SVW-Serveware</v>
      </c>
      <c r="K7" t="str">
        <f>_xlfn.XLOOKUP(B7, [1]EFAY!$B:$B,[1]EFAY!$K:$K)</f>
        <v>MSA-Miscellaneous Serving Accessories</v>
      </c>
      <c r="L7" t="str">
        <f>_xlfn.XLOOKUP(B7, [1]EFAY!$B:$B,[1]EFAY!$L:$L)</f>
        <v>32.5x26.5cm 1/2 Size Enamel Look Grey Rectangular Tray with White Line</v>
      </c>
    </row>
    <row r="8" spans="1:13" x14ac:dyDescent="0.25">
      <c r="A8" t="str">
        <f>_xlfn.XLOOKUP(B8, [1]EFAY!$B:$B,[1]EFAY!$A:$A)</f>
        <v>5712-ENAMEL-2214126WB</v>
      </c>
      <c r="B8" s="3">
        <v>2214121</v>
      </c>
      <c r="C8" t="s">
        <v>1089</v>
      </c>
      <c r="D8" t="str">
        <f>_xlfn.XLOOKUP(B8, [1]EFAY!$B:$B,[1]EFAY!$D:$D)</f>
        <v>(ID) (CODE:2214121) 32.5X26.5X2.5cm  1/2 SIZE "ENAMEL LOOK" RECT TRAY (WHITE W/BLACK LINE)</v>
      </c>
      <c r="E8" t="str">
        <f>_xlfn.XLOOKUP(B8, [1]EFAY!$B:$B,[1]EFAY!$E:$E)</f>
        <v>ID WITH STOCK</v>
      </c>
      <c r="G8" t="s">
        <v>1094</v>
      </c>
      <c r="H8">
        <f>_xlfn.XLOOKUP(B8, [1]EFAY!$B:$B,[1]EFAY!$H:$H)</f>
        <v>15.35</v>
      </c>
      <c r="I8" t="str">
        <f>_xlfn.XLOOKUP(B8, [1]EFAY!$B:$B,[1]EFAY!$I:$I)</f>
        <v>JS-Janitorial and Stewarding</v>
      </c>
      <c r="J8" t="str">
        <f>_xlfn.XLOOKUP(B8, [1]EFAY!$B:$B,[1]EFAY!$J:$J)</f>
        <v>SVW-Serveware</v>
      </c>
      <c r="K8" t="str">
        <f>_xlfn.XLOOKUP(B8, [1]EFAY!$B:$B,[1]EFAY!$K:$K)</f>
        <v>MSA-Miscellaneous Serving Accessories</v>
      </c>
      <c r="L8" t="str">
        <f>_xlfn.XLOOKUP(B8, [1]EFAY!$B:$B,[1]EFAY!$L:$L)</f>
        <v>32.5x26.5x2.5cm 1/2 Size Enamel Look White Rectangular Tray with Black Line</v>
      </c>
    </row>
    <row r="9" spans="1:13" x14ac:dyDescent="0.25">
      <c r="A9" t="str">
        <f>_xlfn.XLOOKUP(B9, [1]EFAY!$B:$B,[1]EFAY!$A:$A)</f>
        <v>5712-ENAMEL-2215133-BK</v>
      </c>
      <c r="B9" s="3">
        <v>2215133</v>
      </c>
      <c r="C9" t="s">
        <v>1089</v>
      </c>
      <c r="D9" t="str">
        <f>_xlfn.XLOOKUP(B9, [1]EFAY!$B:$B,[1]EFAY!$D:$D)</f>
        <v>32.5X17.6X2.5cm  1/3 SIZE "ENAMEL LOOK" RECT TRAY (BLACK W/WHITE  LINE)</v>
      </c>
      <c r="E9" t="str">
        <f>_xlfn.XLOOKUP(B9, [1]EFAY!$B:$B,[1]EFAY!$E:$E)</f>
        <v>NO TAG</v>
      </c>
      <c r="G9" t="s">
        <v>1094</v>
      </c>
      <c r="H9">
        <f>_xlfn.XLOOKUP(B9, [1]EFAY!$B:$B,[1]EFAY!$H:$H)</f>
        <v>11.73</v>
      </c>
      <c r="I9" t="str">
        <f>_xlfn.XLOOKUP(B9, [1]EFAY!$B:$B,[1]EFAY!$I:$I)</f>
        <v>JS-Janitorial and Stewarding</v>
      </c>
      <c r="J9" t="str">
        <f>_xlfn.XLOOKUP(B9, [1]EFAY!$B:$B,[1]EFAY!$J:$J)</f>
        <v>SVW-Serveware</v>
      </c>
      <c r="K9" t="str">
        <f>_xlfn.XLOOKUP(B9, [1]EFAY!$B:$B,[1]EFAY!$K:$K)</f>
        <v>MSA-Miscellaneous Serving Accessories</v>
      </c>
      <c r="L9" t="str">
        <f>_xlfn.XLOOKUP(B9, [1]EFAY!$B:$B,[1]EFAY!$L:$L)</f>
        <v>32.5x17.6x2.5cm 1/3 Size Enamel Look Rectangular Tray Black with White Line</v>
      </c>
    </row>
    <row r="10" spans="1:13" x14ac:dyDescent="0.25">
      <c r="A10" t="str">
        <f>_xlfn.XLOOKUP(B10, [1]EFAY!$B:$B,[1]EFAY!$A:$A)</f>
        <v>5712-ENAMEL-2215132-GY</v>
      </c>
      <c r="B10" s="3">
        <v>2215132</v>
      </c>
      <c r="C10" t="s">
        <v>1089</v>
      </c>
      <c r="D10" t="str">
        <f>_xlfn.XLOOKUP(B10, [1]EFAY!$B:$B,[1]EFAY!$D:$D)</f>
        <v>32.5X17.6X2.5cm  1/3 SIZE "ENAMEL LOOK" RECT TRAY (GREY W/WHITE  LINE)</v>
      </c>
      <c r="E10" t="str">
        <f>_xlfn.XLOOKUP(B10, [1]EFAY!$B:$B,[1]EFAY!$E:$E)</f>
        <v>NO TAG</v>
      </c>
      <c r="G10" t="s">
        <v>1094</v>
      </c>
      <c r="H10">
        <f>_xlfn.XLOOKUP(B10, [1]EFAY!$B:$B,[1]EFAY!$H:$H)</f>
        <v>11.73</v>
      </c>
      <c r="I10" t="str">
        <f>_xlfn.XLOOKUP(B10, [1]EFAY!$B:$B,[1]EFAY!$I:$I)</f>
        <v>JS-Janitorial and Stewarding</v>
      </c>
      <c r="J10" t="str">
        <f>_xlfn.XLOOKUP(B10, [1]EFAY!$B:$B,[1]EFAY!$J:$J)</f>
        <v>SVW-Serveware</v>
      </c>
      <c r="K10" t="str">
        <f>_xlfn.XLOOKUP(B10, [1]EFAY!$B:$B,[1]EFAY!$K:$K)</f>
        <v>MSA-Miscellaneous Serving Accessories</v>
      </c>
      <c r="L10" t="str">
        <f>_xlfn.XLOOKUP(B10, [1]EFAY!$B:$B,[1]EFAY!$L:$L)</f>
        <v>32.5x17.6x2.5cm 1/2 Size Enamel Look Rectangular Tray Grey with White Line</v>
      </c>
    </row>
    <row r="11" spans="1:13" x14ac:dyDescent="0.25">
      <c r="A11" t="str">
        <f>_xlfn.XLOOKUP(B11, [1]EFAY!$B:$B,[1]EFAY!$A:$A)</f>
        <v>5712-ENAMEL-2215136WB</v>
      </c>
      <c r="B11" s="3">
        <v>2215131</v>
      </c>
      <c r="C11" t="s">
        <v>1089</v>
      </c>
      <c r="D11" t="str">
        <f>_xlfn.XLOOKUP(B11, [1]EFAY!$B:$B,[1]EFAY!$D:$D)</f>
        <v>(DCWSL24) (CODE:2215131) 32.5X17.6X2.5cm  1/3 SIZE "ENAMEL LOOK" RECT TRAY (WHITE W/BLACK  LINE)</v>
      </c>
      <c r="E11" t="str">
        <f>_xlfn.XLOOKUP(B11, [1]EFAY!$B:$B,[1]EFAY!$E:$E)</f>
        <v>WSL WITH STOCK</v>
      </c>
      <c r="G11" t="s">
        <v>1094</v>
      </c>
      <c r="H11">
        <f>_xlfn.XLOOKUP(B11, [1]EFAY!$B:$B,[1]EFAY!$H:$H)</f>
        <v>11.73</v>
      </c>
      <c r="I11" t="str">
        <f>_xlfn.XLOOKUP(B11, [1]EFAY!$B:$B,[1]EFAY!$I:$I)</f>
        <v>JS-Janitorial and Stewarding</v>
      </c>
      <c r="J11" t="str">
        <f>_xlfn.XLOOKUP(B11, [1]EFAY!$B:$B,[1]EFAY!$J:$J)</f>
        <v>SVW-Serveware</v>
      </c>
      <c r="K11" t="str">
        <f>_xlfn.XLOOKUP(B11, [1]EFAY!$B:$B,[1]EFAY!$K:$K)</f>
        <v>MSA-Miscellaneous Serving Accessories</v>
      </c>
      <c r="L11" t="str">
        <f>_xlfn.XLOOKUP(B11, [1]EFAY!$B:$B,[1]EFAY!$L:$L)</f>
        <v>32.5x17.6x2.5cm 1/3 Size Enamel Look Rect Tray White with Black Line</v>
      </c>
    </row>
    <row r="12" spans="1:13" x14ac:dyDescent="0.25">
      <c r="A12" t="str">
        <f>_xlfn.XLOOKUP(B12, [1]EFAY!$B:$B,[1]EFAY!$A:$A)</f>
        <v>5712-EGN-1140LIV</v>
      </c>
      <c r="B12" s="3" t="s">
        <v>59</v>
      </c>
      <c r="C12" t="s">
        <v>1089</v>
      </c>
      <c r="D12" t="str">
        <f>_xlfn.XLOOKUP(B12, [1]EFAY!$B:$B,[1]EFAY!$D:$D)</f>
        <v>#1140L, 40MM MELAMINE LUNA GN 1/1 CURVE PLATE (IVORY)</v>
      </c>
      <c r="E12" t="str">
        <f>_xlfn.XLOOKUP(B12, [1]EFAY!$B:$B,[1]EFAY!$E:$E)</f>
        <v>NO TAG</v>
      </c>
      <c r="G12" t="s">
        <v>1094</v>
      </c>
      <c r="H12">
        <f>_xlfn.XLOOKUP(B12, [1]EFAY!$B:$B,[1]EFAY!$H:$H)</f>
        <v>32.520000000000003</v>
      </c>
      <c r="I12" t="str">
        <f>_xlfn.XLOOKUP(B12, [1]EFAY!$B:$B,[1]EFAY!$I:$I)</f>
        <v>JS-Janitorial and Stewarding</v>
      </c>
      <c r="J12" t="str">
        <f>_xlfn.XLOOKUP(B12, [1]EFAY!$B:$B,[1]EFAY!$J:$J)</f>
        <v>DWR-Dinnerware</v>
      </c>
      <c r="K12" t="str">
        <f>_xlfn.XLOOKUP(B12, [1]EFAY!$B:$B,[1]EFAY!$K:$K)</f>
        <v>PLT-Plates</v>
      </c>
      <c r="L12" t="str">
        <f>_xlfn.XLOOKUP(B12, [1]EFAY!$B:$B,[1]EFAY!$L:$L)</f>
        <v>#1140L GN 1/1 Melamine 40mm LunaCurve Plate Ivory</v>
      </c>
    </row>
    <row r="13" spans="1:13" x14ac:dyDescent="0.25">
      <c r="A13" t="str">
        <f>_xlfn.XLOOKUP(B13, [1]EFAY!$B:$B,[1]EFAY!$A:$A)</f>
        <v>5712-EGN-1240LIV</v>
      </c>
      <c r="B13" s="3" t="s">
        <v>63</v>
      </c>
      <c r="C13" t="s">
        <v>1089</v>
      </c>
      <c r="D13" t="str">
        <f>_xlfn.XLOOKUP(B13, [1]EFAY!$B:$B,[1]EFAY!$D:$D)</f>
        <v>#1240L, 40MM MELAMINE LUNA GN 1/2 CURVE PLATE (IVORY)</v>
      </c>
      <c r="E13" t="str">
        <f>_xlfn.XLOOKUP(B13, [1]EFAY!$B:$B,[1]EFAY!$E:$E)</f>
        <v>NO TAG</v>
      </c>
      <c r="G13" t="s">
        <v>1094</v>
      </c>
      <c r="H13">
        <f>_xlfn.XLOOKUP(B13, [1]EFAY!$B:$B,[1]EFAY!$H:$H)</f>
        <v>16.77</v>
      </c>
      <c r="I13" t="str">
        <f>_xlfn.XLOOKUP(B13, [1]EFAY!$B:$B,[1]EFAY!$I:$I)</f>
        <v>JS-Janitorial and Stewarding</v>
      </c>
      <c r="J13" t="str">
        <f>_xlfn.XLOOKUP(B13, [1]EFAY!$B:$B,[1]EFAY!$J:$J)</f>
        <v>SVW-Serveware</v>
      </c>
      <c r="K13" t="str">
        <f>_xlfn.XLOOKUP(B13, [1]EFAY!$B:$B,[1]EFAY!$K:$K)</f>
        <v/>
      </c>
      <c r="L13" t="str">
        <f>_xlfn.XLOOKUP(B13, [1]EFAY!$B:$B,[1]EFAY!$L:$L)</f>
        <v>#1240L GN 1/2 Melamine 40mm Luna Curve Plate Ivory</v>
      </c>
    </row>
    <row r="14" spans="1:13" x14ac:dyDescent="0.25">
      <c r="A14" t="str">
        <f>_xlfn.XLOOKUP(B14, [1]EFAY!$B:$B,[1]EFAY!$A:$A)</f>
        <v>5712-EGN-1340LIV</v>
      </c>
      <c r="B14" s="3" t="s">
        <v>67</v>
      </c>
      <c r="C14" t="s">
        <v>1089</v>
      </c>
      <c r="D14" t="str">
        <f>_xlfn.XLOOKUP(B14, [1]EFAY!$B:$B,[1]EFAY!$D:$D)</f>
        <v>(WSL19)#1340L, 40MM MELAMINE LUNA GN 1/3 CURVE PLATE (IVORY)</v>
      </c>
      <c r="E14" t="str">
        <f>_xlfn.XLOOKUP(B14, [1]EFAY!$B:$B,[1]EFAY!$E:$E)</f>
        <v>WSL WITH STOCK</v>
      </c>
      <c r="G14" t="s">
        <v>1094</v>
      </c>
      <c r="H14">
        <f>_xlfn.XLOOKUP(B14, [1]EFAY!$B:$B,[1]EFAY!$H:$H)</f>
        <v>9.8000000000000007</v>
      </c>
      <c r="I14" t="str">
        <f>_xlfn.XLOOKUP(B14, [1]EFAY!$B:$B,[1]EFAY!$I:$I)</f>
        <v>JS-Janitorial and Stewarding</v>
      </c>
      <c r="J14" t="str">
        <f>_xlfn.XLOOKUP(B14, [1]EFAY!$B:$B,[1]EFAY!$J:$J)</f>
        <v>DWR-Dinnerware</v>
      </c>
      <c r="K14" t="str">
        <f>_xlfn.XLOOKUP(B14, [1]EFAY!$B:$B,[1]EFAY!$K:$K)</f>
        <v>PLT-Plates</v>
      </c>
      <c r="L14" t="str">
        <f>_xlfn.XLOOKUP(B14, [1]EFAY!$B:$B,[1]EFAY!$L:$L)</f>
        <v>#1340L GN 1/3 Melamine 40mm Luna Curve Plate Ivory</v>
      </c>
    </row>
    <row r="15" spans="1:13" x14ac:dyDescent="0.25">
      <c r="A15" t="str">
        <f>_xlfn.XLOOKUP(B15, [1]EFAY!$B:$B,[1]EFAY!$A:$A)</f>
        <v>5712-MELA-409311PW9</v>
      </c>
      <c r="B15" s="3" t="s">
        <v>71</v>
      </c>
      <c r="C15" t="s">
        <v>1089</v>
      </c>
      <c r="D15" t="str">
        <f>_xlfn.XLOOKUP(B15, [1]EFAY!$B:$B,[1]EFAY!$D:$D)</f>
        <v>#409311PW9, DIA 11"/28cm RD MELA 2-WAY USAGE BOARD,WHITE CARRARA</v>
      </c>
      <c r="E15" t="str">
        <f>_xlfn.XLOOKUP(B15, [1]EFAY!$B:$B,[1]EFAY!$E:$E)</f>
        <v>NO TAG</v>
      </c>
      <c r="G15" t="s">
        <v>1094</v>
      </c>
      <c r="H15">
        <f>_xlfn.XLOOKUP(B15, [1]EFAY!$B:$B,[1]EFAY!$H:$H)</f>
        <v>12.4</v>
      </c>
      <c r="I15" t="str">
        <f>_xlfn.XLOOKUP(B15, [1]EFAY!$B:$B,[1]EFAY!$I:$I)</f>
        <v>JS-Janitorial and Stewarding</v>
      </c>
      <c r="J15" t="str">
        <f>_xlfn.XLOOKUP(B15, [1]EFAY!$B:$B,[1]EFAY!$J:$J)</f>
        <v>SVW-Serveware</v>
      </c>
      <c r="K15" t="str">
        <f>_xlfn.XLOOKUP(B15, [1]EFAY!$B:$B,[1]EFAY!$K:$K)</f>
        <v>BBC-Bread Boards/Charcuterie Boards</v>
      </c>
      <c r="L15" t="str">
        <f>_xlfn.XLOOKUP(B15, [1]EFAY!$B:$B,[1]EFAY!$L:$L)</f>
        <v>#409311PW9 Ø11"/28cm 2-Way Usage Round Mela Board White Carrara</v>
      </c>
    </row>
    <row r="16" spans="1:13" x14ac:dyDescent="0.25">
      <c r="A16" t="str">
        <f>_xlfn.XLOOKUP(B16, [1]EFAY!$B:$B,[1]EFAY!$A:$A)</f>
        <v>5712-MELA-409311ERS</v>
      </c>
      <c r="B16" s="3" t="s">
        <v>75</v>
      </c>
      <c r="C16" t="s">
        <v>1089</v>
      </c>
      <c r="D16" t="str">
        <f>_xlfn.XLOOKUP(B16, [1]EFAY!$B:$B,[1]EFAY!$D:$D)</f>
        <v>(WSL24)#409311, DIA 11"/28cm RD MELA 2-WAY USAGE BOARD (OAK) EARTH</v>
      </c>
      <c r="E16" t="str">
        <f>_xlfn.XLOOKUP(B16, [1]EFAY!$B:$B,[1]EFAY!$E:$E)</f>
        <v>WSL WITH STOCK</v>
      </c>
      <c r="G16" t="s">
        <v>1094</v>
      </c>
      <c r="H16">
        <f>_xlfn.XLOOKUP(B16, [1]EFAY!$B:$B,[1]EFAY!$H:$H)</f>
        <v>12.6</v>
      </c>
      <c r="I16" t="str">
        <f>_xlfn.XLOOKUP(B16, [1]EFAY!$B:$B,[1]EFAY!$I:$I)</f>
        <v>JS-Janitorial and Stewarding</v>
      </c>
      <c r="J16" t="str">
        <f>_xlfn.XLOOKUP(B16, [1]EFAY!$B:$B,[1]EFAY!$J:$J)</f>
        <v>SVW-Serveware</v>
      </c>
      <c r="K16" t="str">
        <f>_xlfn.XLOOKUP(B16, [1]EFAY!$B:$B,[1]EFAY!$K:$K)</f>
        <v>BBC-Bread Boards/Charcuterie Boards</v>
      </c>
      <c r="L16" t="str">
        <f>_xlfn.XLOOKUP(B16, [1]EFAY!$B:$B,[1]EFAY!$L:$L)</f>
        <v>#409311 Ø11"/28cm2-Way Usage Round Mela  Board Earth Oak</v>
      </c>
    </row>
    <row r="17" spans="1:13" x14ac:dyDescent="0.25">
      <c r="A17" t="str">
        <f>_xlfn.XLOOKUP(B17, [1]EFAY!$B:$B,[1]EFAY!$A:$A)</f>
        <v>5712-MELA-409307PW9</v>
      </c>
      <c r="B17" s="3" t="s">
        <v>79</v>
      </c>
      <c r="C17" t="s">
        <v>1089</v>
      </c>
      <c r="D17" t="str">
        <f>_xlfn.XLOOKUP(B17, [1]EFAY!$B:$B,[1]EFAY!$D:$D)</f>
        <v>#409307PW9, DIA 7"/18cm RD MELA 2-WAY USAGE BOARD,WHITE CARRARA</v>
      </c>
      <c r="E17" t="str">
        <f>_xlfn.XLOOKUP(B17, [1]EFAY!$B:$B,[1]EFAY!$E:$E)</f>
        <v>NO TAG</v>
      </c>
      <c r="G17" t="s">
        <v>1094</v>
      </c>
      <c r="H17">
        <f>_xlfn.XLOOKUP(B17, [1]EFAY!$B:$B,[1]EFAY!$H:$H)</f>
        <v>5.6</v>
      </c>
      <c r="I17" t="str">
        <f>_xlfn.XLOOKUP(B17, [1]EFAY!$B:$B,[1]EFAY!$I:$I)</f>
        <v>JS-Janitorial and Stewarding</v>
      </c>
      <c r="J17" t="str">
        <f>_xlfn.XLOOKUP(B17, [1]EFAY!$B:$B,[1]EFAY!$J:$J)</f>
        <v>SVW-Serveware</v>
      </c>
      <c r="K17" t="str">
        <f>_xlfn.XLOOKUP(B17, [1]EFAY!$B:$B,[1]EFAY!$K:$K)</f>
        <v>BBC-Bread Boards/Charcuterie Boards</v>
      </c>
      <c r="L17" t="str">
        <f>_xlfn.XLOOKUP(B17, [1]EFAY!$B:$B,[1]EFAY!$L:$L)</f>
        <v>#409307PW9 Ø7"/18cm Round 2-Way Usage Mela Board White Carrara</v>
      </c>
    </row>
    <row r="18" spans="1:13" x14ac:dyDescent="0.25">
      <c r="A18" t="str">
        <f>_xlfn.XLOOKUP(B18, [1]EFAY!$B:$B,[1]EFAY!$A:$A)</f>
        <v>5712-MELA-409307ERS</v>
      </c>
      <c r="B18" s="3" t="s">
        <v>83</v>
      </c>
      <c r="C18" t="s">
        <v>1089</v>
      </c>
      <c r="D18" t="str">
        <f>_xlfn.XLOOKUP(B18, [1]EFAY!$B:$B,[1]EFAY!$D:$D)</f>
        <v>#409307, DIA 7"/18cm RD MELA 2-WAY USAGE BOARD (OAK) EARTH</v>
      </c>
      <c r="E18" t="str">
        <f>_xlfn.XLOOKUP(B18, [1]EFAY!$B:$B,[1]EFAY!$E:$E)</f>
        <v>NO TAG</v>
      </c>
      <c r="G18" t="s">
        <v>1094</v>
      </c>
      <c r="H18">
        <f>_xlfn.XLOOKUP(B18, [1]EFAY!$B:$B,[1]EFAY!$H:$H)</f>
        <v>5.61</v>
      </c>
      <c r="I18" t="str">
        <f>_xlfn.XLOOKUP(B18, [1]EFAY!$B:$B,[1]EFAY!$I:$I)</f>
        <v>JS-Janitorial and Stewarding</v>
      </c>
      <c r="J18" t="str">
        <f>_xlfn.XLOOKUP(B18, [1]EFAY!$B:$B,[1]EFAY!$J:$J)</f>
        <v>SVW-Serveware</v>
      </c>
      <c r="K18" t="str">
        <f>_xlfn.XLOOKUP(B18, [1]EFAY!$B:$B,[1]EFAY!$K:$K)</f>
        <v>BBC-Bread Boards/Charcuterie Boards</v>
      </c>
      <c r="L18" t="str">
        <f>_xlfn.XLOOKUP(B18, [1]EFAY!$B:$B,[1]EFAY!$L:$L)</f>
        <v>#409307 Ø7"/18cm 2-Way Usage Mela Board Oak</v>
      </c>
    </row>
    <row r="19" spans="1:13" x14ac:dyDescent="0.25">
      <c r="A19" t="str">
        <f>_xlfn.XLOOKUP(B19, [1]EFAY!$B:$B,[1]EFAY!$A:$A)</f>
        <v>5712-MELA-409309PW9</v>
      </c>
      <c r="B19" s="3" t="s">
        <v>87</v>
      </c>
      <c r="C19" t="s">
        <v>1089</v>
      </c>
      <c r="D19" t="str">
        <f>_xlfn.XLOOKUP(B19, [1]EFAY!$B:$B,[1]EFAY!$D:$D)</f>
        <v>#409309PW9, DIA 9"/23cm RD MELA 2-WAY USAGE BOARD, WHITE CARRARA</v>
      </c>
      <c r="E19" t="str">
        <f>_xlfn.XLOOKUP(B19, [1]EFAY!$B:$B,[1]EFAY!$E:$E)</f>
        <v>NO TAG</v>
      </c>
      <c r="G19" t="s">
        <v>1094</v>
      </c>
      <c r="H19">
        <f>_xlfn.XLOOKUP(B19, [1]EFAY!$B:$B,[1]EFAY!$H:$H)</f>
        <v>7.5</v>
      </c>
      <c r="I19" t="str">
        <f>_xlfn.XLOOKUP(B19, [1]EFAY!$B:$B,[1]EFAY!$I:$I)</f>
        <v>JS-Janitorial and Stewarding</v>
      </c>
      <c r="J19" t="str">
        <f>_xlfn.XLOOKUP(B19, [1]EFAY!$B:$B,[1]EFAY!$J:$J)</f>
        <v>SVW-Serveware</v>
      </c>
      <c r="K19" t="str">
        <f>_xlfn.XLOOKUP(B19, [1]EFAY!$B:$B,[1]EFAY!$K:$K)</f>
        <v>BBC-Bread Boards/Charcuterie Boards</v>
      </c>
      <c r="L19" t="str">
        <f>_xlfn.XLOOKUP(B19, [1]EFAY!$B:$B,[1]EFAY!$L:$L)</f>
        <v>#409309PW9 Ø9"/23cm 2-Way Usage Round Mela Board White Carrara</v>
      </c>
    </row>
    <row r="20" spans="1:13" x14ac:dyDescent="0.25">
      <c r="A20" t="str">
        <f>_xlfn.XLOOKUP(B20, [1]EFAY!$B:$B,[1]EFAY!$A:$A)</f>
        <v>5712-MELA-409309ERS</v>
      </c>
      <c r="B20" s="3" t="s">
        <v>91</v>
      </c>
      <c r="C20" t="s">
        <v>1089</v>
      </c>
      <c r="D20" t="str">
        <f>_xlfn.XLOOKUP(B20, [1]EFAY!$B:$B,[1]EFAY!$D:$D)</f>
        <v>#409309, DIA 9"/23cm RD MELA 2-WAY USAGE BOARD (OAK) EARTH</v>
      </c>
      <c r="E20" t="str">
        <f>_xlfn.XLOOKUP(B20, [1]EFAY!$B:$B,[1]EFAY!$E:$E)</f>
        <v>NO TAG</v>
      </c>
      <c r="G20" t="s">
        <v>1094</v>
      </c>
      <c r="H20">
        <f>_xlfn.XLOOKUP(B20, [1]EFAY!$B:$B,[1]EFAY!$H:$H)</f>
        <v>8.99</v>
      </c>
      <c r="I20" t="str">
        <f>_xlfn.XLOOKUP(B20, [1]EFAY!$B:$B,[1]EFAY!$I:$I)</f>
        <v>JS-Janitorial and Stewarding</v>
      </c>
      <c r="J20" t="str">
        <f>_xlfn.XLOOKUP(B20, [1]EFAY!$B:$B,[1]EFAY!$J:$J)</f>
        <v>SVW-Serveware</v>
      </c>
      <c r="K20" t="str">
        <f>_xlfn.XLOOKUP(B20, [1]EFAY!$B:$B,[1]EFAY!$K:$K)</f>
        <v>BBC-Bread Boards/Charcuterie Boards</v>
      </c>
      <c r="L20" t="str">
        <f>_xlfn.XLOOKUP(B20, [1]EFAY!$B:$B,[1]EFAY!$L:$L)</f>
        <v>#409309 Ø9" 23cm 2-Way Usage Round Mela Board Earth Oak</v>
      </c>
    </row>
    <row r="21" spans="1:13" x14ac:dyDescent="0.25">
      <c r="A21" t="str">
        <f>_xlfn.XLOOKUP(B21, [1]EFAY!$B:$B,[1]EFAY!$A:$A)</f>
        <v>5712-GAM-904905BK</v>
      </c>
      <c r="B21" s="3" t="s">
        <v>97</v>
      </c>
      <c r="C21" t="s">
        <v>1089</v>
      </c>
      <c r="D21" t="str">
        <f>_xlfn.XLOOKUP(B21, [1]EFAY!$B:$B,[1]EFAY!$D:$D)</f>
        <v>#904905BK, 28x28x12cm 5" METAL CUBE DISLAY STAND, BLACK</v>
      </c>
      <c r="E21" t="str">
        <f>_xlfn.XLOOKUP(B21, [1]EFAY!$B:$B,[1]EFAY!$E:$E)</f>
        <v>NO TAG</v>
      </c>
      <c r="G21" t="s">
        <v>1094</v>
      </c>
      <c r="H21">
        <f>_xlfn.XLOOKUP(B21, [1]EFAY!$B:$B,[1]EFAY!$H:$H)</f>
        <v>72.77</v>
      </c>
      <c r="I21" t="str">
        <f>_xlfn.XLOOKUP(B21, [1]EFAY!$B:$B,[1]EFAY!$I:$I)</f>
        <v>JS-Janitorial and Stewarding</v>
      </c>
      <c r="J21" t="str">
        <f>_xlfn.XLOOKUP(B21, [1]EFAY!$B:$B,[1]EFAY!$J:$J)</f>
        <v>SVW-Serveware</v>
      </c>
      <c r="K21" t="str">
        <f>_xlfn.XLOOKUP(B21, [1]EFAY!$B:$B,[1]EFAY!$K:$K)</f>
        <v>DRA-Display Risers, Stands &amp; Accessories</v>
      </c>
      <c r="L21" t="str">
        <f>_xlfn.XLOOKUP(B21, [1]EFAY!$B:$B,[1]EFAY!$L:$L)</f>
        <v>#904905BK 28x28x12cm 5" Metal Cube Display Stand Black</v>
      </c>
    </row>
    <row r="22" spans="1:13" x14ac:dyDescent="0.25">
      <c r="A22" t="str">
        <f>_xlfn.XLOOKUP(B22, [1]EFAY!$B:$B,[1]EFAY!$A:$A)</f>
        <v>5712-GAM-904911BK</v>
      </c>
      <c r="B22" s="3" t="s">
        <v>101</v>
      </c>
      <c r="C22" t="s">
        <v>1089</v>
      </c>
      <c r="D22" t="str">
        <f>_xlfn.XLOOKUP(B22, [1]EFAY!$B:$B,[1]EFAY!$D:$D)</f>
        <v>#904911BK, 28x28x21.5cm 8.5" METAL CUBE DISLAY STAND, BLACK</v>
      </c>
      <c r="E22" t="str">
        <f>_xlfn.XLOOKUP(B22, [1]EFAY!$B:$B,[1]EFAY!$E:$E)</f>
        <v>NO TAG</v>
      </c>
      <c r="G22" t="s">
        <v>1094</v>
      </c>
      <c r="H22">
        <f>_xlfn.XLOOKUP(B22, [1]EFAY!$B:$B,[1]EFAY!$H:$H)</f>
        <v>79.7</v>
      </c>
      <c r="I22" t="str">
        <f>_xlfn.XLOOKUP(B22, [1]EFAY!$B:$B,[1]EFAY!$I:$I)</f>
        <v>JS-Janitorial and Stewarding</v>
      </c>
      <c r="J22" t="str">
        <f>_xlfn.XLOOKUP(B22, [1]EFAY!$B:$B,[1]EFAY!$J:$J)</f>
        <v>SVW-Serveware</v>
      </c>
      <c r="K22" t="str">
        <f>_xlfn.XLOOKUP(B22, [1]EFAY!$B:$B,[1]EFAY!$K:$K)</f>
        <v>DRA-Display Risers, Stands &amp; Accessories</v>
      </c>
      <c r="L22" t="str">
        <f>_xlfn.XLOOKUP(B22, [1]EFAY!$B:$B,[1]EFAY!$L:$L)</f>
        <v>#904911BK 28x28x21.5cm 8.5" Metal Cube Display Stand Black</v>
      </c>
    </row>
    <row r="23" spans="1:13" x14ac:dyDescent="0.25">
      <c r="A23" t="str">
        <f>_xlfn.XLOOKUP(B23, [1]EFAY!$B:$B,[1]EFAY!$A:$A)</f>
        <v>5712-PC-SO-530207</v>
      </c>
      <c r="B23" s="3">
        <v>530207</v>
      </c>
      <c r="C23" t="s">
        <v>1089</v>
      </c>
      <c r="D23" t="str">
        <f>_xlfn.XLOOKUP(B23, [1]EFAY!$B:$B,[1]EFAY!$D:$D)</f>
        <v>D:17xHT:10.8cm 7" "SOPHIE" CLEAR PC CAKE COVER ONLY (*NO BASE)</v>
      </c>
      <c r="E23" t="str">
        <f>_xlfn.XLOOKUP(B23, [1]EFAY!$B:$B,[1]EFAY!$E:$E)</f>
        <v>NO TAG</v>
      </c>
      <c r="G23" t="s">
        <v>1094</v>
      </c>
      <c r="H23">
        <f>_xlfn.XLOOKUP(B23, [1]EFAY!$B:$B,[1]EFAY!$H:$H)</f>
        <v>8</v>
      </c>
      <c r="I23" t="str">
        <f>_xlfn.XLOOKUP(B23, [1]EFAY!$B:$B,[1]EFAY!$I:$I)</f>
        <v>JS-Janitorial and Stewarding</v>
      </c>
      <c r="J23" t="str">
        <f>_xlfn.XLOOKUP(B23, [1]EFAY!$B:$B,[1]EFAY!$J:$J)</f>
        <v>BW-Bakeware</v>
      </c>
      <c r="K23" t="str">
        <f>_xlfn.XLOOKUP(B23, [1]EFAY!$B:$B,[1]EFAY!$K:$K)</f>
        <v/>
      </c>
      <c r="L23" t="str">
        <f>_xlfn.XLOOKUP(B23, [1]EFAY!$B:$B,[1]EFAY!$L:$L)</f>
        <v>Sophie PC Ø17xH10.8cm 7" Cake Cover Clear</v>
      </c>
    </row>
    <row r="24" spans="1:13" x14ac:dyDescent="0.25">
      <c r="A24" t="str">
        <f>_xlfn.XLOOKUP(B24, [1]EFAY!$B:$B,[1]EFAY!$A:$A)</f>
        <v>5712-PC-SO-530209</v>
      </c>
      <c r="B24" s="3">
        <v>530209</v>
      </c>
      <c r="C24" t="s">
        <v>1089</v>
      </c>
      <c r="D24" t="str">
        <f>_xlfn.XLOOKUP(B24, [1]EFAY!$B:$B,[1]EFAY!$D:$D)</f>
        <v>D:22xHT:13.4cm 9" "SOPHIE" CLEAR PC CAKE COVER ONLY (*NO BASE)</v>
      </c>
      <c r="E24" t="str">
        <f>_xlfn.XLOOKUP(B24, [1]EFAY!$B:$B,[1]EFAY!$E:$E)</f>
        <v>NO TAG</v>
      </c>
      <c r="G24" t="s">
        <v>1094</v>
      </c>
      <c r="H24">
        <f>_xlfn.XLOOKUP(B24, [1]EFAY!$B:$B,[1]EFAY!$H:$H)</f>
        <v>11.6</v>
      </c>
      <c r="I24" t="str">
        <f>_xlfn.XLOOKUP(B24, [1]EFAY!$B:$B,[1]EFAY!$I:$I)</f>
        <v>JS-Janitorial and Stewarding</v>
      </c>
      <c r="J24" t="str">
        <f>_xlfn.XLOOKUP(B24, [1]EFAY!$B:$B,[1]EFAY!$J:$J)</f>
        <v>BW-Bakeware</v>
      </c>
      <c r="K24" t="str">
        <f>_xlfn.XLOOKUP(B24, [1]EFAY!$B:$B,[1]EFAY!$K:$K)</f>
        <v/>
      </c>
      <c r="L24" t="str">
        <f>_xlfn.XLOOKUP(B24, [1]EFAY!$B:$B,[1]EFAY!$L:$L)</f>
        <v>Sophie PC Ø22xH13.4cm 9" Cake Cover Clear</v>
      </c>
    </row>
    <row r="25" spans="1:13" x14ac:dyDescent="0.25">
      <c r="A25" t="str">
        <f>_xlfn.XLOOKUP(B25, [1]EFAY!$B:$B,[1]EFAY!$A:$A)</f>
        <v>5712-PC-SO-530211</v>
      </c>
      <c r="B25" s="3">
        <v>530211</v>
      </c>
      <c r="C25" t="s">
        <v>1089</v>
      </c>
      <c r="D25" t="str">
        <f>_xlfn.XLOOKUP(B25, [1]EFAY!$B:$B,[1]EFAY!$D:$D)</f>
        <v>D:27xHT:16.6cm 11" "SOPHIE" CLEAR PC CAKE COVER ONLY (*NO BASE)</v>
      </c>
      <c r="E25" t="str">
        <f>_xlfn.XLOOKUP(B25, [1]EFAY!$B:$B,[1]EFAY!$E:$E)</f>
        <v>NO TAG</v>
      </c>
      <c r="G25" t="s">
        <v>1094</v>
      </c>
      <c r="H25">
        <f>_xlfn.XLOOKUP(B25, [1]EFAY!$B:$B,[1]EFAY!$H:$H)</f>
        <v>14.9</v>
      </c>
      <c r="I25" t="str">
        <f>_xlfn.XLOOKUP(B25, [1]EFAY!$B:$B,[1]EFAY!$I:$I)</f>
        <v>JS-Janitorial and Stewarding</v>
      </c>
      <c r="J25" t="str">
        <f>_xlfn.XLOOKUP(B25, [1]EFAY!$B:$B,[1]EFAY!$J:$J)</f>
        <v>BW-Bakeware</v>
      </c>
      <c r="K25" t="str">
        <f>_xlfn.XLOOKUP(B25, [1]EFAY!$B:$B,[1]EFAY!$K:$K)</f>
        <v/>
      </c>
      <c r="L25" t="str">
        <f>_xlfn.XLOOKUP(B25, [1]EFAY!$B:$B,[1]EFAY!$L:$L)</f>
        <v>Sophie PC Ø27xH16.6cm 11" Cake Cover Clear</v>
      </c>
    </row>
    <row r="26" spans="1:13" x14ac:dyDescent="0.25">
      <c r="A26" t="str">
        <f>_xlfn.XLOOKUP(B26, [1]EFAY!$B:$B,[1]EFAY!$A:$A)</f>
        <v>5712-PC-GN-541112</v>
      </c>
      <c r="B26" s="3">
        <v>541112</v>
      </c>
      <c r="C26" t="s">
        <v>1089</v>
      </c>
      <c r="D26" t="str">
        <f>_xlfn.XLOOKUP(B26, [1]EFAY!$B:$B,[1]EFAY!$D:$D)</f>
        <v>1/2, 33X27XHT:10cm ROLL TOP TRANSPARENT PC COVER ONLY (*NO BASE)</v>
      </c>
      <c r="E26" t="str">
        <f>_xlfn.XLOOKUP(B26, [1]EFAY!$B:$B,[1]EFAY!$E:$E)</f>
        <v>NO TAG</v>
      </c>
      <c r="G26" t="s">
        <v>1094</v>
      </c>
      <c r="H26">
        <f>_xlfn.XLOOKUP(B26, [1]EFAY!$B:$B,[1]EFAY!$H:$H)</f>
        <v>26.3</v>
      </c>
      <c r="I26" t="str">
        <f>_xlfn.XLOOKUP(B26, [1]EFAY!$B:$B,[1]EFAY!$I:$I)</f>
        <v>JS-Janitorial and Stewarding</v>
      </c>
      <c r="J26" t="str">
        <f>_xlfn.XLOOKUP(B26, [1]EFAY!$B:$B,[1]EFAY!$J:$J)</f>
        <v/>
      </c>
      <c r="K26" t="str">
        <f>_xlfn.XLOOKUP(B26, [1]EFAY!$B:$B,[1]EFAY!$K:$K)</f>
        <v/>
      </c>
      <c r="L26" t="str">
        <f>_xlfn.XLOOKUP(B26, [1]EFAY!$B:$B,[1]EFAY!$L:$L)</f>
        <v xml:space="preserve">1/2 PC33x27xH10cm Roll Top Cover Transparent </v>
      </c>
    </row>
    <row r="27" spans="1:13" x14ac:dyDescent="0.25">
      <c r="A27" t="str">
        <f>_xlfn.XLOOKUP(B27, [1]EFAY!$B:$B,[1]EFAY!$A:$A)</f>
        <v>5712-921112-RC</v>
      </c>
      <c r="B27" s="3" t="s">
        <v>124</v>
      </c>
      <c r="C27" t="s">
        <v>1089</v>
      </c>
      <c r="D27" t="str">
        <f>_xlfn.XLOOKUP(B27, [1]EFAY!$B:$B,[1]EFAY!$D:$D)</f>
        <v>D:25XW:21.2XHT:30cm, 3D "CROWN" NON-SLIP DISPLAY STAND</v>
      </c>
      <c r="E27" t="str">
        <f>_xlfn.XLOOKUP(B27, [1]EFAY!$B:$B,[1]EFAY!$E:$E)</f>
        <v>NO TAG</v>
      </c>
      <c r="G27" t="s">
        <v>1094</v>
      </c>
      <c r="H27">
        <f>_xlfn.XLOOKUP(B27, [1]EFAY!$B:$B,[1]EFAY!$H:$H)</f>
        <v>16.170000000000002</v>
      </c>
      <c r="I27" t="str">
        <f>_xlfn.XLOOKUP(B27, [1]EFAY!$B:$B,[1]EFAY!$I:$I)</f>
        <v>JS-Janitorial and Stewarding</v>
      </c>
      <c r="J27" t="str">
        <f>_xlfn.XLOOKUP(B27, [1]EFAY!$B:$B,[1]EFAY!$J:$J)</f>
        <v/>
      </c>
      <c r="K27" t="str">
        <f>_xlfn.XLOOKUP(B27, [1]EFAY!$B:$B,[1]EFAY!$K:$K)</f>
        <v/>
      </c>
      <c r="L27" t="str">
        <f>_xlfn.XLOOKUP(B27, [1]EFAY!$B:$B,[1]EFAY!$L:$L)</f>
        <v>Ø25xW21.2xH30cm 3D Crown Non-Slip Display Stand</v>
      </c>
      <c r="M27" s="3" t="s">
        <v>126</v>
      </c>
    </row>
    <row r="28" spans="1:13" x14ac:dyDescent="0.25">
      <c r="A28" t="str">
        <f>_xlfn.XLOOKUP(B28, [1]EFAY!$B:$B,[1]EFAY!$A:$A)</f>
        <v>5712-920904-RC</v>
      </c>
      <c r="B28" s="3" t="s">
        <v>129</v>
      </c>
      <c r="C28" t="s">
        <v>1089</v>
      </c>
      <c r="D28" t="str">
        <f>_xlfn.XLOOKUP(B28, [1]EFAY!$B:$B,[1]EFAY!$D:$D)</f>
        <v>(CODE:921104RC) D:25XW:21.2XHT:10cm, 3D "CROWN" NON-SLIP DISPLAY STAND</v>
      </c>
      <c r="E28" t="str">
        <f>_xlfn.XLOOKUP(B28, [1]EFAY!$B:$B,[1]EFAY!$E:$E)</f>
        <v>NO TAG</v>
      </c>
      <c r="G28" t="s">
        <v>1094</v>
      </c>
      <c r="H28">
        <f>_xlfn.XLOOKUP(B28, [1]EFAY!$B:$B,[1]EFAY!$H:$H)</f>
        <v>9.6999999999999993</v>
      </c>
      <c r="I28" t="str">
        <f>_xlfn.XLOOKUP(B28, [1]EFAY!$B:$B,[1]EFAY!$I:$I)</f>
        <v>JS-Janitorial and Stewarding</v>
      </c>
      <c r="J28" t="str">
        <f>_xlfn.XLOOKUP(B28, [1]EFAY!$B:$B,[1]EFAY!$J:$J)</f>
        <v/>
      </c>
      <c r="K28" t="str">
        <f>_xlfn.XLOOKUP(B28, [1]EFAY!$B:$B,[1]EFAY!$K:$K)</f>
        <v/>
      </c>
      <c r="L28" t="str">
        <f>_xlfn.XLOOKUP(B28, [1]EFAY!$B:$B,[1]EFAY!$L:$L)</f>
        <v>Ø25xW21.2xH10cm 3D Crown Non-Slip Display Stand</v>
      </c>
      <c r="M28" s="3" t="s">
        <v>126</v>
      </c>
    </row>
    <row r="29" spans="1:13" x14ac:dyDescent="0.25">
      <c r="A29" t="str">
        <f>_xlfn.XLOOKUP(B29, [1]EFAY!$B:$B,[1]EFAY!$A:$A)</f>
        <v>5712-921100-RC</v>
      </c>
      <c r="B29" s="3" t="s">
        <v>138</v>
      </c>
      <c r="C29" t="s">
        <v>1089</v>
      </c>
      <c r="D29" t="str">
        <f>_xlfn.XLOOKUP(B29, [1]EFAY!$B:$B,[1]EFAY!$D:$D)</f>
        <v>D:15XW:10XHT:10cm, 3D "CROWN" NON-SLIP DISPLAY STAND</v>
      </c>
      <c r="E29" t="str">
        <f>_xlfn.XLOOKUP(B29, [1]EFAY!$B:$B,[1]EFAY!$E:$E)</f>
        <v>NO TAG</v>
      </c>
      <c r="G29" t="s">
        <v>1094</v>
      </c>
      <c r="H29">
        <f>_xlfn.XLOOKUP(B29, [1]EFAY!$B:$B,[1]EFAY!$H:$H)</f>
        <v>7.33</v>
      </c>
      <c r="I29" t="str">
        <f>_xlfn.XLOOKUP(B29, [1]EFAY!$B:$B,[1]EFAY!$I:$I)</f>
        <v>JS-Janitorial and Stewarding</v>
      </c>
      <c r="J29" t="str">
        <f>_xlfn.XLOOKUP(B29, [1]EFAY!$B:$B,[1]EFAY!$J:$J)</f>
        <v/>
      </c>
      <c r="K29" t="str">
        <f>_xlfn.XLOOKUP(B29, [1]EFAY!$B:$B,[1]EFAY!$K:$K)</f>
        <v/>
      </c>
      <c r="L29" t="str">
        <f>_xlfn.XLOOKUP(B29, [1]EFAY!$B:$B,[1]EFAY!$L:$L)</f>
        <v>Ø15xW10xH10cm 3D Crown Non-Slip Display Stand</v>
      </c>
      <c r="M29" s="3" t="s">
        <v>126</v>
      </c>
    </row>
    <row r="30" spans="1:13" x14ac:dyDescent="0.25">
      <c r="A30" t="str">
        <f>_xlfn.XLOOKUP(B30, [1]EFAY!$B:$B,[1]EFAY!$A:$A)</f>
        <v>5712-MINI-520208BK</v>
      </c>
      <c r="B30" s="3" t="s">
        <v>154</v>
      </c>
      <c r="C30" t="s">
        <v>1089</v>
      </c>
      <c r="D30" t="str">
        <f>_xlfn.XLOOKUP(B30, [1]EFAY!$B:$B,[1]EFAY!$D:$D)</f>
        <v>(D:20cm) MELAMINE "LITTLE CHEF" 8" ROUND PAN W/ONE HDLE (BLACK)</v>
      </c>
      <c r="E30" t="str">
        <f>_xlfn.XLOOKUP(B30, [1]EFAY!$B:$B,[1]EFAY!$E:$E)</f>
        <v>NO TAG</v>
      </c>
      <c r="G30" t="s">
        <v>1094</v>
      </c>
      <c r="H30">
        <f>_xlfn.XLOOKUP(B30, [1]EFAY!$B:$B,[1]EFAY!$H:$H)</f>
        <v>8.08</v>
      </c>
      <c r="I30" t="str">
        <f>_xlfn.XLOOKUP(B30, [1]EFAY!$B:$B,[1]EFAY!$I:$I)</f>
        <v>JS-Janitorial and Stewarding</v>
      </c>
      <c r="J30" t="str">
        <f>_xlfn.XLOOKUP(B30, [1]EFAY!$B:$B,[1]EFAY!$J:$J)</f>
        <v>CW-Cookware</v>
      </c>
      <c r="K30" t="str">
        <f>_xlfn.XLOOKUP(B30, [1]EFAY!$B:$B,[1]EFAY!$K:$K)</f>
        <v>PN-Pans</v>
      </c>
      <c r="L30" t="str">
        <f>_xlfn.XLOOKUP(B30, [1]EFAY!$B:$B,[1]EFAY!$L:$L)</f>
        <v>Melamine Ø20cm 8" "Little Chef" Round Pan Black with One Handle</v>
      </c>
      <c r="M30" s="3" t="s">
        <v>146</v>
      </c>
    </row>
    <row r="31" spans="1:13" x14ac:dyDescent="0.25">
      <c r="A31" t="str">
        <f>_xlfn.XLOOKUP(B31, [1]EFAY!$B:$B,[1]EFAY!$A:$A)</f>
        <v>5712-R-222414GS-GY</v>
      </c>
      <c r="B31" s="3" t="s">
        <v>158</v>
      </c>
      <c r="C31" t="s">
        <v>1089</v>
      </c>
      <c r="D31" t="str">
        <f>_xlfn.XLOOKUP(B31, [1]EFAY!$B:$B,[1]EFAY!$D:$D)</f>
        <v>(WSL22), 222414GS, D:34.5cm  7 LTR MELAMINE "ROCKY" TRIANGLE BOWL (GREY)</v>
      </c>
      <c r="E31" t="str">
        <f>_xlfn.XLOOKUP(B31, [1]EFAY!$B:$B,[1]EFAY!$E:$E)</f>
        <v>WSL WITH STOCK</v>
      </c>
      <c r="G31" t="s">
        <v>1094</v>
      </c>
      <c r="H31">
        <f>_xlfn.XLOOKUP(B31, [1]EFAY!$B:$B,[1]EFAY!$H:$H)</f>
        <v>31.26</v>
      </c>
      <c r="I31" t="str">
        <f>_xlfn.XLOOKUP(B31, [1]EFAY!$B:$B,[1]EFAY!$I:$I)</f>
        <v>JS-Janitorial and Stewarding</v>
      </c>
      <c r="J31" t="str">
        <f>_xlfn.XLOOKUP(B31, [1]EFAY!$B:$B,[1]EFAY!$J:$J)</f>
        <v>SVW-Serveware</v>
      </c>
      <c r="K31" t="str">
        <f>_xlfn.XLOOKUP(B31, [1]EFAY!$B:$B,[1]EFAY!$K:$K)</f>
        <v/>
      </c>
      <c r="L31" t="str">
        <f>_xlfn.XLOOKUP(B31, [1]EFAY!$B:$B,[1]EFAY!$L:$L)</f>
        <v>222414GS Ø34.5cm 7L Rocky Triangle Bowl Grey</v>
      </c>
      <c r="M31" s="3" t="s">
        <v>160</v>
      </c>
    </row>
    <row r="32" spans="1:13" x14ac:dyDescent="0.25">
      <c r="A32" t="str">
        <f>_xlfn.XLOOKUP(B32, [1]EFAY!$B:$B,[1]EFAY!$A:$A)</f>
        <v>5712-R-222411WS-WHT</v>
      </c>
      <c r="B32" s="3" t="s">
        <v>163</v>
      </c>
      <c r="C32" t="s">
        <v>1089</v>
      </c>
      <c r="D32" t="str">
        <f>_xlfn.XLOOKUP(B32, [1]EFAY!$B:$B,[1]EFAY!$D:$D)</f>
        <v>222411WS, D:27.5cm  3.6 LTR MELAMINE "ROCKY" TRIANGLE BOWL (WHITE)</v>
      </c>
      <c r="E32" t="str">
        <f>_xlfn.XLOOKUP(B32, [1]EFAY!$B:$B,[1]EFAY!$E:$E)</f>
        <v>NO TAG</v>
      </c>
      <c r="G32" t="s">
        <v>1094</v>
      </c>
      <c r="H32">
        <f>_xlfn.XLOOKUP(B32, [1]EFAY!$B:$B,[1]EFAY!$H:$H)</f>
        <v>16.02</v>
      </c>
      <c r="I32" t="str">
        <f>_xlfn.XLOOKUP(B32, [1]EFAY!$B:$B,[1]EFAY!$I:$I)</f>
        <v>JS-Janitorial and Stewarding</v>
      </c>
      <c r="J32" t="str">
        <f>_xlfn.XLOOKUP(B32, [1]EFAY!$B:$B,[1]EFAY!$J:$J)</f>
        <v>SVW-Serveware</v>
      </c>
      <c r="K32" t="str">
        <f>_xlfn.XLOOKUP(B32, [1]EFAY!$B:$B,[1]EFAY!$K:$K)</f>
        <v>MSA-Miscellaneous Serving Accessories</v>
      </c>
      <c r="L32" t="str">
        <f>_xlfn.XLOOKUP(B32, [1]EFAY!$B:$B,[1]EFAY!$L:$L)</f>
        <v>222411WS Melamine Ø27.5cm 3.6L Rocky Triangle Bowl White</v>
      </c>
      <c r="M32" s="3" t="s">
        <v>160</v>
      </c>
    </row>
    <row r="33" spans="1:13" x14ac:dyDescent="0.25">
      <c r="A33" t="str">
        <f>_xlfn.XLOOKUP(B33, [1]EFAY!$B:$B,[1]EFAY!$A:$A)</f>
        <v>5712-EDA-517904IV</v>
      </c>
      <c r="B33" s="3" t="s">
        <v>169</v>
      </c>
      <c r="C33" t="s">
        <v>1089</v>
      </c>
      <c r="D33" t="str">
        <f>_xlfn.XLOOKUP(B33, [1]EFAY!$B:$B,[1]EFAY!$D:$D)</f>
        <v>(WSL19)&lt;4171809&gt; #517904, 4'' MELAMINE PETIT DO DISH, 100x70x48mm (IVORY)</v>
      </c>
      <c r="E33" t="str">
        <f>_xlfn.XLOOKUP(B33, [1]EFAY!$B:$B,[1]EFAY!$E:$E)</f>
        <v>WSL WITH STOCK</v>
      </c>
      <c r="G33" t="s">
        <v>1094</v>
      </c>
      <c r="H33">
        <f>_xlfn.XLOOKUP(B33, [1]EFAY!$B:$B,[1]EFAY!$H:$H)</f>
        <v>1.45</v>
      </c>
      <c r="I33" t="str">
        <f>_xlfn.XLOOKUP(B33, [1]EFAY!$B:$B,[1]EFAY!$I:$I)</f>
        <v>JS-Janitorial and Stewarding</v>
      </c>
      <c r="J33" t="str">
        <f>_xlfn.XLOOKUP(B33, [1]EFAY!$B:$B,[1]EFAY!$J:$J)</f>
        <v>DWR-Dinnerware</v>
      </c>
      <c r="K33" t="str">
        <f>_xlfn.XLOOKUP(B33, [1]EFAY!$B:$B,[1]EFAY!$K:$K)</f>
        <v>BWL-Bowls</v>
      </c>
      <c r="L33" t="str">
        <f>_xlfn.XLOOKUP(B33, [1]EFAY!$B:$B,[1]EFAY!$L:$L)</f>
        <v>#517904 Melamine 100x70x48mm 4" Petit Do Dish Ivory</v>
      </c>
      <c r="M33" s="3" t="s">
        <v>171</v>
      </c>
    </row>
    <row r="34" spans="1:13" x14ac:dyDescent="0.25">
      <c r="A34" t="str">
        <f>_xlfn.XLOOKUP(B34, [1]EFAY!$B:$B,[1]EFAY!$A:$A)</f>
        <v>5712-EDA-516104IV</v>
      </c>
      <c r="B34" s="3" t="s">
        <v>174</v>
      </c>
      <c r="C34" t="s">
        <v>1089</v>
      </c>
      <c r="D34" t="str">
        <f>_xlfn.XLOOKUP(B34, [1]EFAY!$B:$B,[1]EFAY!$D:$D)</f>
        <v>(WSL19)&lt;4171807&gt; #516104, 4'' MELAMINE PETIT VENUS DISH, 89x68x20mm (IVORY)</v>
      </c>
      <c r="E34" t="str">
        <f>_xlfn.XLOOKUP(B34, [1]EFAY!$B:$B,[1]EFAY!$E:$E)</f>
        <v>WSL WITH STOCK</v>
      </c>
      <c r="G34" t="s">
        <v>1094</v>
      </c>
      <c r="H34">
        <f>_xlfn.XLOOKUP(B34, [1]EFAY!$B:$B,[1]EFAY!$H:$H)</f>
        <v>0.71</v>
      </c>
      <c r="I34" t="str">
        <f>_xlfn.XLOOKUP(B34, [1]EFAY!$B:$B,[1]EFAY!$I:$I)</f>
        <v>JS-Janitorial and Stewarding</v>
      </c>
      <c r="J34" t="str">
        <f>_xlfn.XLOOKUP(B34, [1]EFAY!$B:$B,[1]EFAY!$J:$J)</f>
        <v>DWR-Dinnerware</v>
      </c>
      <c r="K34" t="str">
        <f>_xlfn.XLOOKUP(B34, [1]EFAY!$B:$B,[1]EFAY!$K:$K)</f>
        <v>PLTR-Platters</v>
      </c>
      <c r="L34" t="str">
        <f>_xlfn.XLOOKUP(B34, [1]EFAY!$B:$B,[1]EFAY!$L:$L)</f>
        <v>#51610 Melamine 89x68x20mm 4" Petit Venus Dish Ivory</v>
      </c>
      <c r="M34" s="3" t="s">
        <v>171</v>
      </c>
    </row>
    <row r="35" spans="1:13" x14ac:dyDescent="0.25">
      <c r="A35" t="str">
        <f>_xlfn.XLOOKUP(B35, [1]EFAY!$B:$B,[1]EFAY!$A:$A)</f>
        <v>5712-TERRA-520505TI</v>
      </c>
      <c r="B35" s="3" t="s">
        <v>178</v>
      </c>
      <c r="C35" t="s">
        <v>1089</v>
      </c>
      <c r="D35" t="str">
        <f>_xlfn.XLOOKUP(B35, [1]EFAY!$B:$B,[1]EFAY!$D:$D)</f>
        <v>12X12X3cm ROUND TERRACOTTA DISH (TILES RED)</v>
      </c>
      <c r="E35" t="str">
        <f>_xlfn.XLOOKUP(B35, [1]EFAY!$B:$B,[1]EFAY!$E:$E)</f>
        <v>NO TAG</v>
      </c>
      <c r="G35" t="s">
        <v>1094</v>
      </c>
      <c r="H35">
        <f>_xlfn.XLOOKUP(B35, [1]EFAY!$B:$B,[1]EFAY!$H:$H)</f>
        <v>2.89</v>
      </c>
      <c r="I35" t="str">
        <f>_xlfn.XLOOKUP(B35, [1]EFAY!$B:$B,[1]EFAY!$I:$I)</f>
        <v>JS-Janitorial and Stewarding</v>
      </c>
      <c r="J35" t="str">
        <f>_xlfn.XLOOKUP(B35, [1]EFAY!$B:$B,[1]EFAY!$J:$J)</f>
        <v>DWR-Dinnerware</v>
      </c>
      <c r="K35" t="str">
        <f>_xlfn.XLOOKUP(B35, [1]EFAY!$B:$B,[1]EFAY!$K:$K)</f>
        <v/>
      </c>
      <c r="L35" t="str">
        <f>_xlfn.XLOOKUP(B35, [1]EFAY!$B:$B,[1]EFAY!$L:$L)</f>
        <v>Terracotta 12x12x3cm Round Dish Red</v>
      </c>
      <c r="M35" s="3" t="s">
        <v>180</v>
      </c>
    </row>
    <row r="36" spans="1:13" x14ac:dyDescent="0.25">
      <c r="A36" t="str">
        <f>_xlfn.XLOOKUP(B36, [1]EFAY!$B:$B,[1]EFAY!$A:$A)</f>
        <v>5712-TERRA-520503TI</v>
      </c>
      <c r="B36" s="3" t="s">
        <v>183</v>
      </c>
      <c r="C36" t="s">
        <v>1089</v>
      </c>
      <c r="D36" t="str">
        <f>_xlfn.XLOOKUP(B36, [1]EFAY!$B:$B,[1]EFAY!$D:$D)</f>
        <v>8X8X3cm ROUND TERRACOTTA DISH (TILES RED)</v>
      </c>
      <c r="E36" t="str">
        <f>_xlfn.XLOOKUP(B36, [1]EFAY!$B:$B,[1]EFAY!$E:$E)</f>
        <v>NO TAG</v>
      </c>
      <c r="G36" t="s">
        <v>1094</v>
      </c>
      <c r="H36">
        <f>_xlfn.XLOOKUP(B36, [1]EFAY!$B:$B,[1]EFAY!$H:$H)</f>
        <v>1.52</v>
      </c>
      <c r="I36" t="str">
        <f>_xlfn.XLOOKUP(B36, [1]EFAY!$B:$B,[1]EFAY!$I:$I)</f>
        <v>JS-Janitorial and Stewarding</v>
      </c>
      <c r="J36" t="str">
        <f>_xlfn.XLOOKUP(B36, [1]EFAY!$B:$B,[1]EFAY!$J:$J)</f>
        <v>DWR-Dinnerware</v>
      </c>
      <c r="K36" t="str">
        <f>_xlfn.XLOOKUP(B36, [1]EFAY!$B:$B,[1]EFAY!$K:$K)</f>
        <v/>
      </c>
      <c r="L36" t="str">
        <f>_xlfn.XLOOKUP(B36, [1]EFAY!$B:$B,[1]EFAY!$L:$L)</f>
        <v>Terracotta 8x8x3cm Round Dish Red</v>
      </c>
      <c r="M36" s="3" t="s">
        <v>185</v>
      </c>
    </row>
    <row r="37" spans="1:13" x14ac:dyDescent="0.25">
      <c r="A37" t="str">
        <f>_xlfn.XLOOKUP(B37, [1]EFAY!$B:$B,[1]EFAY!$A:$A)</f>
        <v>5712-EDA-516404IV</v>
      </c>
      <c r="B37" s="3" t="s">
        <v>188</v>
      </c>
      <c r="C37" t="s">
        <v>1089</v>
      </c>
      <c r="D37" t="str">
        <f>_xlfn.XLOOKUP(B37, [1]EFAY!$B:$B,[1]EFAY!$D:$D)</f>
        <v>(WSL19)&lt;4171804&gt; #516404, 4'' MELAMINE PETIT DROP BOWL (IVORY)</v>
      </c>
      <c r="E37" t="str">
        <f>_xlfn.XLOOKUP(B37, [1]EFAY!$B:$B,[1]EFAY!$E:$E)</f>
        <v>WSL WITH STOCK</v>
      </c>
      <c r="G37" t="s">
        <v>1094</v>
      </c>
      <c r="H37">
        <f>_xlfn.XLOOKUP(B37, [1]EFAY!$B:$B,[1]EFAY!$H:$H)</f>
        <v>1.22</v>
      </c>
      <c r="I37" t="str">
        <f>_xlfn.XLOOKUP(B37, [1]EFAY!$B:$B,[1]EFAY!$I:$I)</f>
        <v>JS-Janitorial and Stewarding</v>
      </c>
      <c r="J37" t="str">
        <f>_xlfn.XLOOKUP(B37, [1]EFAY!$B:$B,[1]EFAY!$J:$J)</f>
        <v>SVW-Serveware</v>
      </c>
      <c r="K37" t="str">
        <f>_xlfn.XLOOKUP(B37, [1]EFAY!$B:$B,[1]EFAY!$K:$K)</f>
        <v>MSA-Miscellaneous Serving Accessories</v>
      </c>
      <c r="L37" t="str">
        <f>_xlfn.XLOOKUP(B37, [1]EFAY!$B:$B,[1]EFAY!$L:$L)</f>
        <v>#516404 Melamine 4" Petit Drop Bowl Ivory</v>
      </c>
      <c r="M37" s="3" t="s">
        <v>171</v>
      </c>
    </row>
    <row r="38" spans="1:13" x14ac:dyDescent="0.25">
      <c r="A38" t="str">
        <f>_xlfn.XLOOKUP(B38, [1]EFAY!$B:$B,[1]EFAY!$A:$A)</f>
        <v>5712-ROC-526002-GS</v>
      </c>
      <c r="B38" s="3" t="s">
        <v>192</v>
      </c>
      <c r="C38" t="s">
        <v>1089</v>
      </c>
      <c r="D38" t="str">
        <f>_xlfn.XLOOKUP(B38, [1]EFAY!$B:$B,[1]EFAY!$D:$D)</f>
        <v>#526002-GS, 2 oz MELAMINE "ROCKY" TRI. RAMEKIN (STONE GREY)</v>
      </c>
      <c r="E38" t="str">
        <f>_xlfn.XLOOKUP(B38, [1]EFAY!$B:$B,[1]EFAY!$E:$E)</f>
        <v>NO TAG</v>
      </c>
      <c r="G38" t="s">
        <v>1094</v>
      </c>
      <c r="H38">
        <f>_xlfn.XLOOKUP(B38, [1]EFAY!$B:$B,[1]EFAY!$H:$H)</f>
        <v>1.02</v>
      </c>
      <c r="I38" t="str">
        <f>_xlfn.XLOOKUP(B38, [1]EFAY!$B:$B,[1]EFAY!$I:$I)</f>
        <v>JS-Janitorial and Stewarding</v>
      </c>
      <c r="J38" t="str">
        <f>_xlfn.XLOOKUP(B38, [1]EFAY!$B:$B,[1]EFAY!$J:$J)</f>
        <v>SVW-Serveware</v>
      </c>
      <c r="K38" t="str">
        <f>_xlfn.XLOOKUP(B38, [1]EFAY!$B:$B,[1]EFAY!$K:$K)</f>
        <v>MSA-Miscellaneous Serving Accessories</v>
      </c>
      <c r="L38" t="str">
        <f>_xlfn.XLOOKUP(B38, [1]EFAY!$B:$B,[1]EFAY!$L:$L)</f>
        <v>#526002-GS Melamine 2 oz Rocky Triangular Ramekin Stone Grey</v>
      </c>
      <c r="M38" s="3" t="s">
        <v>160</v>
      </c>
    </row>
    <row r="39" spans="1:13" x14ac:dyDescent="0.25">
      <c r="A39" t="str">
        <f>_xlfn.XLOOKUP(B39, [1]EFAY!$B:$B,[1]EFAY!$A:$A)</f>
        <v>5712-EDA-516205IV</v>
      </c>
      <c r="B39" s="3" t="s">
        <v>196</v>
      </c>
      <c r="C39" t="s">
        <v>1089</v>
      </c>
      <c r="D39" t="str">
        <f>_xlfn.XLOOKUP(B39, [1]EFAY!$B:$B,[1]EFAY!$D:$D)</f>
        <v>(WSL19)&lt;4171805&gt; #516205, 5'' MELAMINE PETIT ROYAL ASCOT DISH, 119x88x34mm (IVORY)</v>
      </c>
      <c r="E39" t="str">
        <f>_xlfn.XLOOKUP(B39, [1]EFAY!$B:$B,[1]EFAY!$E:$E)</f>
        <v>WSL WITH STOCK</v>
      </c>
      <c r="G39" t="s">
        <v>1094</v>
      </c>
      <c r="H39">
        <f>_xlfn.XLOOKUP(B39, [1]EFAY!$B:$B,[1]EFAY!$H:$H)</f>
        <v>1.59</v>
      </c>
      <c r="I39" t="str">
        <f>_xlfn.XLOOKUP(B39, [1]EFAY!$B:$B,[1]EFAY!$I:$I)</f>
        <v>JS-Janitorial and Stewarding</v>
      </c>
      <c r="J39" t="str">
        <f>_xlfn.XLOOKUP(B39, [1]EFAY!$B:$B,[1]EFAY!$J:$J)</f>
        <v>DWR-Dinnerware</v>
      </c>
      <c r="K39" t="str">
        <f>_xlfn.XLOOKUP(B39, [1]EFAY!$B:$B,[1]EFAY!$K:$K)</f>
        <v>PLTR-Platters</v>
      </c>
      <c r="L39" t="str">
        <f>_xlfn.XLOOKUP(B39, [1]EFAY!$B:$B,[1]EFAY!$L:$L)</f>
        <v>#516205 Melamine 119x88x34mm 5" Petit Royal Ascot Dish Ivory</v>
      </c>
      <c r="M39" s="3" t="s">
        <v>171</v>
      </c>
    </row>
    <row r="40" spans="1:13" x14ac:dyDescent="0.25">
      <c r="A40" t="str">
        <f>_xlfn.XLOOKUP(B40, [1]EFAY!$B:$B,[1]EFAY!$A:$A)</f>
        <v>5712-R-222410WS-WHT</v>
      </c>
      <c r="B40" s="3" t="s">
        <v>201</v>
      </c>
      <c r="C40" t="s">
        <v>1089</v>
      </c>
      <c r="D40" t="str">
        <f>_xlfn.XLOOKUP(B40, [1]EFAY!$B:$B,[1]EFAY!$D:$D)</f>
        <v>222410WS, D:24.5cm  2.5 LTR MELAMINE "ROCKY" TRIANGLE BOWL (WHITE)</v>
      </c>
      <c r="E40" t="str">
        <f>_xlfn.XLOOKUP(B40, [1]EFAY!$B:$B,[1]EFAY!$E:$E)</f>
        <v>NO TAG</v>
      </c>
      <c r="G40" t="s">
        <v>1094</v>
      </c>
      <c r="H40">
        <f>_xlfn.XLOOKUP(B40, [1]EFAY!$B:$B,[1]EFAY!$H:$H)</f>
        <v>14.96</v>
      </c>
      <c r="I40" t="str">
        <f>_xlfn.XLOOKUP(B40, [1]EFAY!$B:$B,[1]EFAY!$I:$I)</f>
        <v>JS-Janitorial and Stewarding</v>
      </c>
      <c r="J40" t="str">
        <f>_xlfn.XLOOKUP(B40, [1]EFAY!$B:$B,[1]EFAY!$J:$J)</f>
        <v>SVW-Serveware</v>
      </c>
      <c r="K40" t="str">
        <f>_xlfn.XLOOKUP(B40, [1]EFAY!$B:$B,[1]EFAY!$K:$K)</f>
        <v>MSA-Miscellaneous Serving Accessories</v>
      </c>
      <c r="L40" t="str">
        <f>_xlfn.XLOOKUP(B40, [1]EFAY!$B:$B,[1]EFAY!$L:$L)</f>
        <v>222410WS Melamine Ø24.5cm 2.5L Rocky Triangle Bowl White</v>
      </c>
      <c r="M40" s="3" t="s">
        <v>160</v>
      </c>
    </row>
    <row r="41" spans="1:13" x14ac:dyDescent="0.25">
      <c r="A41" t="str">
        <f>_xlfn.XLOOKUP(B41, [1]EFAY!$B:$B,[1]EFAY!$A:$A)</f>
        <v>5712-R-222411GS-GY</v>
      </c>
      <c r="B41" s="3" t="s">
        <v>205</v>
      </c>
      <c r="C41" t="s">
        <v>1089</v>
      </c>
      <c r="D41" t="str">
        <f>_xlfn.XLOOKUP(B41, [1]EFAY!$B:$B,[1]EFAY!$D:$D)</f>
        <v>222411GS, D:27.5cm  3.6 LTR MELAMINE "ROCKY" TRIANGLE BOWL (GREY)</v>
      </c>
      <c r="E41" t="str">
        <f>_xlfn.XLOOKUP(B41, [1]EFAY!$B:$B,[1]EFAY!$E:$E)</f>
        <v>NO TAG</v>
      </c>
      <c r="G41" t="s">
        <v>1094</v>
      </c>
      <c r="H41">
        <f>_xlfn.XLOOKUP(B41, [1]EFAY!$B:$B,[1]EFAY!$H:$H)</f>
        <v>16.02</v>
      </c>
      <c r="I41" t="str">
        <f>_xlfn.XLOOKUP(B41, [1]EFAY!$B:$B,[1]EFAY!$I:$I)</f>
        <v>JS-Janitorial and Stewarding</v>
      </c>
      <c r="J41" t="str">
        <f>_xlfn.XLOOKUP(B41, [1]EFAY!$B:$B,[1]EFAY!$J:$J)</f>
        <v>SVW-Serveware</v>
      </c>
      <c r="K41" t="str">
        <f>_xlfn.XLOOKUP(B41, [1]EFAY!$B:$B,[1]EFAY!$K:$K)</f>
        <v>MSA-Miscellaneous Serving Accessories</v>
      </c>
      <c r="L41" t="str">
        <f>_xlfn.XLOOKUP(B41, [1]EFAY!$B:$B,[1]EFAY!$L:$L)</f>
        <v>222411GS Melamine Ø27.5cm 3.6L Rocky Triangle Bowl Grey</v>
      </c>
      <c r="M41" s="3" t="s">
        <v>160</v>
      </c>
    </row>
    <row r="42" spans="1:13" x14ac:dyDescent="0.25">
      <c r="A42" t="str">
        <f>_xlfn.XLOOKUP(B42, [1]EFAY!$B:$B,[1]EFAY!$A:$A)</f>
        <v>5712-R-222410GS-GY</v>
      </c>
      <c r="B42" s="3" t="s">
        <v>212</v>
      </c>
      <c r="C42" t="s">
        <v>1089</v>
      </c>
      <c r="D42" t="str">
        <f>_xlfn.XLOOKUP(B42, [1]EFAY!$B:$B,[1]EFAY!$D:$D)</f>
        <v>222410GS, D:24.5cm  2.5 LTR MELAMINE "ROCKY" TRIANGLE BOWL (GREY)</v>
      </c>
      <c r="E42" t="str">
        <f>_xlfn.XLOOKUP(B42, [1]EFAY!$B:$B,[1]EFAY!$E:$E)</f>
        <v>NO TAG</v>
      </c>
      <c r="G42" t="s">
        <v>1094</v>
      </c>
      <c r="H42">
        <f>_xlfn.XLOOKUP(B42, [1]EFAY!$B:$B,[1]EFAY!$H:$H)</f>
        <v>14.96</v>
      </c>
      <c r="I42" t="str">
        <f>_xlfn.XLOOKUP(B42, [1]EFAY!$B:$B,[1]EFAY!$I:$I)</f>
        <v>JS-Janitorial and Stewarding</v>
      </c>
      <c r="J42" t="str">
        <f>_xlfn.XLOOKUP(B42, [1]EFAY!$B:$B,[1]EFAY!$J:$J)</f>
        <v>SVW-Serveware</v>
      </c>
      <c r="K42" t="str">
        <f>_xlfn.XLOOKUP(B42, [1]EFAY!$B:$B,[1]EFAY!$K:$K)</f>
        <v>MSA-Miscellaneous Serving Accessories</v>
      </c>
      <c r="L42" t="str">
        <f>_xlfn.XLOOKUP(B42, [1]EFAY!$B:$B,[1]EFAY!$L:$L)</f>
        <v>222410GS Melamine Ø24.5cm 2.5L Rocky Triangle Bowl Grey</v>
      </c>
      <c r="M42" s="3" t="s">
        <v>160</v>
      </c>
    </row>
    <row r="43" spans="1:13" x14ac:dyDescent="0.25">
      <c r="A43" t="str">
        <f>_xlfn.XLOOKUP(B43, [1]EFAY!$B:$B,[1]EFAY!$A:$A)</f>
        <v>5712-GN-407812CG40</v>
      </c>
      <c r="B43" s="3" t="s">
        <v>216</v>
      </c>
      <c r="C43" t="s">
        <v>1089</v>
      </c>
      <c r="D43" t="str">
        <f>_xlfn.XLOOKUP(B43, [1]EFAY!$B:$B,[1]EFAY!$D:$D)</f>
        <v>(ID, MOQ:72) #407812-CG40, 1/2 GN BAKER TRAY, CORRASE TERRAZZO</v>
      </c>
      <c r="E43" t="str">
        <f>_xlfn.XLOOKUP(B43, [1]EFAY!$B:$B,[1]EFAY!$E:$E)</f>
        <v>ID NO STOCK</v>
      </c>
      <c r="G43" t="s">
        <v>1094</v>
      </c>
      <c r="H43">
        <f>_xlfn.XLOOKUP(B43, [1]EFAY!$B:$B,[1]EFAY!$H:$H)</f>
        <v>11.31</v>
      </c>
      <c r="I43" t="str">
        <f>_xlfn.XLOOKUP(B43, [1]EFAY!$B:$B,[1]EFAY!$I:$I)</f>
        <v>JS-Janitorial and Stewarding</v>
      </c>
      <c r="J43" t="str">
        <f>_xlfn.XLOOKUP(B43, [1]EFAY!$B:$B,[1]EFAY!$J:$J)</f>
        <v>BW-Bakeware</v>
      </c>
      <c r="K43" t="str">
        <f>_xlfn.XLOOKUP(B43, [1]EFAY!$B:$B,[1]EFAY!$K:$K)</f>
        <v>BPT-Baking Pans &amp; Trays</v>
      </c>
      <c r="L43" t="str">
        <f>_xlfn.XLOOKUP(B43, [1]EFAY!$B:$B,[1]EFAY!$L:$L)</f>
        <v>#407812-CG40 1/2 GN Baker Tray Corraise Terrazzo</v>
      </c>
      <c r="M43" s="3" t="s">
        <v>218</v>
      </c>
    </row>
    <row r="44" spans="1:13" x14ac:dyDescent="0.25">
      <c r="A44" t="str">
        <f>_xlfn.XLOOKUP(B44, [1]EFAY!$B:$B,[1]EFAY!$A:$A)</f>
        <v>5712-GN-407811CG39</v>
      </c>
      <c r="B44" s="3" t="s">
        <v>221</v>
      </c>
      <c r="C44" t="s">
        <v>1089</v>
      </c>
      <c r="D44" t="str">
        <f>_xlfn.XLOOKUP(B44, [1]EFAY!$B:$B,[1]EFAY!$D:$D)</f>
        <v>(ID, MOQ:60) #407811-CG39, 1/1 GN BAKER TRAY, THIN TERRAZZO</v>
      </c>
      <c r="E44" t="str">
        <f>_xlfn.XLOOKUP(B44, [1]EFAY!$B:$B,[1]EFAY!$E:$E)</f>
        <v>ID WITH STOCK</v>
      </c>
      <c r="G44" t="s">
        <v>1094</v>
      </c>
      <c r="H44">
        <f>_xlfn.XLOOKUP(B44, [1]EFAY!$B:$B,[1]EFAY!$H:$H)</f>
        <v>25.34</v>
      </c>
      <c r="I44" t="str">
        <f>_xlfn.XLOOKUP(B44, [1]EFAY!$B:$B,[1]EFAY!$I:$I)</f>
        <v>JS-Janitorial and Stewarding</v>
      </c>
      <c r="J44" t="str">
        <f>_xlfn.XLOOKUP(B44, [1]EFAY!$B:$B,[1]EFAY!$J:$J)</f>
        <v>BW-Bakeware</v>
      </c>
      <c r="K44" t="str">
        <f>_xlfn.XLOOKUP(B44, [1]EFAY!$B:$B,[1]EFAY!$K:$K)</f>
        <v>BPT-Baking Pans &amp; Trays</v>
      </c>
      <c r="L44" t="str">
        <f>_xlfn.XLOOKUP(B44, [1]EFAY!$B:$B,[1]EFAY!$L:$L)</f>
        <v>#407811-CG39 1/1 GN Baker Tray Thin Terrazzo</v>
      </c>
      <c r="M44" s="3" t="s">
        <v>218</v>
      </c>
    </row>
    <row r="45" spans="1:13" x14ac:dyDescent="0.25">
      <c r="A45" t="str">
        <f>_xlfn.XLOOKUP(B45, [1]EFAY!$B:$B,[1]EFAY!$A:$A)</f>
        <v>5712-TERRA-520554TI</v>
      </c>
      <c r="B45" s="3" t="s">
        <v>227</v>
      </c>
      <c r="C45" t="s">
        <v>1089</v>
      </c>
      <c r="D45" t="str">
        <f>_xlfn.XLOOKUP(B45, [1]EFAY!$B:$B,[1]EFAY!$D:$D)</f>
        <v>13.5X13.5X3cm ROUND TERRACOTTA DISH (TILES RED)</v>
      </c>
      <c r="E45" t="str">
        <f>_xlfn.XLOOKUP(B45, [1]EFAY!$B:$B,[1]EFAY!$E:$E)</f>
        <v>NO TAG</v>
      </c>
      <c r="G45" t="s">
        <v>1094</v>
      </c>
      <c r="H45">
        <f>_xlfn.XLOOKUP(B45, [1]EFAY!$B:$B,[1]EFAY!$H:$H)</f>
        <v>3.04</v>
      </c>
      <c r="I45" t="str">
        <f>_xlfn.XLOOKUP(B45, [1]EFAY!$B:$B,[1]EFAY!$I:$I)</f>
        <v>JS-Janitorial and Stewarding</v>
      </c>
      <c r="J45" t="str">
        <f>_xlfn.XLOOKUP(B45, [1]EFAY!$B:$B,[1]EFAY!$J:$J)</f>
        <v>DWR-Dinnerware</v>
      </c>
      <c r="K45" t="str">
        <f>_xlfn.XLOOKUP(B45, [1]EFAY!$B:$B,[1]EFAY!$K:$K)</f>
        <v/>
      </c>
      <c r="L45" t="str">
        <f>_xlfn.XLOOKUP(B45, [1]EFAY!$B:$B,[1]EFAY!$L:$L)</f>
        <v>Terracotta 13.5x13.5x3cm Round Dish Red</v>
      </c>
      <c r="M45" s="3" t="s">
        <v>229</v>
      </c>
    </row>
    <row r="46" spans="1:13" x14ac:dyDescent="0.25">
      <c r="A46" t="str">
        <f>_xlfn.XLOOKUP(B46, [1]EFAY!$B:$B,[1]EFAY!$A:$A)</f>
        <v>5712-EDA-515904IV</v>
      </c>
      <c r="B46" s="3" t="s">
        <v>232</v>
      </c>
      <c r="C46" t="s">
        <v>1089</v>
      </c>
      <c r="D46" t="str">
        <f>_xlfn.XLOOKUP(B46, [1]EFAY!$B:$B,[1]EFAY!$D:$D)</f>
        <v>(WSL19)&lt;4171806&gt;#515904, 4'' MELAMINE PETIT DROP DISH, 100x70x24mm (IVORY)</v>
      </c>
      <c r="E46" t="str">
        <f>_xlfn.XLOOKUP(B46, [1]EFAY!$B:$B,[1]EFAY!$E:$E)</f>
        <v>WSL WITH STOCK</v>
      </c>
      <c r="G46" t="s">
        <v>1094</v>
      </c>
      <c r="H46">
        <f>_xlfn.XLOOKUP(B46, [1]EFAY!$B:$B,[1]EFAY!$H:$H)</f>
        <v>0.85</v>
      </c>
      <c r="I46" t="str">
        <f>_xlfn.XLOOKUP(B46, [1]EFAY!$B:$B,[1]EFAY!$I:$I)</f>
        <v>JS-Janitorial and Stewarding</v>
      </c>
      <c r="J46" t="str">
        <f>_xlfn.XLOOKUP(B46, [1]EFAY!$B:$B,[1]EFAY!$J:$J)</f>
        <v>DWR-Dinnerware</v>
      </c>
      <c r="K46" t="str">
        <f>_xlfn.XLOOKUP(B46, [1]EFAY!$B:$B,[1]EFAY!$K:$K)</f>
        <v/>
      </c>
      <c r="L46" t="str">
        <f>_xlfn.XLOOKUP(B46, [1]EFAY!$B:$B,[1]EFAY!$L:$L)</f>
        <v>#515904 Melamine 100x70x24mm 4" Petit Drop Dish Ivory</v>
      </c>
      <c r="M46" s="3" t="s">
        <v>171</v>
      </c>
    </row>
    <row r="47" spans="1:13" x14ac:dyDescent="0.25">
      <c r="A47" t="str">
        <f>_xlfn.XLOOKUP(B47, [1]EFAY!$B:$B,[1]EFAY!$A:$A)</f>
        <v>5712-GN-CB803206-WHT</v>
      </c>
      <c r="B47" s="3">
        <v>803206</v>
      </c>
      <c r="C47" t="s">
        <v>1089</v>
      </c>
      <c r="D47" t="str">
        <f>_xlfn.XLOOKUP(B47, [1]EFAY!$B:$B,[1]EFAY!$D:$D)</f>
        <v>#803206,1/2 SIZE,  325X253X150mm GN RECT CLOUD BOX (WHT)</v>
      </c>
      <c r="E47" t="str">
        <f>_xlfn.XLOOKUP(B47, [1]EFAY!$B:$B,[1]EFAY!$E:$E)</f>
        <v>NO TAG</v>
      </c>
      <c r="G47" t="s">
        <v>1094</v>
      </c>
      <c r="H47">
        <f>_xlfn.XLOOKUP(B47, [1]EFAY!$B:$B,[1]EFAY!$H:$H)</f>
        <v>63.87</v>
      </c>
      <c r="I47" t="str">
        <f>_xlfn.XLOOKUP(B47, [1]EFAY!$B:$B,[1]EFAY!$I:$I)</f>
        <v>JS-Janitorial and Stewarding</v>
      </c>
      <c r="J47" t="str">
        <f>_xlfn.XLOOKUP(B47, [1]EFAY!$B:$B,[1]EFAY!$J:$J)</f>
        <v>SS-Storage Solutions</v>
      </c>
      <c r="K47" t="str">
        <f>_xlfn.XLOOKUP(B47, [1]EFAY!$B:$B,[1]EFAY!$K:$K)</f>
        <v>FP-Food Pans</v>
      </c>
      <c r="L47" t="str">
        <f>_xlfn.XLOOKUP(B47, [1]EFAY!$B:$B,[1]EFAY!$L:$L)</f>
        <v>#803206 1/2 Size 325x253x150mm GN Rect Cloud Box White</v>
      </c>
      <c r="M47" s="3" t="s">
        <v>240</v>
      </c>
    </row>
    <row r="48" spans="1:13" x14ac:dyDescent="0.25">
      <c r="A48" t="str">
        <f>_xlfn.XLOOKUP(B48, [1]EFAY!$B:$B,[1]EFAY!$A:$A)</f>
        <v>5712-GN-CB803304-WHT</v>
      </c>
      <c r="B48" s="3">
        <v>803304</v>
      </c>
      <c r="C48" t="s">
        <v>1089</v>
      </c>
      <c r="D48" t="str">
        <f>_xlfn.XLOOKUP(B48, [1]EFAY!$B:$B,[1]EFAY!$D:$D)</f>
        <v>#803304, 1/3 SIZE,  325X173X100mm GN RECT CLOUD BOX (WHT)</v>
      </c>
      <c r="E48" t="str">
        <f>_xlfn.XLOOKUP(B48, [1]EFAY!$B:$B,[1]EFAY!$E:$E)</f>
        <v>NO TAG</v>
      </c>
      <c r="G48" t="s">
        <v>1094</v>
      </c>
      <c r="H48">
        <f>_xlfn.XLOOKUP(B48, [1]EFAY!$B:$B,[1]EFAY!$H:$H)</f>
        <v>55.63</v>
      </c>
      <c r="I48" t="str">
        <f>_xlfn.XLOOKUP(B48, [1]EFAY!$B:$B,[1]EFAY!$I:$I)</f>
        <v>JS-Janitorial and Stewarding</v>
      </c>
      <c r="J48" t="str">
        <f>_xlfn.XLOOKUP(B48, [1]EFAY!$B:$B,[1]EFAY!$J:$J)</f>
        <v>SS-Storage Solutions</v>
      </c>
      <c r="K48" t="str">
        <f>_xlfn.XLOOKUP(B48, [1]EFAY!$B:$B,[1]EFAY!$K:$K)</f>
        <v>FP-Food Pans</v>
      </c>
      <c r="L48" t="str">
        <f>_xlfn.XLOOKUP(B48, [1]EFAY!$B:$B,[1]EFAY!$L:$L)</f>
        <v>#803304 1/3 Size 325x173x100mm GN Rect Cloud Box White</v>
      </c>
      <c r="M48" s="3" t="s">
        <v>240</v>
      </c>
    </row>
    <row r="49" spans="1:13" x14ac:dyDescent="0.25">
      <c r="A49" t="str">
        <f>_xlfn.XLOOKUP(B49, [1]EFAY!$B:$B,[1]EFAY!$A:$A)</f>
        <v>5712-GN-CB803204-WHT</v>
      </c>
      <c r="B49" s="3">
        <v>803204</v>
      </c>
      <c r="C49" t="s">
        <v>1089</v>
      </c>
      <c r="D49" t="str">
        <f>_xlfn.XLOOKUP(B49, [1]EFAY!$B:$B,[1]EFAY!$D:$D)</f>
        <v>#803204,1/2 SIZE,  325X253X100mm GN RECT CLOUD BOX (WHT)</v>
      </c>
      <c r="E49" t="str">
        <f>_xlfn.XLOOKUP(B49, [1]EFAY!$B:$B,[1]EFAY!$E:$E)</f>
        <v>NO TAG</v>
      </c>
      <c r="G49" t="s">
        <v>1094</v>
      </c>
      <c r="H49">
        <f>_xlfn.XLOOKUP(B49, [1]EFAY!$B:$B,[1]EFAY!$H:$H)</f>
        <v>55.63</v>
      </c>
      <c r="I49" t="str">
        <f>_xlfn.XLOOKUP(B49, [1]EFAY!$B:$B,[1]EFAY!$I:$I)</f>
        <v>JS-Janitorial and Stewarding</v>
      </c>
      <c r="J49" t="str">
        <f>_xlfn.XLOOKUP(B49, [1]EFAY!$B:$B,[1]EFAY!$J:$J)</f>
        <v>SS-Storage Solutions</v>
      </c>
      <c r="K49" t="str">
        <f>_xlfn.XLOOKUP(B49, [1]EFAY!$B:$B,[1]EFAY!$K:$K)</f>
        <v>FP-Food Pans</v>
      </c>
      <c r="L49" t="str">
        <f>_xlfn.XLOOKUP(B49, [1]EFAY!$B:$B,[1]EFAY!$L:$L)</f>
        <v>#803204 1/2 Size 325x253x100mm GN Rect Cloud Box White</v>
      </c>
      <c r="M49" s="3" t="s">
        <v>240</v>
      </c>
    </row>
    <row r="50" spans="1:13" x14ac:dyDescent="0.25">
      <c r="A50" t="str">
        <f>_xlfn.XLOOKUP(B50, [1]EFAY!$B:$B,[1]EFAY!$A:$A)</f>
        <v>5712-GN-407811CP48</v>
      </c>
      <c r="B50" s="3" t="s">
        <v>250</v>
      </c>
      <c r="C50" t="s">
        <v>1089</v>
      </c>
      <c r="D50" t="str">
        <f>_xlfn.XLOOKUP(B50, [1]EFAY!$B:$B,[1]EFAY!$D:$D)</f>
        <v>(ID, MOQ:60) #407811-CP48, 1/1 GN BAKER TRAY, CANDY FLOSS</v>
      </c>
      <c r="E50" t="str">
        <f>_xlfn.XLOOKUP(B50, [1]EFAY!$B:$B,[1]EFAY!$E:$E)</f>
        <v>ID WITH STOCK</v>
      </c>
      <c r="G50" t="s">
        <v>1094</v>
      </c>
      <c r="H50">
        <f>_xlfn.XLOOKUP(B50, [1]EFAY!$B:$B,[1]EFAY!$H:$H)</f>
        <v>25.34</v>
      </c>
      <c r="I50" t="str">
        <f>_xlfn.XLOOKUP(B50, [1]EFAY!$B:$B,[1]EFAY!$I:$I)</f>
        <v>JS-Janitorial and Stewarding</v>
      </c>
      <c r="J50" t="str">
        <f>_xlfn.XLOOKUP(B50, [1]EFAY!$B:$B,[1]EFAY!$J:$J)</f>
        <v>BW-Bakeware</v>
      </c>
      <c r="K50" t="str">
        <f>_xlfn.XLOOKUP(B50, [1]EFAY!$B:$B,[1]EFAY!$K:$K)</f>
        <v>BPT-Baking Pans &amp; Trays</v>
      </c>
      <c r="L50" t="str">
        <f>_xlfn.XLOOKUP(B50, [1]EFAY!$B:$B,[1]EFAY!$L:$L)</f>
        <v>#407811-CP48 1/1 GN Baker Tray Candy Floss</v>
      </c>
      <c r="M50" s="3" t="s">
        <v>218</v>
      </c>
    </row>
    <row r="51" spans="1:13" x14ac:dyDescent="0.25">
      <c r="A51" t="str">
        <f>_xlfn.XLOOKUP(B51, [1]EFAY!$B:$B,[1]EFAY!$A:$A)</f>
        <v>5712-GN-407812CG39</v>
      </c>
      <c r="B51" s="3" t="s">
        <v>254</v>
      </c>
      <c r="C51" t="s">
        <v>1089</v>
      </c>
      <c r="D51" t="str">
        <f>_xlfn.XLOOKUP(B51, [1]EFAY!$B:$B,[1]EFAY!$D:$D)</f>
        <v>(ID, MOQ:72) #407812-CG39, 1/2 GN BAKER TRAY, THIN TERRAZZO</v>
      </c>
      <c r="E51" t="str">
        <f>_xlfn.XLOOKUP(B51, [1]EFAY!$B:$B,[1]EFAY!$E:$E)</f>
        <v>ID NO STOCK</v>
      </c>
      <c r="G51" t="s">
        <v>1094</v>
      </c>
      <c r="H51">
        <f>_xlfn.XLOOKUP(B51, [1]EFAY!$B:$B,[1]EFAY!$H:$H)</f>
        <v>11.31</v>
      </c>
      <c r="I51" t="str">
        <f>_xlfn.XLOOKUP(B51, [1]EFAY!$B:$B,[1]EFAY!$I:$I)</f>
        <v>JS-Janitorial and Stewarding</v>
      </c>
      <c r="J51" t="str">
        <f>_xlfn.XLOOKUP(B51, [1]EFAY!$B:$B,[1]EFAY!$J:$J)</f>
        <v>BW-Bakeware</v>
      </c>
      <c r="K51" t="str">
        <f>_xlfn.XLOOKUP(B51, [1]EFAY!$B:$B,[1]EFAY!$K:$K)</f>
        <v>BPT-Baking Pans &amp; Trays</v>
      </c>
      <c r="L51" t="str">
        <f>_xlfn.XLOOKUP(B51, [1]EFAY!$B:$B,[1]EFAY!$L:$L)</f>
        <v>407812-CG39 1/2 GN Baker Tray Thin Terrazzo</v>
      </c>
      <c r="M51" s="3" t="s">
        <v>218</v>
      </c>
    </row>
    <row r="52" spans="1:13" x14ac:dyDescent="0.25">
      <c r="A52" t="str">
        <f>_xlfn.XLOOKUP(B52, [1]EFAY!$B:$B,[1]EFAY!$A:$A)</f>
        <v>5712-GN-CB803406-WHT</v>
      </c>
      <c r="B52" s="3">
        <v>803406</v>
      </c>
      <c r="C52" t="s">
        <v>1089</v>
      </c>
      <c r="D52" t="str">
        <f>_xlfn.XLOOKUP(B52, [1]EFAY!$B:$B,[1]EFAY!$D:$D)</f>
        <v>#803406,2/4 SIZE, 530X150X150mm GN RECT CLOUD BOX (WHT)</v>
      </c>
      <c r="E52" t="str">
        <f>_xlfn.XLOOKUP(B52, [1]EFAY!$B:$B,[1]EFAY!$E:$E)</f>
        <v>NO TAG</v>
      </c>
      <c r="G52" t="s">
        <v>1094</v>
      </c>
      <c r="H52">
        <f>_xlfn.XLOOKUP(B52, [1]EFAY!$B:$B,[1]EFAY!$H:$H)</f>
        <v>66.62</v>
      </c>
      <c r="I52" t="str">
        <f>_xlfn.XLOOKUP(B52, [1]EFAY!$B:$B,[1]EFAY!$I:$I)</f>
        <v>JS-Janitorial and Stewarding</v>
      </c>
      <c r="J52" t="str">
        <f>_xlfn.XLOOKUP(B52, [1]EFAY!$B:$B,[1]EFAY!$J:$J)</f>
        <v>SS-Storage Solutions</v>
      </c>
      <c r="K52" t="str">
        <f>_xlfn.XLOOKUP(B52, [1]EFAY!$B:$B,[1]EFAY!$K:$K)</f>
        <v>FP-Food Pans</v>
      </c>
      <c r="L52" t="str">
        <f>_xlfn.XLOOKUP(B52, [1]EFAY!$B:$B,[1]EFAY!$L:$L)</f>
        <v>#803406 2/4 Size 530x150x150mm GN Rect Cloud Box White</v>
      </c>
      <c r="M52" s="3" t="s">
        <v>240</v>
      </c>
    </row>
    <row r="53" spans="1:13" x14ac:dyDescent="0.25">
      <c r="A53" t="str">
        <f>_xlfn.XLOOKUP(B53, [1]EFAY!$B:$B,[1]EFAY!$A:$A)</f>
        <v>5712-ETW-5025ER5</v>
      </c>
      <c r="B53" s="3" t="s">
        <v>114</v>
      </c>
      <c r="C53" t="s">
        <v>1089</v>
      </c>
      <c r="D53" t="str">
        <f>_xlfn.XLOOKUP(B53, [1]EFAY!$B:$B,[1]EFAY!$D:$D)</f>
        <v>&lt;4170550&gt;#5025, 50x25CM MELAMINE WOODY BOARD (OAK)</v>
      </c>
      <c r="E53" t="str">
        <f>_xlfn.XLOOKUP(B53, [1]EFAY!$B:$B,[1]EFAY!$E:$E)</f>
        <v>NO TAG</v>
      </c>
      <c r="G53" t="s">
        <v>1094</v>
      </c>
      <c r="H53">
        <f>_xlfn.XLOOKUP(B53, [1]EFAY!$B:$B,[1]EFAY!$H:$H)</f>
        <v>32.17</v>
      </c>
      <c r="I53" t="str">
        <f>_xlfn.XLOOKUP(B53, [1]EFAY!$B:$B,[1]EFAY!$I:$I)</f>
        <v>JS-Janitorial and Stewarding</v>
      </c>
      <c r="J53" t="str">
        <f>_xlfn.XLOOKUP(B53, [1]EFAY!$B:$B,[1]EFAY!$J:$J)</f>
        <v>SVW-Serveware</v>
      </c>
      <c r="K53" t="str">
        <f>_xlfn.XLOOKUP(B53, [1]EFAY!$B:$B,[1]EFAY!$K:$K)</f>
        <v>BBC-Bread Boards/Charcuterie Boards</v>
      </c>
      <c r="L53" t="str">
        <f>_xlfn.XLOOKUP(B53, [1]EFAY!$B:$B,[1]EFAY!$L:$L)</f>
        <v>#5025 Melamine 50x25cm Woody Board Oak</v>
      </c>
      <c r="M53" s="3" t="s">
        <v>270</v>
      </c>
    </row>
    <row r="54" spans="1:13" x14ac:dyDescent="0.25">
      <c r="A54" t="str">
        <f>_xlfn.XLOOKUP(B54, [1]EFAY!$B:$B,[1]EFAY!$A:$A)</f>
        <v>5712-ETW-2515ER5</v>
      </c>
      <c r="B54" s="3" t="s">
        <v>113</v>
      </c>
      <c r="C54" t="s">
        <v>1089</v>
      </c>
      <c r="D54" t="str">
        <f>_xlfn.XLOOKUP(B54, [1]EFAY!$B:$B,[1]EFAY!$D:$D)</f>
        <v>&lt;4170525&gt; #2515, 25x15CM MELAMINE WOODY BOARD (OAK)</v>
      </c>
      <c r="E54" t="str">
        <f>_xlfn.XLOOKUP(B54, [1]EFAY!$B:$B,[1]EFAY!$E:$E)</f>
        <v>NO TAG</v>
      </c>
      <c r="G54" t="s">
        <v>1094</v>
      </c>
      <c r="H54">
        <f>_xlfn.XLOOKUP(B54, [1]EFAY!$B:$B,[1]EFAY!$H:$H)</f>
        <v>11.82</v>
      </c>
      <c r="I54" t="str">
        <f>_xlfn.XLOOKUP(B54, [1]EFAY!$B:$B,[1]EFAY!$I:$I)</f>
        <v>JS-Janitorial and Stewarding</v>
      </c>
      <c r="J54" t="str">
        <f>_xlfn.XLOOKUP(B54, [1]EFAY!$B:$B,[1]EFAY!$J:$J)</f>
        <v>SVW-Serveware</v>
      </c>
      <c r="K54" t="str">
        <f>_xlfn.XLOOKUP(B54, [1]EFAY!$B:$B,[1]EFAY!$K:$K)</f>
        <v>BBC-Bread Boards/Charcuterie Boards</v>
      </c>
      <c r="L54" t="str">
        <f>_xlfn.XLOOKUP(B54, [1]EFAY!$B:$B,[1]EFAY!$L:$L)</f>
        <v>#2515 Melamine 25x15cm Woody Board Oak</v>
      </c>
      <c r="M54" s="3" t="s">
        <v>274</v>
      </c>
    </row>
    <row r="55" spans="1:13" x14ac:dyDescent="0.25">
      <c r="A55" t="str">
        <f>_xlfn.XLOOKUP(B55, [1]EFAY!$B:$B,[1]EFAY!$A:$A)</f>
        <v>5712-EDA-515510IV</v>
      </c>
      <c r="B55" s="3" t="s">
        <v>277</v>
      </c>
      <c r="C55" t="s">
        <v>1089</v>
      </c>
      <c r="D55" t="str">
        <f>_xlfn.XLOOKUP(B55, [1]EFAY!$B:$B,[1]EFAY!$D:$D)</f>
        <v>(WSL20) &lt;4170810&gt;(BLK STAND SOLD SEPARATELY)  #515510, 10" MELAMINE GEOMETRY CONE CUP (IVORY)</v>
      </c>
      <c r="E55" t="str">
        <f>_xlfn.XLOOKUP(B55, [1]EFAY!$B:$B,[1]EFAY!$E:$E)</f>
        <v>WSL WITH STOCK</v>
      </c>
      <c r="G55" t="s">
        <v>1094</v>
      </c>
      <c r="H55">
        <f>_xlfn.XLOOKUP(B55, [1]EFAY!$B:$B,[1]EFAY!$H:$H)</f>
        <v>5.55</v>
      </c>
      <c r="I55" t="str">
        <f>_xlfn.XLOOKUP(B55, [1]EFAY!$B:$B,[1]EFAY!$I:$I)</f>
        <v>JS-Janitorial and Stewarding</v>
      </c>
      <c r="J55" t="str">
        <f>_xlfn.XLOOKUP(B55, [1]EFAY!$B:$B,[1]EFAY!$J:$J)</f>
        <v>BWR-Beverageware</v>
      </c>
      <c r="K55" t="str">
        <f>_xlfn.XLOOKUP(B55, [1]EFAY!$B:$B,[1]EFAY!$K:$K)</f>
        <v>CM-Cup/Mugs</v>
      </c>
      <c r="L55" t="str">
        <f>_xlfn.XLOOKUP(B55, [1]EFAY!$B:$B,[1]EFAY!$L:$L)</f>
        <v>#515510 Melamine 10" Geometry Cone Cup Ivory</v>
      </c>
      <c r="M55" s="3" t="s">
        <v>279</v>
      </c>
    </row>
    <row r="56" spans="1:13" x14ac:dyDescent="0.25">
      <c r="A56" t="str">
        <f>_xlfn.XLOOKUP(B56, [1]EFAY!$B:$B,[1]EFAY!$A:$A)</f>
        <v>5712-EDA-515508IV</v>
      </c>
      <c r="B56" s="3" t="s">
        <v>282</v>
      </c>
      <c r="C56" t="s">
        <v>1089</v>
      </c>
      <c r="D56" t="str">
        <f>_xlfn.XLOOKUP(B56, [1]EFAY!$B:$B,[1]EFAY!$D:$D)</f>
        <v>(WSL20) &lt;4170808&gt;(BLK STAND SOLD SEPARATELY) #515508, 8" MELAMINE GEOMETRY CONE CUP (IVORY)</v>
      </c>
      <c r="E56" t="str">
        <f>_xlfn.XLOOKUP(B56, [1]EFAY!$B:$B,[1]EFAY!$E:$E)</f>
        <v>WSL WITH STOCK</v>
      </c>
      <c r="G56" t="s">
        <v>1094</v>
      </c>
      <c r="H56">
        <f>_xlfn.XLOOKUP(B56, [1]EFAY!$B:$B,[1]EFAY!$H:$H)</f>
        <v>3.94</v>
      </c>
      <c r="I56" t="str">
        <f>_xlfn.XLOOKUP(B56, [1]EFAY!$B:$B,[1]EFAY!$I:$I)</f>
        <v>JS-Janitorial and Stewarding</v>
      </c>
      <c r="J56" t="str">
        <f>_xlfn.XLOOKUP(B56, [1]EFAY!$B:$B,[1]EFAY!$J:$J)</f>
        <v>BWR-Beverageware</v>
      </c>
      <c r="K56" t="str">
        <f>_xlfn.XLOOKUP(B56, [1]EFAY!$B:$B,[1]EFAY!$K:$K)</f>
        <v>CM-Cup/Mugs</v>
      </c>
      <c r="L56" t="str">
        <f>_xlfn.XLOOKUP(B56, [1]EFAY!$B:$B,[1]EFAY!$L:$L)</f>
        <v>#515508 Melamine 8" Geometry Cone Cup Ivory</v>
      </c>
      <c r="M56" s="3" t="s">
        <v>284</v>
      </c>
    </row>
    <row r="57" spans="1:13" x14ac:dyDescent="0.25">
      <c r="A57" t="str">
        <f>_xlfn.XLOOKUP(B57, [1]EFAY!$B:$B,[1]EFAY!$A:$A)</f>
        <v>5712-590706-BK</v>
      </c>
      <c r="B57" s="3" t="s">
        <v>287</v>
      </c>
      <c r="C57" t="s">
        <v>1089</v>
      </c>
      <c r="D57" t="str">
        <f>_xlfn.XLOOKUP(B57, [1]EFAY!$B:$B,[1]EFAY!$D:$D)</f>
        <v>-MUST SELL BY PKT- L:14XW:7.8XHT:0.085cm, OVAL SIGNAGE STICK (6PCS/PKT)(BLACK) (SELL BY PKT)</v>
      </c>
      <c r="E57" t="str">
        <f>_xlfn.XLOOKUP(B57, [1]EFAY!$B:$B,[1]EFAY!$E:$E)</f>
        <v>NO TAG</v>
      </c>
      <c r="G57" t="s">
        <v>1094</v>
      </c>
      <c r="H57">
        <f>_xlfn.XLOOKUP(B57, [1]EFAY!$B:$B,[1]EFAY!$H:$H)</f>
        <v>10.17</v>
      </c>
      <c r="I57" t="str">
        <f>_xlfn.XLOOKUP(B57, [1]EFAY!$B:$B,[1]EFAY!$I:$I)</f>
        <v>JS-Janitorial and Stewarding</v>
      </c>
      <c r="J57" t="str">
        <f>_xlfn.XLOOKUP(B57, [1]EFAY!$B:$B,[1]EFAY!$J:$J)</f>
        <v>SM-Signage &amp; Miscellaneous</v>
      </c>
      <c r="K57" t="str">
        <f>_xlfn.XLOOKUP(B57, [1]EFAY!$B:$B,[1]EFAY!$K:$K)</f>
        <v>SGN-Signage</v>
      </c>
      <c r="L57" t="str">
        <f>_xlfn.XLOOKUP(B57, [1]EFAY!$B:$B,[1]EFAY!$L:$L)</f>
        <v>L14xW7.8xH0.085cm Oval Signage Stick Black</v>
      </c>
      <c r="M57" s="3" t="s">
        <v>289</v>
      </c>
    </row>
    <row r="58" spans="1:13" x14ac:dyDescent="0.25">
      <c r="A58" t="str">
        <f>_xlfn.XLOOKUP(B58, [1]EFAY!$B:$B,[1]EFAY!$A:$A)</f>
        <v>5712-590606-BK</v>
      </c>
      <c r="B58" s="3" t="s">
        <v>292</v>
      </c>
      <c r="C58" t="s">
        <v>1089</v>
      </c>
      <c r="D58" t="str">
        <f>_xlfn.XLOOKUP(B58, [1]EFAY!$B:$B,[1]EFAY!$D:$D)</f>
        <v>-MUST SELL BY PKT- L:14XW:7.8XHT:0.085cm, RECTANGLE SIGNAGE STICK (6PCS/PKT)(BLACK) (SELL BY PKT)</v>
      </c>
      <c r="E58" t="str">
        <f>_xlfn.XLOOKUP(B58, [1]EFAY!$B:$B,[1]EFAY!$E:$E)</f>
        <v>NO TAG</v>
      </c>
      <c r="G58" t="s">
        <v>1094</v>
      </c>
      <c r="H58">
        <f>_xlfn.XLOOKUP(B58, [1]EFAY!$B:$B,[1]EFAY!$H:$H)</f>
        <v>10.17</v>
      </c>
      <c r="I58" t="str">
        <f>_xlfn.XLOOKUP(B58, [1]EFAY!$B:$B,[1]EFAY!$I:$I)</f>
        <v>JS-Janitorial and Stewarding</v>
      </c>
      <c r="J58" t="str">
        <f>_xlfn.XLOOKUP(B58, [1]EFAY!$B:$B,[1]EFAY!$J:$J)</f>
        <v>SM-Signage &amp; Miscellaneous</v>
      </c>
      <c r="K58" t="str">
        <f>_xlfn.XLOOKUP(B58, [1]EFAY!$B:$B,[1]EFAY!$K:$K)</f>
        <v>SGN-Signage</v>
      </c>
      <c r="L58" t="str">
        <f>_xlfn.XLOOKUP(B58, [1]EFAY!$B:$B,[1]EFAY!$L:$L)</f>
        <v>L14xW7.8xH0.085cm Rectangle Signage Stick Black</v>
      </c>
      <c r="M58" s="3" t="s">
        <v>289</v>
      </c>
    </row>
    <row r="59" spans="1:13" x14ac:dyDescent="0.25">
      <c r="A59" t="str">
        <f>_xlfn.XLOOKUP(B59, [1]EFAY!$B:$B,[1]EFAY!$A:$A)</f>
        <v>5712-WOOD-407716-BK</v>
      </c>
      <c r="B59" s="3" t="s">
        <v>299</v>
      </c>
      <c r="C59" t="s">
        <v>1089</v>
      </c>
      <c r="D59" t="str">
        <f>_xlfn.XLOOKUP(B59, [1]EFAY!$B:$B,[1]EFAY!$D:$D)</f>
        <v>#407716BK, L:40xW:30cm RECT. WOODY BAKER PASTRY TRAY</v>
      </c>
      <c r="E59" t="str">
        <f>_xlfn.XLOOKUP(B59, [1]EFAY!$B:$B,[1]EFAY!$E:$E)</f>
        <v>NO TAG</v>
      </c>
      <c r="G59" t="s">
        <v>1094</v>
      </c>
      <c r="H59">
        <f>_xlfn.XLOOKUP(B59, [1]EFAY!$B:$B,[1]EFAY!$H:$H)</f>
        <v>16.14</v>
      </c>
      <c r="I59" t="str">
        <f>_xlfn.XLOOKUP(B59, [1]EFAY!$B:$B,[1]EFAY!$I:$I)</f>
        <v>JS-Janitorial and Stewarding</v>
      </c>
      <c r="J59" t="str">
        <f>_xlfn.XLOOKUP(B59, [1]EFAY!$B:$B,[1]EFAY!$J:$J)</f>
        <v>BW-Bakeware</v>
      </c>
      <c r="K59" t="str">
        <f>_xlfn.XLOOKUP(B59, [1]EFAY!$B:$B,[1]EFAY!$K:$K)</f>
        <v>BPT-Baking Pans &amp; Trays</v>
      </c>
      <c r="L59" t="str">
        <f>_xlfn.XLOOKUP(B59, [1]EFAY!$B:$B,[1]EFAY!$L:$L)</f>
        <v>#407716BK L40xW30cm Woody Baker Rectangular Pastry Tray</v>
      </c>
      <c r="M59" s="3" t="s">
        <v>294</v>
      </c>
    </row>
    <row r="60" spans="1:13" x14ac:dyDescent="0.25">
      <c r="A60" t="str">
        <f>_xlfn.XLOOKUP(B60, [1]EFAY!$B:$B,[1]EFAY!$A:$A)</f>
        <v>5712-BAK-407512-BK</v>
      </c>
      <c r="B60" s="3" t="s">
        <v>208</v>
      </c>
      <c r="C60" t="s">
        <v>1089</v>
      </c>
      <c r="D60" t="e">
        <f>_xlfn.XLOOKUP(B60, [1]EFAY!$B:$B,[1]EFAY!$D:$D)</f>
        <v>#VALUE!</v>
      </c>
      <c r="E60" t="str">
        <f>_xlfn.XLOOKUP(B60, [1]EFAY!$B:$B,[1]EFAY!$E:$E)</f>
        <v>NO TAG</v>
      </c>
      <c r="G60" t="s">
        <v>1094</v>
      </c>
      <c r="H60">
        <f>_xlfn.XLOOKUP(B60, [1]EFAY!$B:$B,[1]EFAY!$H:$H)</f>
        <v>7.44</v>
      </c>
      <c r="I60" t="str">
        <f>_xlfn.XLOOKUP(B60, [1]EFAY!$B:$B,[1]EFAY!$I:$I)</f>
        <v>JS-Janitorial and Stewarding</v>
      </c>
      <c r="J60" t="str">
        <f>_xlfn.XLOOKUP(B60, [1]EFAY!$B:$B,[1]EFAY!$J:$J)</f>
        <v>BW-Bakeware</v>
      </c>
      <c r="K60" t="str">
        <f>_xlfn.XLOOKUP(B60, [1]EFAY!$B:$B,[1]EFAY!$K:$K)</f>
        <v>BPT-Baking Pans &amp; Trays</v>
      </c>
      <c r="L60" t="str">
        <f>_xlfn.XLOOKUP(B60, [1]EFAY!$B:$B,[1]EFAY!$L:$L)</f>
        <v>L30xW20cm Rectangular Woody Baker Pastry Tray Black</v>
      </c>
      <c r="M60" s="3" t="s">
        <v>295</v>
      </c>
    </row>
    <row r="61" spans="1:13" x14ac:dyDescent="0.25">
      <c r="A61" t="str">
        <f>_xlfn.XLOOKUP(B61, [1]EFAY!$B:$B,[1]EFAY!$A:$A)</f>
        <v>5712-WOOD-407412/BK</v>
      </c>
      <c r="B61" s="3" t="s">
        <v>209</v>
      </c>
      <c r="C61" t="s">
        <v>1089</v>
      </c>
      <c r="D61" t="str">
        <f>_xlfn.XLOOKUP(B61, [1]EFAY!$B:$B,[1]EFAY!$D:$D)</f>
        <v>#407412BK, L:30xW:15cm RECT. WOODY BAKER PASTRY TRAY</v>
      </c>
      <c r="E61" t="str">
        <f>_xlfn.XLOOKUP(B61, [1]EFAY!$B:$B,[1]EFAY!$E:$E)</f>
        <v>NO TAG</v>
      </c>
      <c r="G61" t="s">
        <v>1094</v>
      </c>
      <c r="H61">
        <f>_xlfn.XLOOKUP(B61, [1]EFAY!$B:$B,[1]EFAY!$H:$H)</f>
        <v>6.03</v>
      </c>
      <c r="I61" t="str">
        <f>_xlfn.XLOOKUP(B61, [1]EFAY!$B:$B,[1]EFAY!$I:$I)</f>
        <v>JS-Janitorial and Stewarding</v>
      </c>
      <c r="J61" t="str">
        <f>_xlfn.XLOOKUP(B61, [1]EFAY!$B:$B,[1]EFAY!$J:$J)</f>
        <v>BW-Bakeware</v>
      </c>
      <c r="K61" t="str">
        <f>_xlfn.XLOOKUP(B61, [1]EFAY!$B:$B,[1]EFAY!$K:$K)</f>
        <v>BPT-Baking Pans &amp; Trays</v>
      </c>
      <c r="L61" t="str">
        <f>_xlfn.XLOOKUP(B61, [1]EFAY!$B:$B,[1]EFAY!$L:$L)</f>
        <v>#407412B L30xW15cmWoody Baker Rectangular Pastry Tray</v>
      </c>
      <c r="M61" s="3" t="s">
        <v>296</v>
      </c>
    </row>
    <row r="62" spans="1:13" x14ac:dyDescent="0.25">
      <c r="A62" t="str">
        <f>_xlfn.XLOOKUP(B62, [1]EFAY!$B:$B,[1]EFAY!$A:$A)</f>
        <v>5712-CPT-408717OR</v>
      </c>
      <c r="B62" s="3" t="s">
        <v>314</v>
      </c>
      <c r="C62" t="s">
        <v>1089</v>
      </c>
      <c r="D62" t="str">
        <f>_xlfn.XLOOKUP(B62, [1]EFAY!$B:$B,[1]EFAY!$D:$D)</f>
        <v>(WSL19)L:30XW:40XHT:1.8cm, RECT. CRYSTAL PASTRY TRAY (ORANGE)</v>
      </c>
      <c r="E62" t="str">
        <f>_xlfn.XLOOKUP(B62, [1]EFAY!$B:$B,[1]EFAY!$E:$E)</f>
        <v>WSL WITH STOCK</v>
      </c>
      <c r="G62" t="s">
        <v>1094</v>
      </c>
      <c r="H62">
        <f>_xlfn.XLOOKUP(B62, [1]EFAY!$B:$B,[1]EFAY!$H:$H)</f>
        <v>93.5</v>
      </c>
      <c r="I62" t="str">
        <f>_xlfn.XLOOKUP(B62, [1]EFAY!$B:$B,[1]EFAY!$I:$I)</f>
        <v>JS-Janitorial and Stewarding</v>
      </c>
      <c r="J62" t="str">
        <f>_xlfn.XLOOKUP(B62, [1]EFAY!$B:$B,[1]EFAY!$J:$J)</f>
        <v>SVW-Serveware</v>
      </c>
      <c r="K62" t="str">
        <f>_xlfn.XLOOKUP(B62, [1]EFAY!$B:$B,[1]EFAY!$K:$K)</f>
        <v>MSA-Miscellaneous Serving Accessories</v>
      </c>
      <c r="L62" t="str">
        <f>_xlfn.XLOOKUP(B62, [1]EFAY!$B:$B,[1]EFAY!$L:$L)</f>
        <v>L30xW40xH1.8cm Rectangular Crystal Pastry Tray Orange</v>
      </c>
      <c r="M62" s="3" t="s">
        <v>308</v>
      </c>
    </row>
    <row r="63" spans="1:13" x14ac:dyDescent="0.25">
      <c r="A63" t="str">
        <f>_xlfn.XLOOKUP(B63, [1]EFAY!$B:$B,[1]EFAY!$A:$A)</f>
        <v>5712-CPT-408612OR</v>
      </c>
      <c r="B63" s="3" t="s">
        <v>318</v>
      </c>
      <c r="C63" t="s">
        <v>1089</v>
      </c>
      <c r="D63" t="str">
        <f>_xlfn.XLOOKUP(B63, [1]EFAY!$B:$B,[1]EFAY!$D:$D)</f>
        <v>(WSL19)L:30XW:30XHT:1.8cm, SQUARE CRYSTAL PASTRY TRAY (ORANGE)</v>
      </c>
      <c r="E63" t="str">
        <f>_xlfn.XLOOKUP(B63, [1]EFAY!$B:$B,[1]EFAY!$E:$E)</f>
        <v>WSL WITH STOCK</v>
      </c>
      <c r="G63" t="s">
        <v>1094</v>
      </c>
      <c r="H63">
        <f>_xlfn.XLOOKUP(B63, [1]EFAY!$B:$B,[1]EFAY!$H:$H)</f>
        <v>86.75</v>
      </c>
      <c r="I63" t="str">
        <f>_xlfn.XLOOKUP(B63, [1]EFAY!$B:$B,[1]EFAY!$I:$I)</f>
        <v>JS-Janitorial and Stewarding</v>
      </c>
      <c r="J63" t="str">
        <f>_xlfn.XLOOKUP(B63, [1]EFAY!$B:$B,[1]EFAY!$J:$J)</f>
        <v>SVW-Serveware</v>
      </c>
      <c r="K63" t="str">
        <f>_xlfn.XLOOKUP(B63, [1]EFAY!$B:$B,[1]EFAY!$K:$K)</f>
        <v>DRA-Display Risers, Stands &amp; Accessories</v>
      </c>
      <c r="L63" t="str">
        <f>_xlfn.XLOOKUP(B63, [1]EFAY!$B:$B,[1]EFAY!$L:$L)</f>
        <v>L30xW30xH1.8cm Square Crystal Pastry Tray Orange</v>
      </c>
      <c r="M63" s="3" t="s">
        <v>309</v>
      </c>
    </row>
    <row r="64" spans="1:13" x14ac:dyDescent="0.25">
      <c r="A64" t="str">
        <f>_xlfn.XLOOKUP(B64, [1]EFAY!$B:$B,[1]EFAY!$A:$A)</f>
        <v>5712-CPT-408512OR</v>
      </c>
      <c r="B64" s="3" t="s">
        <v>322</v>
      </c>
      <c r="C64" t="s">
        <v>1089</v>
      </c>
      <c r="D64" t="str">
        <f>_xlfn.XLOOKUP(B64, [1]EFAY!$B:$B,[1]EFAY!$D:$D)</f>
        <v>(WSL19)L:30XW:20XHT:1.8cm, RECT. CRYSTAL PASTRY TRAY (ORANGE)</v>
      </c>
      <c r="E64" t="str">
        <f>_xlfn.XLOOKUP(B64, [1]EFAY!$B:$B,[1]EFAY!$E:$E)</f>
        <v>WSL WITH STOCK</v>
      </c>
      <c r="G64" t="s">
        <v>1094</v>
      </c>
      <c r="H64">
        <f>_xlfn.XLOOKUP(B64, [1]EFAY!$B:$B,[1]EFAY!$H:$H)</f>
        <v>51.48</v>
      </c>
      <c r="I64" t="str">
        <f>_xlfn.XLOOKUP(B64, [1]EFAY!$B:$B,[1]EFAY!$I:$I)</f>
        <v>JS-Janitorial and Stewarding</v>
      </c>
      <c r="J64" t="str">
        <f>_xlfn.XLOOKUP(B64, [1]EFAY!$B:$B,[1]EFAY!$J:$J)</f>
        <v>SVW-Serveware</v>
      </c>
      <c r="K64" t="str">
        <f>_xlfn.XLOOKUP(B64, [1]EFAY!$B:$B,[1]EFAY!$K:$K)</f>
        <v>DRA-Display Risers, Stands &amp; Accessories</v>
      </c>
      <c r="L64" t="str">
        <f>_xlfn.XLOOKUP(B64, [1]EFAY!$B:$B,[1]EFAY!$L:$L)</f>
        <v>L30xW20xH1.8cm Rectangular Crystal Pastry Tray Orang</v>
      </c>
      <c r="M64" s="3" t="s">
        <v>310</v>
      </c>
    </row>
    <row r="65" spans="1:13" x14ac:dyDescent="0.25">
      <c r="A65" t="str">
        <f>_xlfn.XLOOKUP(B65, [1]EFAY!$B:$B,[1]EFAY!$A:$A)</f>
        <v>5712-CPT-408412OR</v>
      </c>
      <c r="B65" s="3" t="s">
        <v>326</v>
      </c>
      <c r="C65" t="s">
        <v>1089</v>
      </c>
      <c r="D65" t="str">
        <f>_xlfn.XLOOKUP(B65, [1]EFAY!$B:$B,[1]EFAY!$D:$D)</f>
        <v>(WSL19)L:30XW:15XHT:1.8cm, RECT. CRYSTAL PASTRY TRAY (ORANGE)</v>
      </c>
      <c r="E65" t="str">
        <f>_xlfn.XLOOKUP(B65, [1]EFAY!$B:$B,[1]EFAY!$E:$E)</f>
        <v>WSL WITH STOCK</v>
      </c>
      <c r="G65" t="s">
        <v>1094</v>
      </c>
      <c r="H65">
        <f>_xlfn.XLOOKUP(B65, [1]EFAY!$B:$B,[1]EFAY!$H:$H)</f>
        <v>42.3</v>
      </c>
      <c r="I65" t="str">
        <f>_xlfn.XLOOKUP(B65, [1]EFAY!$B:$B,[1]EFAY!$I:$I)</f>
        <v>JS-Janitorial and Stewarding</v>
      </c>
      <c r="J65" t="str">
        <f>_xlfn.XLOOKUP(B65, [1]EFAY!$B:$B,[1]EFAY!$J:$J)</f>
        <v>SVW-Serveware</v>
      </c>
      <c r="K65" t="str">
        <f>_xlfn.XLOOKUP(B65, [1]EFAY!$B:$B,[1]EFAY!$K:$K)</f>
        <v>DRA-Display Risers, Stands &amp; Accessories</v>
      </c>
      <c r="L65" t="str">
        <f>_xlfn.XLOOKUP(B65, [1]EFAY!$B:$B,[1]EFAY!$L:$L)</f>
        <v>L30xW15xH1.8cm Rectangular Crystal Pastry Tray Orange</v>
      </c>
      <c r="M65" s="3" t="s">
        <v>311</v>
      </c>
    </row>
    <row r="66" spans="1:13" x14ac:dyDescent="0.25">
      <c r="A66" t="str">
        <f>_xlfn.XLOOKUP(B66, [1]EFAY!$B:$B,[1]EFAY!$A:$A)</f>
        <v>5712-MELA-406613ERS</v>
      </c>
      <c r="B66" s="3" t="s">
        <v>10</v>
      </c>
      <c r="C66" t="s">
        <v>1089</v>
      </c>
      <c r="D66" t="str">
        <f>_xlfn.XLOOKUP(B66, [1]EFAY!$B:$B,[1]EFAY!$D:$D)</f>
        <v>#406613, DIA 13"/32.5cm RD MELA BOARD (OAK) EARTH</v>
      </c>
      <c r="E66" t="str">
        <f>_xlfn.XLOOKUP(B66, [1]EFAY!$B:$B,[1]EFAY!$E:$E)</f>
        <v>NO TAG</v>
      </c>
      <c r="G66" t="s">
        <v>1094</v>
      </c>
      <c r="H66">
        <f>_xlfn.XLOOKUP(B66, [1]EFAY!$B:$B,[1]EFAY!$H:$H)</f>
        <v>16.29</v>
      </c>
      <c r="I66" t="str">
        <f>_xlfn.XLOOKUP(B66, [1]EFAY!$B:$B,[1]EFAY!$I:$I)</f>
        <v>JS-Janitorial and Stewarding</v>
      </c>
      <c r="J66" t="str">
        <f>_xlfn.XLOOKUP(B66, [1]EFAY!$B:$B,[1]EFAY!$J:$J)</f>
        <v>SVW-Serveware</v>
      </c>
      <c r="K66" t="str">
        <f>_xlfn.XLOOKUP(B66, [1]EFAY!$B:$B,[1]EFAY!$K:$K)</f>
        <v>BBC-Bread Boards/Charcuterie Boards</v>
      </c>
      <c r="L66" t="str">
        <f>_xlfn.XLOOKUP(B66, [1]EFAY!$B:$B,[1]EFAY!$L:$L)</f>
        <v>#406613 Ø13"/32.5cm Round Mela Board Earth Oak</v>
      </c>
      <c r="M66" s="3" t="s">
        <v>331</v>
      </c>
    </row>
    <row r="67" spans="1:13" x14ac:dyDescent="0.25">
      <c r="A67" t="str">
        <f>_xlfn.XLOOKUP(B67, [1]EFAY!$B:$B,[1]EFAY!$A:$A)</f>
        <v>5712-MELA-406717ERS</v>
      </c>
      <c r="B67" s="3" t="s">
        <v>7</v>
      </c>
      <c r="C67" t="s">
        <v>1089</v>
      </c>
      <c r="D67" t="str">
        <f>_xlfn.XLOOKUP(B67, [1]EFAY!$B:$B,[1]EFAY!$D:$D)</f>
        <v>#406717, L:44xW:32.5cm RECT. MELA BOARD (OAK) EARTH</v>
      </c>
      <c r="E67" t="str">
        <f>_xlfn.XLOOKUP(B67, [1]EFAY!$B:$B,[1]EFAY!$E:$E)</f>
        <v>NO TAG</v>
      </c>
      <c r="G67" t="s">
        <v>1094</v>
      </c>
      <c r="H67">
        <f>_xlfn.XLOOKUP(B67, [1]EFAY!$B:$B,[1]EFAY!$H:$H)</f>
        <v>22.81</v>
      </c>
      <c r="I67" t="str">
        <f>_xlfn.XLOOKUP(B67, [1]EFAY!$B:$B,[1]EFAY!$I:$I)</f>
        <v>JS-Janitorial and Stewarding</v>
      </c>
      <c r="J67" t="str">
        <f>_xlfn.XLOOKUP(B67, [1]EFAY!$B:$B,[1]EFAY!$J:$J)</f>
        <v>SVW-Serveware</v>
      </c>
      <c r="K67" t="str">
        <f>_xlfn.XLOOKUP(B67, [1]EFAY!$B:$B,[1]EFAY!$K:$K)</f>
        <v>BBC-Bread Boards/Charcuterie Boards</v>
      </c>
      <c r="L67" t="str">
        <f>_xlfn.XLOOKUP(B67, [1]EFAY!$B:$B,[1]EFAY!$L:$L)</f>
        <v>#406717 L44xW32.5cm Rectangular Mela Board Earth Oak</v>
      </c>
      <c r="M67" s="3" t="s">
        <v>335</v>
      </c>
    </row>
    <row r="68" spans="1:13" x14ac:dyDescent="0.25">
      <c r="A68" t="str">
        <f>_xlfn.XLOOKUP(B68, [1]EFAY!$B:$B,[1]EFAY!$A:$A)</f>
        <v>5712-MELA-406610ERS</v>
      </c>
      <c r="B68" s="3" t="s">
        <v>9</v>
      </c>
      <c r="C68" t="s">
        <v>1089</v>
      </c>
      <c r="D68" t="str">
        <f>_xlfn.XLOOKUP(B68, [1]EFAY!$B:$B,[1]EFAY!$D:$D)</f>
        <v>#406610, DIA 10"/25cm RD MELA BOARD (OAK) EARTH</v>
      </c>
      <c r="E68" t="str">
        <f>_xlfn.XLOOKUP(B68, [1]EFAY!$B:$B,[1]EFAY!$E:$E)</f>
        <v>NO TAG</v>
      </c>
      <c r="G68" t="s">
        <v>1094</v>
      </c>
      <c r="H68">
        <f>_xlfn.XLOOKUP(B68, [1]EFAY!$B:$B,[1]EFAY!$H:$H)</f>
        <v>11.12</v>
      </c>
      <c r="I68" t="str">
        <f>_xlfn.XLOOKUP(B68, [1]EFAY!$B:$B,[1]EFAY!$I:$I)</f>
        <v>JS-Janitorial and Stewarding</v>
      </c>
      <c r="J68" t="str">
        <f>_xlfn.XLOOKUP(B68, [1]EFAY!$B:$B,[1]EFAY!$J:$J)</f>
        <v>SVW-Serveware</v>
      </c>
      <c r="K68" t="str">
        <f>_xlfn.XLOOKUP(B68, [1]EFAY!$B:$B,[1]EFAY!$K:$K)</f>
        <v>BBC-Bread Boards/Charcuterie Boards</v>
      </c>
      <c r="L68" t="str">
        <f>_xlfn.XLOOKUP(B68, [1]EFAY!$B:$B,[1]EFAY!$L:$L)</f>
        <v>#406610 Ø10"/25cm Round Mela Board Earth Oak</v>
      </c>
      <c r="M68" s="3" t="s">
        <v>339</v>
      </c>
    </row>
    <row r="69" spans="1:13" x14ac:dyDescent="0.25">
      <c r="A69" t="str">
        <f>_xlfn.XLOOKUP(B69, [1]EFAY!$B:$B,[1]EFAY!$A:$A)</f>
        <v>5712-MELA-406713ERS</v>
      </c>
      <c r="B69" s="3" t="s">
        <v>6</v>
      </c>
      <c r="C69" t="s">
        <v>1089</v>
      </c>
      <c r="D69" t="str">
        <f>_xlfn.XLOOKUP(B69, [1]EFAY!$B:$B,[1]EFAY!$D:$D)</f>
        <v>#406713, L:32.5xW:20cm RECT. MELA BOARD (OAK) EARTH</v>
      </c>
      <c r="E69" t="str">
        <f>_xlfn.XLOOKUP(B69, [1]EFAY!$B:$B,[1]EFAY!$E:$E)</f>
        <v>NO TAG</v>
      </c>
      <c r="G69" t="s">
        <v>1094</v>
      </c>
      <c r="H69">
        <f>_xlfn.XLOOKUP(B69, [1]EFAY!$B:$B,[1]EFAY!$H:$H)</f>
        <v>12.92</v>
      </c>
      <c r="I69" t="str">
        <f>_xlfn.XLOOKUP(B69, [1]EFAY!$B:$B,[1]EFAY!$I:$I)</f>
        <v>JS-Janitorial and Stewarding</v>
      </c>
      <c r="J69" t="str">
        <f>_xlfn.XLOOKUP(B69, [1]EFAY!$B:$B,[1]EFAY!$J:$J)</f>
        <v>SVW-Serveware</v>
      </c>
      <c r="K69" t="str">
        <f>_xlfn.XLOOKUP(B69, [1]EFAY!$B:$B,[1]EFAY!$K:$K)</f>
        <v>BBC-Bread Boards/Charcuterie Boards</v>
      </c>
      <c r="L69" t="str">
        <f>_xlfn.XLOOKUP(B69, [1]EFAY!$B:$B,[1]EFAY!$L:$L)</f>
        <v>#406713 L32.5xW20cm Rectangular Mela Board Earth Oak</v>
      </c>
      <c r="M69" s="3" t="s">
        <v>343</v>
      </c>
    </row>
    <row r="70" spans="1:13" x14ac:dyDescent="0.25">
      <c r="A70" t="str">
        <f>_xlfn.XLOOKUP(B70, [1]EFAY!$B:$B,[1]EFAY!$A:$A)</f>
        <v>5712-EDB-206504IV</v>
      </c>
      <c r="B70" s="3" t="s">
        <v>348</v>
      </c>
      <c r="C70" t="s">
        <v>1089</v>
      </c>
      <c r="D70" t="str">
        <f>_xlfn.XLOOKUP(B70, [1]EFAY!$B:$B,[1]EFAY!$D:$D)</f>
        <v>#206504 9cmX9cmXH:5.5cm  MELAMINE "CANON" SQUARE BOWL (IVORY)</v>
      </c>
      <c r="E70" t="str">
        <f>_xlfn.XLOOKUP(B70, [1]EFAY!$B:$B,[1]EFAY!$E:$E)</f>
        <v>NO TAG</v>
      </c>
      <c r="G70" t="s">
        <v>1094</v>
      </c>
      <c r="H70">
        <f>_xlfn.XLOOKUP(B70, [1]EFAY!$B:$B,[1]EFAY!$H:$H)</f>
        <v>2.75</v>
      </c>
      <c r="I70" t="str">
        <f>_xlfn.XLOOKUP(B70, [1]EFAY!$B:$B,[1]EFAY!$I:$I)</f>
        <v>JS-Janitorial and Stewarding</v>
      </c>
      <c r="J70" t="str">
        <f>_xlfn.XLOOKUP(B70, [1]EFAY!$B:$B,[1]EFAY!$J:$J)</f>
        <v>SVW-Serveware</v>
      </c>
      <c r="K70" t="str">
        <f>_xlfn.XLOOKUP(B70, [1]EFAY!$B:$B,[1]EFAY!$K:$K)</f>
        <v>MSA-Miscellaneous Serving Accessories</v>
      </c>
      <c r="L70" t="str">
        <f>_xlfn.XLOOKUP(B70, [1]EFAY!$B:$B,[1]EFAY!$L:$L)</f>
        <v>#206504 Melamine 9x9xH5.5cm Canon Square Bowl Ivory</v>
      </c>
      <c r="M70" s="3" t="s">
        <v>350</v>
      </c>
    </row>
    <row r="71" spans="1:13" x14ac:dyDescent="0.25">
      <c r="A71" t="str">
        <f>_xlfn.XLOOKUP(B71, [1]EFAY!$B:$B,[1]EFAY!$A:$A)</f>
        <v>5712-EDB-206503IV</v>
      </c>
      <c r="B71" s="3" t="s">
        <v>353</v>
      </c>
      <c r="C71" t="s">
        <v>1089</v>
      </c>
      <c r="D71" t="str">
        <f>_xlfn.XLOOKUP(B71, [1]EFAY!$B:$B,[1]EFAY!$D:$D)</f>
        <v>#206503 7cmX7cmXH:4.2cm  MELAMINE "CANON" SQUARE BOWL (IVORY)</v>
      </c>
      <c r="E71" t="str">
        <f>_xlfn.XLOOKUP(B71, [1]EFAY!$B:$B,[1]EFAY!$E:$E)</f>
        <v>NO TAG</v>
      </c>
      <c r="G71" t="s">
        <v>1094</v>
      </c>
      <c r="H71">
        <f>_xlfn.XLOOKUP(B71, [1]EFAY!$B:$B,[1]EFAY!$H:$H)</f>
        <v>1.57</v>
      </c>
      <c r="I71" t="str">
        <f>_xlfn.XLOOKUP(B71, [1]EFAY!$B:$B,[1]EFAY!$I:$I)</f>
        <v>JS-Janitorial and Stewarding</v>
      </c>
      <c r="J71" t="str">
        <f>_xlfn.XLOOKUP(B71, [1]EFAY!$B:$B,[1]EFAY!$J:$J)</f>
        <v>SVW-Serveware</v>
      </c>
      <c r="K71" t="str">
        <f>_xlfn.XLOOKUP(B71, [1]EFAY!$B:$B,[1]EFAY!$K:$K)</f>
        <v>MSA-Miscellaneous Serving Accessories</v>
      </c>
      <c r="L71" t="str">
        <f>_xlfn.XLOOKUP(B71, [1]EFAY!$B:$B,[1]EFAY!$L:$L)</f>
        <v>#206503 Melamine 7x7xH4.2cm CanonSquare Bowl Ivory</v>
      </c>
      <c r="M71" s="3" t="s">
        <v>355</v>
      </c>
    </row>
    <row r="72" spans="1:13" x14ac:dyDescent="0.25">
      <c r="A72" t="str">
        <f>_xlfn.XLOOKUP(B72, [1]EFAY!$B:$B,[1]EFAY!$A:$A)</f>
        <v>5712-EDB-206512IV</v>
      </c>
      <c r="B72" s="3" t="s">
        <v>358</v>
      </c>
      <c r="C72" t="s">
        <v>1089</v>
      </c>
      <c r="D72" t="str">
        <f>_xlfn.XLOOKUP(B72, [1]EFAY!$B:$B,[1]EFAY!$D:$D)</f>
        <v>#206512 30cmX30cmXH:11.5cm  MELAMINE "CANON" SQUARE BOWL (IVORY)</v>
      </c>
      <c r="E72" t="str">
        <f>_xlfn.XLOOKUP(B72, [1]EFAY!$B:$B,[1]EFAY!$E:$E)</f>
        <v>NO TAG</v>
      </c>
      <c r="G72" t="s">
        <v>1094</v>
      </c>
      <c r="H72">
        <f>_xlfn.XLOOKUP(B72, [1]EFAY!$B:$B,[1]EFAY!$H:$H)</f>
        <v>21.99</v>
      </c>
      <c r="I72" t="str">
        <f>_xlfn.XLOOKUP(B72, [1]EFAY!$B:$B,[1]EFAY!$I:$I)</f>
        <v>JS-Janitorial and Stewarding</v>
      </c>
      <c r="J72" t="str">
        <f>_xlfn.XLOOKUP(B72, [1]EFAY!$B:$B,[1]EFAY!$J:$J)</f>
        <v>SVW-Serveware</v>
      </c>
      <c r="K72" t="str">
        <f>_xlfn.XLOOKUP(B72, [1]EFAY!$B:$B,[1]EFAY!$K:$K)</f>
        <v>MSA-Miscellaneous Serving Accessories</v>
      </c>
      <c r="L72" t="str">
        <f>_xlfn.XLOOKUP(B72, [1]EFAY!$B:$B,[1]EFAY!$L:$L)</f>
        <v>#206512 Melamine 30x30xH11.5cm Canon Square Bowl Ivory</v>
      </c>
      <c r="M72" s="3" t="s">
        <v>360</v>
      </c>
    </row>
    <row r="73" spans="1:13" x14ac:dyDescent="0.25">
      <c r="A73" t="str">
        <f>_xlfn.XLOOKUP(B73, [1]EFAY!$B:$B,[1]EFAY!$A:$A)</f>
        <v>5712-EDB-206510IV</v>
      </c>
      <c r="B73" s="3" t="s">
        <v>363</v>
      </c>
      <c r="C73" t="s">
        <v>1089</v>
      </c>
      <c r="D73" t="str">
        <f>_xlfn.XLOOKUP(B73, [1]EFAY!$B:$B,[1]EFAY!$D:$D)</f>
        <v>#206510 24cmX24cmXH:10cm  MELAMINE "CANON" SQUARE BOWL (IVORY)</v>
      </c>
      <c r="E73" t="str">
        <f>_xlfn.XLOOKUP(B73, [1]EFAY!$B:$B,[1]EFAY!$E:$E)</f>
        <v>NO TAG</v>
      </c>
      <c r="G73" t="s">
        <v>1094</v>
      </c>
      <c r="H73">
        <f>_xlfn.XLOOKUP(B73, [1]EFAY!$B:$B,[1]EFAY!$H:$H)</f>
        <v>13.85</v>
      </c>
      <c r="I73" t="str">
        <f>_xlfn.XLOOKUP(B73, [1]EFAY!$B:$B,[1]EFAY!$I:$I)</f>
        <v>JS-Janitorial and Stewarding</v>
      </c>
      <c r="J73" t="str">
        <f>_xlfn.XLOOKUP(B73, [1]EFAY!$B:$B,[1]EFAY!$J:$J)</f>
        <v>SVW-Serveware</v>
      </c>
      <c r="K73" t="str">
        <f>_xlfn.XLOOKUP(B73, [1]EFAY!$B:$B,[1]EFAY!$K:$K)</f>
        <v>MSA-Miscellaneous Serving Accessories</v>
      </c>
      <c r="L73" t="str">
        <f>_xlfn.XLOOKUP(B73, [1]EFAY!$B:$B,[1]EFAY!$L:$L)</f>
        <v>#206510 Melamine 24x24xH10cm Canon Square Bowl Ivory</v>
      </c>
      <c r="M73" s="3" t="s">
        <v>365</v>
      </c>
    </row>
    <row r="74" spans="1:13" x14ac:dyDescent="0.25">
      <c r="A74" t="str">
        <f>_xlfn.XLOOKUP(B74, [1]EFAY!$B:$B,[1]EFAY!$A:$A)</f>
        <v>5712-EDB-206507IV</v>
      </c>
      <c r="B74" s="3" t="s">
        <v>166</v>
      </c>
      <c r="C74" t="s">
        <v>1089</v>
      </c>
      <c r="D74" t="str">
        <f>_xlfn.XLOOKUP(B74, [1]EFAY!$B:$B,[1]EFAY!$D:$D)</f>
        <v>#206507 18cmX18cmXH:8.5cm  MELAMINE "CANON" SQUARE BOWL (IVORY)</v>
      </c>
      <c r="E74" t="str">
        <f>_xlfn.XLOOKUP(B74, [1]EFAY!$B:$B,[1]EFAY!$E:$E)</f>
        <v>NO TAG</v>
      </c>
      <c r="G74" t="s">
        <v>1094</v>
      </c>
      <c r="H74">
        <f>_xlfn.XLOOKUP(B74, [1]EFAY!$B:$B,[1]EFAY!$H:$H)</f>
        <v>9.1</v>
      </c>
      <c r="I74" t="str">
        <f>_xlfn.XLOOKUP(B74, [1]EFAY!$B:$B,[1]EFAY!$I:$I)</f>
        <v>JS-Janitorial and Stewarding</v>
      </c>
      <c r="J74" t="str">
        <f>_xlfn.XLOOKUP(B74, [1]EFAY!$B:$B,[1]EFAY!$J:$J)</f>
        <v>SVW-Serveware</v>
      </c>
      <c r="K74" t="str">
        <f>_xlfn.XLOOKUP(B74, [1]EFAY!$B:$B,[1]EFAY!$K:$K)</f>
        <v>MSA-Miscellaneous Serving Accessories</v>
      </c>
      <c r="L74" t="str">
        <f>_xlfn.XLOOKUP(B74, [1]EFAY!$B:$B,[1]EFAY!$L:$L)</f>
        <v>#206507 Melamine 18x18xH8.5cm Canon Square Bowl Ivory</v>
      </c>
      <c r="M74" s="3" t="s">
        <v>369</v>
      </c>
    </row>
    <row r="75" spans="1:13" x14ac:dyDescent="0.25">
      <c r="A75" t="str">
        <f>_xlfn.XLOOKUP(B75, [1]EFAY!$B:$B,[1]EFAY!$A:$A)</f>
        <v>5712-EDB-206505IV</v>
      </c>
      <c r="B75" s="3" t="s">
        <v>372</v>
      </c>
      <c r="C75" t="s">
        <v>1089</v>
      </c>
      <c r="D75" t="str">
        <f>_xlfn.XLOOKUP(B75, [1]EFAY!$B:$B,[1]EFAY!$D:$D)</f>
        <v>(WSL19)#206505 13cmX13cmXH:7cm  MELAMINE ''CANON'' SQUARE BOWL (IVORY)</v>
      </c>
      <c r="E75" t="str">
        <f>_xlfn.XLOOKUP(B75, [1]EFAY!$B:$B,[1]EFAY!$E:$E)</f>
        <v>WSL NO STOCK</v>
      </c>
      <c r="G75" t="s">
        <v>1094</v>
      </c>
      <c r="H75">
        <f>_xlfn.XLOOKUP(B75, [1]EFAY!$B:$B,[1]EFAY!$H:$H)</f>
        <v>5.74</v>
      </c>
      <c r="I75" t="str">
        <f>_xlfn.XLOOKUP(B75, [1]EFAY!$B:$B,[1]EFAY!$I:$I)</f>
        <v>JS-Janitorial and Stewarding</v>
      </c>
      <c r="J75" t="e">
        <f>_xlfn.XLOOKUP(B75, [1]EFAY!$B:$B,[1]EFAY!$J:$J)</f>
        <v>#N/A</v>
      </c>
      <c r="K75" t="e">
        <f>_xlfn.XLOOKUP(B75, [1]EFAY!$B:$B,[1]EFAY!$K:$K)</f>
        <v>#N/A</v>
      </c>
      <c r="L75" t="e">
        <f>_xlfn.XLOOKUP(B75, [1]EFAY!$B:$B,[1]EFAY!$L:$L)</f>
        <v>#N/A</v>
      </c>
      <c r="M75" s="3" t="s">
        <v>374</v>
      </c>
    </row>
    <row r="76" spans="1:13" x14ac:dyDescent="0.25">
      <c r="A76" t="str">
        <f>_xlfn.XLOOKUP(B76, [1]EFAY!$B:$B,[1]EFAY!$A:$A)</f>
        <v>5712-EDP-100316IV</v>
      </c>
      <c r="B76" s="3" t="s">
        <v>377</v>
      </c>
      <c r="C76" t="s">
        <v>1089</v>
      </c>
      <c r="D76" t="str">
        <f>_xlfn.XLOOKUP(B76, [1]EFAY!$B:$B,[1]EFAY!$D:$D)</f>
        <v>(WSL19)#100316, 16'' MELAMINE LUNA CURVED PLATE (IVORY)</v>
      </c>
      <c r="E76" t="str">
        <f>_xlfn.XLOOKUP(B76, [1]EFAY!$B:$B,[1]EFAY!$E:$E)</f>
        <v>WSL WITH STOCK</v>
      </c>
      <c r="G76" t="s">
        <v>1094</v>
      </c>
      <c r="H76">
        <f>_xlfn.XLOOKUP(B76, [1]EFAY!$B:$B,[1]EFAY!$H:$H)</f>
        <v>31.18</v>
      </c>
      <c r="I76" t="str">
        <f>_xlfn.XLOOKUP(B76, [1]EFAY!$B:$B,[1]EFAY!$I:$I)</f>
        <v>JS-Janitorial and Stewarding</v>
      </c>
      <c r="J76" t="str">
        <f>_xlfn.XLOOKUP(B76, [1]EFAY!$B:$B,[1]EFAY!$J:$J)</f>
        <v>DWR-Dinnerware</v>
      </c>
      <c r="K76" t="str">
        <f>_xlfn.XLOOKUP(B76, [1]EFAY!$B:$B,[1]EFAY!$K:$K)</f>
        <v>PLT-Plates</v>
      </c>
      <c r="L76" t="str">
        <f>_xlfn.XLOOKUP(B76, [1]EFAY!$B:$B,[1]EFAY!$L:$L)</f>
        <v>#100316 Melamine 16" Luna Curved Plate Ivory</v>
      </c>
      <c r="M76" s="3" t="s">
        <v>379</v>
      </c>
    </row>
    <row r="77" spans="1:13" x14ac:dyDescent="0.25">
      <c r="A77" t="str">
        <f>_xlfn.XLOOKUP(B77, [1]EFAY!$B:$B,[1]EFAY!$A:$A)</f>
        <v>5712-EDP-100314IV</v>
      </c>
      <c r="B77" s="3" t="s">
        <v>382</v>
      </c>
      <c r="C77" t="s">
        <v>1089</v>
      </c>
      <c r="D77" t="str">
        <f>_xlfn.XLOOKUP(B77, [1]EFAY!$B:$B,[1]EFAY!$D:$D)</f>
        <v>(WSL19)#100314, 14'' MELAMINE LUNA CURVED PLATE (IVORY)</v>
      </c>
      <c r="E77" t="str">
        <f>_xlfn.XLOOKUP(B77, [1]EFAY!$B:$B,[1]EFAY!$E:$E)</f>
        <v>WSL WITH STOCK</v>
      </c>
      <c r="G77" t="s">
        <v>1094</v>
      </c>
      <c r="H77">
        <f>_xlfn.XLOOKUP(B77, [1]EFAY!$B:$B,[1]EFAY!$H:$H)</f>
        <v>22</v>
      </c>
      <c r="I77" t="str">
        <f>_xlfn.XLOOKUP(B77, [1]EFAY!$B:$B,[1]EFAY!$I:$I)</f>
        <v>JS-Janitorial and Stewarding</v>
      </c>
      <c r="J77" t="str">
        <f>_xlfn.XLOOKUP(B77, [1]EFAY!$B:$B,[1]EFAY!$J:$J)</f>
        <v>DWR-Dinnerware</v>
      </c>
      <c r="K77" t="str">
        <f>_xlfn.XLOOKUP(B77, [1]EFAY!$B:$B,[1]EFAY!$K:$K)</f>
        <v>PLT-Plates</v>
      </c>
      <c r="L77" t="str">
        <f>_xlfn.XLOOKUP(B77, [1]EFAY!$B:$B,[1]EFAY!$L:$L)</f>
        <v>#100314 Melamine 14" Luna Curved Plate Ivory</v>
      </c>
      <c r="M77" s="3" t="s">
        <v>384</v>
      </c>
    </row>
    <row r="78" spans="1:13" x14ac:dyDescent="0.25">
      <c r="A78" t="str">
        <f>_xlfn.XLOOKUP(B78, [1]EFAY!$B:$B,[1]EFAY!$A:$A)</f>
        <v>5712-EDP-100324IV</v>
      </c>
      <c r="B78" s="3" t="s">
        <v>56</v>
      </c>
      <c r="C78" t="s">
        <v>1089</v>
      </c>
      <c r="D78" t="str">
        <f>_xlfn.XLOOKUP(B78, [1]EFAY!$B:$B,[1]EFAY!$D:$D)</f>
        <v>#100324, 24" MELAMINE LUNA CURVED PLATE (IVORY)</v>
      </c>
      <c r="E78" t="str">
        <f>_xlfn.XLOOKUP(B78, [1]EFAY!$B:$B,[1]EFAY!$E:$E)</f>
        <v>NO TAG</v>
      </c>
      <c r="G78" t="s">
        <v>1094</v>
      </c>
      <c r="H78">
        <f>_xlfn.XLOOKUP(B78, [1]EFAY!$B:$B,[1]EFAY!$H:$H)</f>
        <v>39.54</v>
      </c>
      <c r="I78" t="str">
        <f>_xlfn.XLOOKUP(B78, [1]EFAY!$B:$B,[1]EFAY!$I:$I)</f>
        <v>JS-Janitorial and Stewarding</v>
      </c>
      <c r="J78" t="str">
        <f>_xlfn.XLOOKUP(B78, [1]EFAY!$B:$B,[1]EFAY!$J:$J)</f>
        <v>DWR-Dinnerware</v>
      </c>
      <c r="K78" t="str">
        <f>_xlfn.XLOOKUP(B78, [1]EFAY!$B:$B,[1]EFAY!$K:$K)</f>
        <v>PLT-Plates</v>
      </c>
      <c r="L78" t="str">
        <f>_xlfn.XLOOKUP(B78, [1]EFAY!$B:$B,[1]EFAY!$L:$L)</f>
        <v>#100324 Melamine 24" Luna Curved Plate Ivory</v>
      </c>
      <c r="M78" s="3" t="s">
        <v>388</v>
      </c>
    </row>
    <row r="79" spans="1:13" x14ac:dyDescent="0.25">
      <c r="A79" t="str">
        <f>_xlfn.XLOOKUP(B79, [1]EFAY!$B:$B,[1]EFAY!$A:$A)</f>
        <v>5712-EDC-302710IVCO</v>
      </c>
      <c r="B79" s="3" t="s">
        <v>3</v>
      </c>
      <c r="C79" t="s">
        <v>1089</v>
      </c>
      <c r="D79" t="str">
        <f>_xlfn.XLOOKUP(B79, [1]EFAY!$B:$B,[1]EFAY!$D:$D)</f>
        <v>(DCWSL19)&lt;7201710-IVCO&gt; #302710, 10 OZ MELAMINE MACARON TUMBLER (IVORY/COCOA)</v>
      </c>
      <c r="E79" t="str">
        <f>_xlfn.XLOOKUP(B79, [1]EFAY!$B:$B,[1]EFAY!$E:$E)</f>
        <v>WSL WITH STOCK</v>
      </c>
      <c r="G79" t="s">
        <v>1094</v>
      </c>
      <c r="H79">
        <f>_xlfn.XLOOKUP(B79, [1]EFAY!$B:$B,[1]EFAY!$H:$H)</f>
        <v>2.7</v>
      </c>
      <c r="I79" t="str">
        <f>_xlfn.XLOOKUP(B79, [1]EFAY!$B:$B,[1]EFAY!$I:$I)</f>
        <v>JS-Janitorial and Stewarding</v>
      </c>
      <c r="J79" t="str">
        <f>_xlfn.XLOOKUP(B79, [1]EFAY!$B:$B,[1]EFAY!$J:$J)</f>
        <v>BWR-Beverageware</v>
      </c>
      <c r="K79" t="str">
        <f>_xlfn.XLOOKUP(B79, [1]EFAY!$B:$B,[1]EFAY!$K:$K)</f>
        <v>TM-Tumblers</v>
      </c>
      <c r="L79" t="str">
        <f>_xlfn.XLOOKUP(B79, [1]EFAY!$B:$B,[1]EFAY!$L:$L)</f>
        <v>#302710 Melamine 10oz Macaron Tumbler Ivory/Cocoa</v>
      </c>
      <c r="M79" s="3" t="s">
        <v>392</v>
      </c>
    </row>
    <row r="80" spans="1:13" x14ac:dyDescent="0.25">
      <c r="A80" t="str">
        <f>_xlfn.XLOOKUP(B80, [1]EFAY!$B:$B,[1]EFAY!$A:$A)</f>
        <v>5712-EDC-302710IVGR</v>
      </c>
      <c r="B80" s="3" t="s">
        <v>395</v>
      </c>
      <c r="C80" t="s">
        <v>1089</v>
      </c>
      <c r="D80" t="str">
        <f>_xlfn.XLOOKUP(B80, [1]EFAY!$B:$B,[1]EFAY!$D:$D)</f>
        <v>&lt;7201710-IVGR&gt;#302710, 10 OZ MELAMINE MACARON TUMBLER (IVORY/A GREEN)</v>
      </c>
      <c r="E80" t="str">
        <f>_xlfn.XLOOKUP(B80, [1]EFAY!$B:$B,[1]EFAY!$E:$E)</f>
        <v>NO TAG</v>
      </c>
      <c r="G80" t="s">
        <v>1094</v>
      </c>
      <c r="H80">
        <f>_xlfn.XLOOKUP(B80, [1]EFAY!$B:$B,[1]EFAY!$H:$H)</f>
        <v>2.75</v>
      </c>
      <c r="I80" t="str">
        <f>_xlfn.XLOOKUP(B80, [1]EFAY!$B:$B,[1]EFAY!$I:$I)</f>
        <v>JS-Janitorial and Stewarding</v>
      </c>
      <c r="J80" t="str">
        <f>_xlfn.XLOOKUP(B80, [1]EFAY!$B:$B,[1]EFAY!$J:$J)</f>
        <v>BWR-Beverageware</v>
      </c>
      <c r="K80" t="str">
        <f>_xlfn.XLOOKUP(B80, [1]EFAY!$B:$B,[1]EFAY!$K:$K)</f>
        <v>TM-Tumblers</v>
      </c>
      <c r="L80" t="str">
        <f>_xlfn.XLOOKUP(B80, [1]EFAY!$B:$B,[1]EFAY!$L:$L)</f>
        <v>#302710 Melamine 10oz Macaron Tumbler Ivory/Green</v>
      </c>
      <c r="M80" s="3" t="s">
        <v>392</v>
      </c>
    </row>
    <row r="81" spans="1:13" x14ac:dyDescent="0.25">
      <c r="A81" t="str">
        <f>_xlfn.XLOOKUP(B81, [1]EFAY!$B:$B,[1]EFAY!$A:$A)</f>
        <v>5712-EDC-302710IVFB</v>
      </c>
      <c r="B81" s="3" t="s">
        <v>399</v>
      </c>
      <c r="C81" t="s">
        <v>1089</v>
      </c>
      <c r="D81" t="str">
        <f>_xlfn.XLOOKUP(B81, [1]EFAY!$B:$B,[1]EFAY!$D:$D)</f>
        <v>&lt;7201710-IVFB&gt; #302710, 10 OZ MELAMINE MACARON TUMBLER (IVORY/F BLUE)</v>
      </c>
      <c r="E81" t="str">
        <f>_xlfn.XLOOKUP(B81, [1]EFAY!$B:$B,[1]EFAY!$E:$E)</f>
        <v>NO TAG</v>
      </c>
      <c r="G81" t="s">
        <v>1094</v>
      </c>
      <c r="H81">
        <f>_xlfn.XLOOKUP(B81, [1]EFAY!$B:$B,[1]EFAY!$H:$H)</f>
        <v>2.75</v>
      </c>
      <c r="I81" t="str">
        <f>_xlfn.XLOOKUP(B81, [1]EFAY!$B:$B,[1]EFAY!$I:$I)</f>
        <v>JS-Janitorial and Stewarding</v>
      </c>
      <c r="J81" t="str">
        <f>_xlfn.XLOOKUP(B81, [1]EFAY!$B:$B,[1]EFAY!$J:$J)</f>
        <v>BWR-Beverageware</v>
      </c>
      <c r="K81" t="str">
        <f>_xlfn.XLOOKUP(B81, [1]EFAY!$B:$B,[1]EFAY!$K:$K)</f>
        <v>TM-Tumblers</v>
      </c>
      <c r="L81" t="str">
        <f>_xlfn.XLOOKUP(B81, [1]EFAY!$B:$B,[1]EFAY!$L:$L)</f>
        <v>#302710 Melamine 10oz Macaron Tumbler Ivory/Blue</v>
      </c>
      <c r="M81" s="3" t="s">
        <v>392</v>
      </c>
    </row>
    <row r="82" spans="1:13" x14ac:dyDescent="0.25">
      <c r="A82" t="str">
        <f>_xlfn.XLOOKUP(B82, [1]EFAY!$B:$B,[1]EFAY!$A:$A)</f>
        <v>5712-EDC-302706IVCO</v>
      </c>
      <c r="B82" s="3" t="s">
        <v>403</v>
      </c>
      <c r="C82" t="s">
        <v>1089</v>
      </c>
      <c r="D82" t="str">
        <f>_xlfn.XLOOKUP(B82, [1]EFAY!$B:$B,[1]EFAY!$D:$D)</f>
        <v>(DCWSL19)&lt;7201706-IVCO&gt;#302706, 6 OZ MELAMINE MACARON TUMBLER (IVORY/COCOA)</v>
      </c>
      <c r="E82" t="str">
        <f>_xlfn.XLOOKUP(B82, [1]EFAY!$B:$B,[1]EFAY!$E:$E)</f>
        <v>WSL WITH STOCK</v>
      </c>
      <c r="G82" t="s">
        <v>1094</v>
      </c>
      <c r="H82">
        <f>_xlfn.XLOOKUP(B82, [1]EFAY!$B:$B,[1]EFAY!$H:$H)</f>
        <v>2.15</v>
      </c>
      <c r="I82" t="str">
        <f>_xlfn.XLOOKUP(B82, [1]EFAY!$B:$B,[1]EFAY!$I:$I)</f>
        <v>JS-Janitorial and Stewarding</v>
      </c>
      <c r="J82" t="str">
        <f>_xlfn.XLOOKUP(B82, [1]EFAY!$B:$B,[1]EFAY!$J:$J)</f>
        <v>BWR-Beverageware</v>
      </c>
      <c r="K82" t="str">
        <f>_xlfn.XLOOKUP(B82, [1]EFAY!$B:$B,[1]EFAY!$K:$K)</f>
        <v>TM-Tumblers</v>
      </c>
      <c r="L82" t="str">
        <f>_xlfn.XLOOKUP(B82, [1]EFAY!$B:$B,[1]EFAY!$L:$L)</f>
        <v>#302706 Melamine 6oz Macaron Tumbler Ivory/Cocoa</v>
      </c>
      <c r="M82" s="3" t="s">
        <v>405</v>
      </c>
    </row>
    <row r="83" spans="1:13" x14ac:dyDescent="0.25">
      <c r="A83" t="str">
        <f>_xlfn.XLOOKUP(B83, [1]EFAY!$B:$B,[1]EFAY!$A:$A)</f>
        <v>5712-EDC-302706IVGR</v>
      </c>
      <c r="B83" s="3" t="s">
        <v>408</v>
      </c>
      <c r="C83" t="s">
        <v>1089</v>
      </c>
      <c r="D83" t="str">
        <f>_xlfn.XLOOKUP(B83, [1]EFAY!$B:$B,[1]EFAY!$D:$D)</f>
        <v>(WSL19)&lt;7201706-IVGR&gt; #302706, 6 OZ MELAMINE MACARON TUMBLER (IVORY/A GREEN)</v>
      </c>
      <c r="E83" t="str">
        <f>_xlfn.XLOOKUP(B83, [1]EFAY!$B:$B,[1]EFAY!$E:$E)</f>
        <v>WSL WITH STOCK</v>
      </c>
      <c r="G83" t="s">
        <v>1094</v>
      </c>
      <c r="H83">
        <f>_xlfn.XLOOKUP(B83, [1]EFAY!$B:$B,[1]EFAY!$H:$H)</f>
        <v>1.87</v>
      </c>
      <c r="I83" t="str">
        <f>_xlfn.XLOOKUP(B83, [1]EFAY!$B:$B,[1]EFAY!$I:$I)</f>
        <v>JS-Janitorial and Stewarding</v>
      </c>
      <c r="J83" t="str">
        <f>_xlfn.XLOOKUP(B83, [1]EFAY!$B:$B,[1]EFAY!$J:$J)</f>
        <v>BWR-Beverageware</v>
      </c>
      <c r="K83" t="str">
        <f>_xlfn.XLOOKUP(B83, [1]EFAY!$B:$B,[1]EFAY!$K:$K)</f>
        <v>TM-Tumblers</v>
      </c>
      <c r="L83" t="str">
        <f>_xlfn.XLOOKUP(B83, [1]EFAY!$B:$B,[1]EFAY!$L:$L)</f>
        <v>#302706 Melamine 6oz Macaron Tumbler Ivory/Green</v>
      </c>
      <c r="M83" s="3" t="s">
        <v>405</v>
      </c>
    </row>
    <row r="84" spans="1:13" x14ac:dyDescent="0.25">
      <c r="A84" t="str">
        <f>_xlfn.XLOOKUP(B84, [1]EFAY!$B:$B,[1]EFAY!$A:$A)</f>
        <v>5712-EDC-302706IVFB</v>
      </c>
      <c r="B84" s="3" t="s">
        <v>5</v>
      </c>
      <c r="C84" t="s">
        <v>1089</v>
      </c>
      <c r="D84" t="str">
        <f>_xlfn.XLOOKUP(B84, [1]EFAY!$B:$B,[1]EFAY!$D:$D)</f>
        <v>&lt;7201706-IVFB&gt; #302706, 6 OZ MELAMINE MACARON TUMBLER (IVORY/F BLUE)</v>
      </c>
      <c r="E84" t="str">
        <f>_xlfn.XLOOKUP(B84, [1]EFAY!$B:$B,[1]EFAY!$E:$E)</f>
        <v>NO TAG</v>
      </c>
      <c r="G84" t="s">
        <v>1094</v>
      </c>
      <c r="H84">
        <f>_xlfn.XLOOKUP(B84, [1]EFAY!$B:$B,[1]EFAY!$H:$H)</f>
        <v>1.87</v>
      </c>
      <c r="I84" t="str">
        <f>_xlfn.XLOOKUP(B84, [1]EFAY!$B:$B,[1]EFAY!$I:$I)</f>
        <v>JS-Janitorial and Stewarding</v>
      </c>
      <c r="J84" t="str">
        <f>_xlfn.XLOOKUP(B84, [1]EFAY!$B:$B,[1]EFAY!$J:$J)</f>
        <v>BWR-Beverageware</v>
      </c>
      <c r="K84" t="str">
        <f>_xlfn.XLOOKUP(B84, [1]EFAY!$B:$B,[1]EFAY!$K:$K)</f>
        <v>TM-Tumblers</v>
      </c>
      <c r="L84" t="str">
        <f>_xlfn.XLOOKUP(B84, [1]EFAY!$B:$B,[1]EFAY!$L:$L)</f>
        <v>#302706 Melamine 6oz Macaron Tumbler Ivory/Blue</v>
      </c>
      <c r="M84" s="3" t="s">
        <v>405</v>
      </c>
    </row>
    <row r="85" spans="1:13" x14ac:dyDescent="0.25">
      <c r="A85" t="str">
        <f>_xlfn.XLOOKUP(B85, [1]EFAY!$B:$B,[1]EFAY!$A:$A)</f>
        <v>5712-EGN-1110WER5</v>
      </c>
      <c r="B85" s="3" t="s">
        <v>207</v>
      </c>
      <c r="C85" t="s">
        <v>1089</v>
      </c>
      <c r="D85" t="str">
        <f>_xlfn.XLOOKUP(B85, [1]EFAY!$B:$B,[1]EFAY!$D:$D)</f>
        <v>&lt;4170411&gt; #1110W, GN 1/1 MELAMINE WOODY BOARD (OAK)</v>
      </c>
      <c r="E85" t="str">
        <f>_xlfn.XLOOKUP(B85, [1]EFAY!$B:$B,[1]EFAY!$E:$E)</f>
        <v>NO TAG</v>
      </c>
      <c r="G85" t="s">
        <v>1094</v>
      </c>
      <c r="H85">
        <f>_xlfn.XLOOKUP(B85, [1]EFAY!$B:$B,[1]EFAY!$H:$H)</f>
        <v>44.47</v>
      </c>
      <c r="I85" t="str">
        <f>_xlfn.XLOOKUP(B85, [1]EFAY!$B:$B,[1]EFAY!$I:$I)</f>
        <v>JS-Janitorial and Stewarding</v>
      </c>
      <c r="J85" t="str">
        <f>_xlfn.XLOOKUP(B85, [1]EFAY!$B:$B,[1]EFAY!$J:$J)</f>
        <v>SVW-Serveware</v>
      </c>
      <c r="K85" t="str">
        <f>_xlfn.XLOOKUP(B85, [1]EFAY!$B:$B,[1]EFAY!$K:$K)</f>
        <v>BBC-Bread Boards/Charcuterie Boards</v>
      </c>
      <c r="L85" t="str">
        <f>_xlfn.XLOOKUP(B85, [1]EFAY!$B:$B,[1]EFAY!$L:$L)</f>
        <v xml:space="preserve"> #1110W GN 1/1 Melamine Woody Board Oak</v>
      </c>
      <c r="M85" s="3" t="s">
        <v>416</v>
      </c>
    </row>
    <row r="86" spans="1:13" x14ac:dyDescent="0.25">
      <c r="A86" t="str">
        <f>_xlfn.XLOOKUP(B86, [1]EFAY!$B:$B,[1]EFAY!$A:$A)</f>
        <v>5712-EGN-1210WER5</v>
      </c>
      <c r="B86" s="3" t="s">
        <v>120</v>
      </c>
      <c r="C86" t="s">
        <v>1089</v>
      </c>
      <c r="D86" t="str">
        <f>_xlfn.XLOOKUP(B86, [1]EFAY!$B:$B,[1]EFAY!$D:$D)</f>
        <v>&lt;4170412&gt; #1210W, GN 1/2 MELAMINE WOODY BOARD (OAK)</v>
      </c>
      <c r="E86" t="str">
        <f>_xlfn.XLOOKUP(B86, [1]EFAY!$B:$B,[1]EFAY!$E:$E)</f>
        <v>NO TAG</v>
      </c>
      <c r="G86" t="s">
        <v>1094</v>
      </c>
      <c r="H86">
        <f>_xlfn.XLOOKUP(B86, [1]EFAY!$B:$B,[1]EFAY!$H:$H)</f>
        <v>23.47</v>
      </c>
      <c r="I86" t="str">
        <f>_xlfn.XLOOKUP(B86, [1]EFAY!$B:$B,[1]EFAY!$I:$I)</f>
        <v>JS-Janitorial and Stewarding</v>
      </c>
      <c r="J86" t="str">
        <f>_xlfn.XLOOKUP(B86, [1]EFAY!$B:$B,[1]EFAY!$J:$J)</f>
        <v>SVW-Serveware</v>
      </c>
      <c r="K86" t="str">
        <f>_xlfn.XLOOKUP(B86, [1]EFAY!$B:$B,[1]EFAY!$K:$K)</f>
        <v>BBC-Bread Boards/Charcuterie Boards</v>
      </c>
      <c r="L86" t="str">
        <f>_xlfn.XLOOKUP(B86, [1]EFAY!$B:$B,[1]EFAY!$L:$L)</f>
        <v>#1210W GN 1/2 Melamine  Woody BoardOak</v>
      </c>
      <c r="M86" s="3" t="s">
        <v>420</v>
      </c>
    </row>
    <row r="87" spans="1:13" x14ac:dyDescent="0.25">
      <c r="A87" t="str">
        <f>_xlfn.XLOOKUP(B87, [1]EFAY!$B:$B,[1]EFAY!$A:$A)</f>
        <v>5712-EGN-2410WER5</v>
      </c>
      <c r="B87" s="3" t="s">
        <v>144</v>
      </c>
      <c r="C87" t="s">
        <v>1089</v>
      </c>
      <c r="D87" t="str">
        <f>_xlfn.XLOOKUP(B87, [1]EFAY!$B:$B,[1]EFAY!$D:$D)</f>
        <v>&lt;4170424 &gt;#2410W, GN 2/4 MELAMINE WOODY BOARD (OAK)</v>
      </c>
      <c r="E87" t="str">
        <f>_xlfn.XLOOKUP(B87, [1]EFAY!$B:$B,[1]EFAY!$E:$E)</f>
        <v>NO TAG</v>
      </c>
      <c r="G87" t="s">
        <v>1094</v>
      </c>
      <c r="H87">
        <f>_xlfn.XLOOKUP(B87, [1]EFAY!$B:$B,[1]EFAY!$H:$H)</f>
        <v>22.37</v>
      </c>
      <c r="I87" t="str">
        <f>_xlfn.XLOOKUP(B87, [1]EFAY!$B:$B,[1]EFAY!$I:$I)</f>
        <v>JS-Janitorial and Stewarding</v>
      </c>
      <c r="J87" t="str">
        <f>_xlfn.XLOOKUP(B87, [1]EFAY!$B:$B,[1]EFAY!$J:$J)</f>
        <v>SVW-Serveware</v>
      </c>
      <c r="K87" t="str">
        <f>_xlfn.XLOOKUP(B87, [1]EFAY!$B:$B,[1]EFAY!$K:$K)</f>
        <v>BBC-Bread Boards/Charcuterie Boards</v>
      </c>
      <c r="L87" t="str">
        <f>_xlfn.XLOOKUP(B87, [1]EFAY!$B:$B,[1]EFAY!$L:$L)</f>
        <v>#2410W GN 2/4 Melamine Woody Board Oak</v>
      </c>
      <c r="M87" s="3" t="s">
        <v>424</v>
      </c>
    </row>
    <row r="88" spans="1:13" x14ac:dyDescent="0.25">
      <c r="A88" t="str">
        <f>_xlfn.XLOOKUP(B88, [1]EFAY!$B:$B,[1]EFAY!$A:$A)</f>
        <v>5712-EGN-1410WER5</v>
      </c>
      <c r="B88" s="3" t="s">
        <v>241</v>
      </c>
      <c r="C88" t="s">
        <v>1089</v>
      </c>
      <c r="D88" t="str">
        <f>_xlfn.XLOOKUP(B88, [1]EFAY!$B:$B,[1]EFAY!$D:$D)</f>
        <v>&lt;4170414&gt; #1410W, GN 1/4 MELAMINE WOODY BOARD (OAK)</v>
      </c>
      <c r="E88" t="str">
        <f>_xlfn.XLOOKUP(B88, [1]EFAY!$B:$B,[1]EFAY!$E:$E)</f>
        <v>NO TAG</v>
      </c>
      <c r="G88" t="s">
        <v>1094</v>
      </c>
      <c r="H88">
        <f>_xlfn.XLOOKUP(B88, [1]EFAY!$B:$B,[1]EFAY!$H:$H)</f>
        <v>13.24</v>
      </c>
      <c r="I88" t="str">
        <f>_xlfn.XLOOKUP(B88, [1]EFAY!$B:$B,[1]EFAY!$I:$I)</f>
        <v>JS-Janitorial and Stewarding</v>
      </c>
      <c r="J88" t="str">
        <f>_xlfn.XLOOKUP(B88, [1]EFAY!$B:$B,[1]EFAY!$J:$J)</f>
        <v>SVW-Serveware</v>
      </c>
      <c r="K88" t="str">
        <f>_xlfn.XLOOKUP(B88, [1]EFAY!$B:$B,[1]EFAY!$K:$K)</f>
        <v>BBC-Bread Boards/Charcuterie Boards</v>
      </c>
      <c r="L88" t="str">
        <f>_xlfn.XLOOKUP(B88, [1]EFAY!$B:$B,[1]EFAY!$L:$L)</f>
        <v>#1410W GN 1/4 Melamine Woody Board Oak</v>
      </c>
      <c r="M88" s="3" t="s">
        <v>428</v>
      </c>
    </row>
    <row r="89" spans="1:13" x14ac:dyDescent="0.25">
      <c r="A89" t="str">
        <f>_xlfn.XLOOKUP(B89, [1]EFAY!$B:$B,[1]EFAY!$A:$A)</f>
        <v>5712-EGN-1310WER5</v>
      </c>
      <c r="B89" s="3" t="s">
        <v>133</v>
      </c>
      <c r="C89" t="s">
        <v>1089</v>
      </c>
      <c r="D89" t="str">
        <f>_xlfn.XLOOKUP(B89, [1]EFAY!$B:$B,[1]EFAY!$D:$D)</f>
        <v>(WSL19)&lt;4170413&gt;#1310W, GN 1/3 MELAMINE WOODY BOARD (OAK)</v>
      </c>
      <c r="E89" t="str">
        <f>_xlfn.XLOOKUP(B89, [1]EFAY!$B:$B,[1]EFAY!$E:$E)</f>
        <v>WSL WITH STOCK</v>
      </c>
      <c r="G89" t="s">
        <v>1094</v>
      </c>
      <c r="H89">
        <f>_xlfn.XLOOKUP(B89, [1]EFAY!$B:$B,[1]EFAY!$H:$H)</f>
        <v>15.66</v>
      </c>
      <c r="I89" t="str">
        <f>_xlfn.XLOOKUP(B89, [1]EFAY!$B:$B,[1]EFAY!$I:$I)</f>
        <v>JS-Janitorial and Stewarding</v>
      </c>
      <c r="J89" t="str">
        <f>_xlfn.XLOOKUP(B89, [1]EFAY!$B:$B,[1]EFAY!$J:$J)</f>
        <v>SVW-Serveware</v>
      </c>
      <c r="K89" t="str">
        <f>_xlfn.XLOOKUP(B89, [1]EFAY!$B:$B,[1]EFAY!$K:$K)</f>
        <v>BBC-Bread Boards/Charcuterie Boards</v>
      </c>
      <c r="L89" t="str">
        <f>_xlfn.XLOOKUP(B89, [1]EFAY!$B:$B,[1]EFAY!$L:$L)</f>
        <v>#1310W GN 1/3 Melamine Woody Board Oak</v>
      </c>
      <c r="M89" s="3" t="s">
        <v>432</v>
      </c>
    </row>
    <row r="90" spans="1:13" x14ac:dyDescent="0.25">
      <c r="A90" t="str">
        <f>_xlfn.XLOOKUP(B90, [1]EFAY!$B:$B,[1]EFAY!$A:$A)</f>
        <v>5712-BAS-960103BK</v>
      </c>
      <c r="B90" s="3" t="s">
        <v>435</v>
      </c>
      <c r="C90" t="s">
        <v>1089</v>
      </c>
      <c r="D90" t="str">
        <f>_xlfn.XLOOKUP(B90, [1]EFAY!$B:$B,[1]EFAY!$D:$D)</f>
        <v>52X31.5X8CM 1/1 SIZE RECT. "TOWER" DISPLAY BASKET W/HDLE (BLACK)</v>
      </c>
      <c r="E90" t="str">
        <f>_xlfn.XLOOKUP(B90, [1]EFAY!$B:$B,[1]EFAY!$E:$E)</f>
        <v>NO TAG</v>
      </c>
      <c r="G90" t="s">
        <v>1094</v>
      </c>
      <c r="H90">
        <f>_xlfn.XLOOKUP(B90, [1]EFAY!$B:$B,[1]EFAY!$H:$H)</f>
        <v>29.68</v>
      </c>
      <c r="I90" t="str">
        <f>_xlfn.XLOOKUP(B90, [1]EFAY!$B:$B,[1]EFAY!$I:$I)</f>
        <v>JS-Janitorial and Stewarding</v>
      </c>
      <c r="J90" t="str">
        <f>_xlfn.XLOOKUP(B90, [1]EFAY!$B:$B,[1]EFAY!$J:$J)</f>
        <v>SS-Storage Solutions</v>
      </c>
      <c r="K90" t="str">
        <f>_xlfn.XLOOKUP(B90, [1]EFAY!$B:$B,[1]EFAY!$K:$K)</f>
        <v/>
      </c>
      <c r="L90" t="str">
        <f>_xlfn.XLOOKUP(B90, [1]EFAY!$B:$B,[1]EFAY!$L:$L)</f>
        <v>52x31.5x8cm 1/1 Size Rectangular Tower Display Basket Black with Handle</v>
      </c>
      <c r="M90" s="3" t="s">
        <v>437</v>
      </c>
    </row>
    <row r="91" spans="1:13" x14ac:dyDescent="0.25">
      <c r="A91" t="str">
        <f>_xlfn.XLOOKUP(B91, [1]EFAY!$B:$B,[1]EFAY!$A:$A)</f>
        <v>5712-BAS-960106BK</v>
      </c>
      <c r="B91" s="3" t="s">
        <v>440</v>
      </c>
      <c r="C91" t="s">
        <v>1089</v>
      </c>
      <c r="D91" t="str">
        <f>_xlfn.XLOOKUP(B91, [1]EFAY!$B:$B,[1]EFAY!$D:$D)</f>
        <v>52X31.5X16CM 1/1 SIZE RECT. "TOWER" DISPLAY BASKET W/HDLE (BLACK)</v>
      </c>
      <c r="E91" t="str">
        <f>_xlfn.XLOOKUP(B91, [1]EFAY!$B:$B,[1]EFAY!$E:$E)</f>
        <v>NO TAG</v>
      </c>
      <c r="G91" t="s">
        <v>1094</v>
      </c>
      <c r="H91">
        <f>_xlfn.XLOOKUP(B91, [1]EFAY!$B:$B,[1]EFAY!$H:$H)</f>
        <v>35.89</v>
      </c>
      <c r="I91" t="str">
        <f>_xlfn.XLOOKUP(B91, [1]EFAY!$B:$B,[1]EFAY!$I:$I)</f>
        <v>JS-Janitorial and Stewarding</v>
      </c>
      <c r="J91" t="str">
        <f>_xlfn.XLOOKUP(B91, [1]EFAY!$B:$B,[1]EFAY!$J:$J)</f>
        <v>SS-Storage Solutions</v>
      </c>
      <c r="K91" t="str">
        <f>_xlfn.XLOOKUP(B91, [1]EFAY!$B:$B,[1]EFAY!$K:$K)</f>
        <v/>
      </c>
      <c r="L91" t="str">
        <f>_xlfn.XLOOKUP(B91, [1]EFAY!$B:$B,[1]EFAY!$L:$L)</f>
        <v>52x31.5x16cm 1/1 Size Rectangular Tower Display Basket Black with Handle</v>
      </c>
      <c r="M91" s="3" t="s">
        <v>442</v>
      </c>
    </row>
    <row r="92" spans="1:13" x14ac:dyDescent="0.25">
      <c r="A92" t="str">
        <f>_xlfn.XLOOKUP(B92, [1]EFAY!$B:$B,[1]EFAY!$A:$A)</f>
        <v>5712-BAS-960203BK</v>
      </c>
      <c r="B92" s="3" t="s">
        <v>445</v>
      </c>
      <c r="C92" t="s">
        <v>1089</v>
      </c>
      <c r="D92" t="str">
        <f>_xlfn.XLOOKUP(B92, [1]EFAY!$B:$B,[1]EFAY!$D:$D)</f>
        <v>31.5X25.5X8CM 1/2 SIZE RECT. "TOWER" DISPLAY BASKET W/HDLE (BLACK)</v>
      </c>
      <c r="E92" t="str">
        <f>_xlfn.XLOOKUP(B92, [1]EFAY!$B:$B,[1]EFAY!$E:$E)</f>
        <v>NO TAG</v>
      </c>
      <c r="G92" t="s">
        <v>1094</v>
      </c>
      <c r="H92">
        <f>_xlfn.XLOOKUP(B92, [1]EFAY!$B:$B,[1]EFAY!$H:$H)</f>
        <v>20.99</v>
      </c>
      <c r="I92" t="str">
        <f>_xlfn.XLOOKUP(B92, [1]EFAY!$B:$B,[1]EFAY!$I:$I)</f>
        <v>JS-Janitorial and Stewarding</v>
      </c>
      <c r="J92" t="str">
        <f>_xlfn.XLOOKUP(B92, [1]EFAY!$B:$B,[1]EFAY!$J:$J)</f>
        <v>SS-Storage Solutions</v>
      </c>
      <c r="K92" t="str">
        <f>_xlfn.XLOOKUP(B92, [1]EFAY!$B:$B,[1]EFAY!$K:$K)</f>
        <v/>
      </c>
      <c r="L92" t="str">
        <f>_xlfn.XLOOKUP(B92, [1]EFAY!$B:$B,[1]EFAY!$L:$L)</f>
        <v>31.5x25.5x8cm 1/2 Size Rectangular Tower Display Basket Black with Handle</v>
      </c>
      <c r="M92" s="3" t="s">
        <v>447</v>
      </c>
    </row>
    <row r="93" spans="1:13" x14ac:dyDescent="0.25">
      <c r="A93" t="str">
        <f>_xlfn.XLOOKUP(B93, [1]EFAY!$B:$B,[1]EFAY!$A:$A)</f>
        <v>5712-BAS-960206BK</v>
      </c>
      <c r="B93" s="3" t="s">
        <v>450</v>
      </c>
      <c r="C93" t="s">
        <v>1089</v>
      </c>
      <c r="D93" t="str">
        <f>_xlfn.XLOOKUP(B93, [1]EFAY!$B:$B,[1]EFAY!$D:$D)</f>
        <v>31.5X25.5X16CM 1/2 SIZE RECT. "TOWER" BASKET W/HDLE (BLACK)</v>
      </c>
      <c r="E93" t="str">
        <f>_xlfn.XLOOKUP(B93, [1]EFAY!$B:$B,[1]EFAY!$E:$E)</f>
        <v>NO TAG</v>
      </c>
      <c r="G93" t="s">
        <v>1094</v>
      </c>
      <c r="H93">
        <f>_xlfn.XLOOKUP(B93, [1]EFAY!$B:$B,[1]EFAY!$H:$H)</f>
        <v>24.04</v>
      </c>
      <c r="I93" t="str">
        <f>_xlfn.XLOOKUP(B93, [1]EFAY!$B:$B,[1]EFAY!$I:$I)</f>
        <v>JS-Janitorial and Stewarding</v>
      </c>
      <c r="J93" t="str">
        <f>_xlfn.XLOOKUP(B93, [1]EFAY!$B:$B,[1]EFAY!$J:$J)</f>
        <v>SS-Storage Solutions</v>
      </c>
      <c r="K93" t="str">
        <f>_xlfn.XLOOKUP(B93, [1]EFAY!$B:$B,[1]EFAY!$K:$K)</f>
        <v/>
      </c>
      <c r="L93" t="str">
        <f>_xlfn.XLOOKUP(B93, [1]EFAY!$B:$B,[1]EFAY!$L:$L)</f>
        <v>31.5x25.5x16cm 1/2 Size Rectangular Tower Basket Black with Handle</v>
      </c>
      <c r="M93" s="3" t="s">
        <v>452</v>
      </c>
    </row>
    <row r="94" spans="1:13" x14ac:dyDescent="0.25">
      <c r="A94" t="str">
        <f>_xlfn.XLOOKUP(B94, [1]EFAY!$B:$B,[1]EFAY!$A:$A)</f>
        <v>5712-BAS-960303BK</v>
      </c>
      <c r="B94" s="3" t="s">
        <v>198</v>
      </c>
      <c r="C94" t="s">
        <v>1089</v>
      </c>
      <c r="D94" t="str">
        <f>_xlfn.XLOOKUP(B94, [1]EFAY!$B:$B,[1]EFAY!$D:$D)</f>
        <v>31.5X17X8CM 1/3 SIZE RECT. "TOWER" DISPLAY BASKET W/HDLE (BLACK)</v>
      </c>
      <c r="E94" t="str">
        <f>_xlfn.XLOOKUP(B94, [1]EFAY!$B:$B,[1]EFAY!$E:$E)</f>
        <v>NO TAG</v>
      </c>
      <c r="G94" t="s">
        <v>1094</v>
      </c>
      <c r="H94">
        <f>_xlfn.XLOOKUP(B94, [1]EFAY!$B:$B,[1]EFAY!$H:$H)</f>
        <v>17.02</v>
      </c>
      <c r="I94" t="str">
        <f>_xlfn.XLOOKUP(B94, [1]EFAY!$B:$B,[1]EFAY!$I:$I)</f>
        <v>JS-Janitorial and Stewarding</v>
      </c>
      <c r="J94" t="str">
        <f>_xlfn.XLOOKUP(B94, [1]EFAY!$B:$B,[1]EFAY!$J:$J)</f>
        <v>SS-Storage Solutions</v>
      </c>
      <c r="K94" t="str">
        <f>_xlfn.XLOOKUP(B94, [1]EFAY!$B:$B,[1]EFAY!$K:$K)</f>
        <v/>
      </c>
      <c r="L94" t="str">
        <f>_xlfn.XLOOKUP(B94, [1]EFAY!$B:$B,[1]EFAY!$L:$L)</f>
        <v>31.5x17x8cm 1/3 Size Rectangular Tower Display Basket Black with Handle</v>
      </c>
      <c r="M94" s="3" t="s">
        <v>456</v>
      </c>
    </row>
    <row r="95" spans="1:13" x14ac:dyDescent="0.25">
      <c r="A95" t="str">
        <f>_xlfn.XLOOKUP(B95, [1]EFAY!$B:$B,[1]EFAY!$A:$A)</f>
        <v>5712-BAS-960306BK</v>
      </c>
      <c r="B95" s="3" t="s">
        <v>459</v>
      </c>
      <c r="C95" t="s">
        <v>1089</v>
      </c>
      <c r="D95" t="str">
        <f>_xlfn.XLOOKUP(B95, [1]EFAY!$B:$B,[1]EFAY!$D:$D)</f>
        <v>31.5X17X16CM 1/3 SIZE RECT. "TOWER" DISPLAY BASKET W/HDLE (BLACK)</v>
      </c>
      <c r="E95" t="str">
        <f>_xlfn.XLOOKUP(B95, [1]EFAY!$B:$B,[1]EFAY!$E:$E)</f>
        <v>NO TAG</v>
      </c>
      <c r="G95" t="s">
        <v>1094</v>
      </c>
      <c r="H95">
        <f>_xlfn.XLOOKUP(B95, [1]EFAY!$B:$B,[1]EFAY!$H:$H)</f>
        <v>21.36</v>
      </c>
      <c r="I95" t="str">
        <f>_xlfn.XLOOKUP(B95, [1]EFAY!$B:$B,[1]EFAY!$I:$I)</f>
        <v>JS-Janitorial and Stewarding</v>
      </c>
      <c r="J95" t="str">
        <f>_xlfn.XLOOKUP(B95, [1]EFAY!$B:$B,[1]EFAY!$J:$J)</f>
        <v>SS-Storage Solutions</v>
      </c>
      <c r="K95" t="str">
        <f>_xlfn.XLOOKUP(B95, [1]EFAY!$B:$B,[1]EFAY!$K:$K)</f>
        <v/>
      </c>
      <c r="L95" t="str">
        <f>_xlfn.XLOOKUP(B95, [1]EFAY!$B:$B,[1]EFAY!$L:$L)</f>
        <v>31.5x17x16cm 1/3 Size Rectangular Tower Display Basket Black with Handle</v>
      </c>
      <c r="M95" s="3" t="s">
        <v>461</v>
      </c>
    </row>
    <row r="96" spans="1:13" x14ac:dyDescent="0.25">
      <c r="A96" t="str">
        <f>_xlfn.XLOOKUP(B96, [1]EFAY!$B:$B,[1]EFAY!$A:$A)</f>
        <v>5712-BAG-219611-1/1</v>
      </c>
      <c r="B96" s="3">
        <v>219611</v>
      </c>
      <c r="C96" t="s">
        <v>1089</v>
      </c>
      <c r="D96" t="str">
        <f>_xlfn.XLOOKUP(B96, [1]EFAY!$B:$B,[1]EFAY!$D:$D)</f>
        <v>(WSL19)L:53XW:32.5cm, GN 1/1 SIZE CORK BAG/BASKET FOR BUFFET/DISPLAY (BEIGE)</v>
      </c>
      <c r="E96" t="str">
        <f>_xlfn.XLOOKUP(B96, [1]EFAY!$B:$B,[1]EFAY!$E:$E)</f>
        <v>WSL WITH STOCK</v>
      </c>
      <c r="G96" t="s">
        <v>1094</v>
      </c>
      <c r="H96">
        <f>_xlfn.XLOOKUP(B96, [1]EFAY!$B:$B,[1]EFAY!$H:$H)</f>
        <v>25.7</v>
      </c>
      <c r="I96" t="str">
        <f>_xlfn.XLOOKUP(B96, [1]EFAY!$B:$B,[1]EFAY!$I:$I)</f>
        <v>JS-Janitorial and Stewarding</v>
      </c>
      <c r="J96" t="str">
        <f>_xlfn.XLOOKUP(B96, [1]EFAY!$B:$B,[1]EFAY!$J:$J)</f>
        <v>SS-Storage Solutions</v>
      </c>
      <c r="K96" t="str">
        <f>_xlfn.XLOOKUP(B96, [1]EFAY!$B:$B,[1]EFAY!$K:$K)</f>
        <v/>
      </c>
      <c r="L96" t="str">
        <f>_xlfn.XLOOKUP(B96, [1]EFAY!$B:$B,[1]EFAY!$L:$L)</f>
        <v>L53xW32.5cm GN 1/1 Size Cork Bag/Basket Beige for Buffet/Display</v>
      </c>
      <c r="M96" s="3" t="s">
        <v>465</v>
      </c>
    </row>
    <row r="97" spans="1:13" x14ac:dyDescent="0.25">
      <c r="A97" t="str">
        <f>_xlfn.XLOOKUP(B97, [1]EFAY!$B:$B,[1]EFAY!$A:$A)</f>
        <v>5712-BAG-219612-1/2</v>
      </c>
      <c r="B97" s="3">
        <v>219612</v>
      </c>
      <c r="C97" t="s">
        <v>1089</v>
      </c>
      <c r="D97" t="str">
        <f>_xlfn.XLOOKUP(B97, [1]EFAY!$B:$B,[1]EFAY!$D:$D)</f>
        <v>(WSL19)L:32.5XW:26.5cm, GN 1/2 SIZE CORK BAG/BASKET FOR BUFFET/DISPLAY (BEIGE)</v>
      </c>
      <c r="E97" t="str">
        <f>_xlfn.XLOOKUP(B97, [1]EFAY!$B:$B,[1]EFAY!$E:$E)</f>
        <v>WSL WITH STOCK</v>
      </c>
      <c r="G97" t="s">
        <v>1094</v>
      </c>
      <c r="H97">
        <f>_xlfn.XLOOKUP(B97, [1]EFAY!$B:$B,[1]EFAY!$H:$H)</f>
        <v>16.86</v>
      </c>
      <c r="I97" t="str">
        <f>_xlfn.XLOOKUP(B97, [1]EFAY!$B:$B,[1]EFAY!$I:$I)</f>
        <v>JS-Janitorial and Stewarding</v>
      </c>
      <c r="J97" t="str">
        <f>_xlfn.XLOOKUP(B97, [1]EFAY!$B:$B,[1]EFAY!$J:$J)</f>
        <v>SS-Storage Solutions</v>
      </c>
      <c r="K97" t="str">
        <f>_xlfn.XLOOKUP(B97, [1]EFAY!$B:$B,[1]EFAY!$K:$K)</f>
        <v/>
      </c>
      <c r="L97" t="str">
        <f>_xlfn.XLOOKUP(B97, [1]EFAY!$B:$B,[1]EFAY!$L:$L)</f>
        <v>L32.5xW26.5cm GN 1/2 Size Cork Bag/Basket Beige for Buffet/Display</v>
      </c>
      <c r="M97" s="3" t="s">
        <v>469</v>
      </c>
    </row>
    <row r="98" spans="1:13" x14ac:dyDescent="0.25">
      <c r="A98" t="str">
        <f>_xlfn.XLOOKUP(B98, [1]EFAY!$B:$B,[1]EFAY!$A:$A)</f>
        <v>5712-WOOD-407716ER5</v>
      </c>
      <c r="B98" s="3" t="s">
        <v>257</v>
      </c>
      <c r="C98" t="s">
        <v>1089</v>
      </c>
      <c r="D98" t="str">
        <f>_xlfn.XLOOKUP(B98, [1]EFAY!$B:$B,[1]EFAY!$D:$D)</f>
        <v>#407716, L:40xW:30cm RECT. WOODY BAKER PASTRY TRAY</v>
      </c>
      <c r="E98" t="str">
        <f>_xlfn.XLOOKUP(B98, [1]EFAY!$B:$B,[1]EFAY!$E:$E)</f>
        <v>NO TAG</v>
      </c>
      <c r="G98" t="s">
        <v>1094</v>
      </c>
      <c r="H98">
        <f>_xlfn.XLOOKUP(B98, [1]EFAY!$B:$B,[1]EFAY!$H:$H)</f>
        <v>16.14</v>
      </c>
      <c r="I98" t="str">
        <f>_xlfn.XLOOKUP(B98, [1]EFAY!$B:$B,[1]EFAY!$I:$I)</f>
        <v>JS-Janitorial and Stewarding</v>
      </c>
      <c r="J98" t="str">
        <f>_xlfn.XLOOKUP(B98, [1]EFAY!$B:$B,[1]EFAY!$J:$J)</f>
        <v>BW-Bakeware</v>
      </c>
      <c r="K98" t="str">
        <f>_xlfn.XLOOKUP(B98, [1]EFAY!$B:$B,[1]EFAY!$K:$K)</f>
        <v>BPT-Baking Pans &amp; Trays</v>
      </c>
      <c r="L98" t="str">
        <f>_xlfn.XLOOKUP(B98, [1]EFAY!$B:$B,[1]EFAY!$L:$L)</f>
        <v>#407716 L40xW30cm Woody Baker Rectangular Pastry Tray</v>
      </c>
      <c r="M98" s="3" t="s">
        <v>473</v>
      </c>
    </row>
    <row r="99" spans="1:13" x14ac:dyDescent="0.25">
      <c r="A99" t="str">
        <f>_xlfn.XLOOKUP(B99, [1]EFAY!$B:$B,[1]EFAY!$A:$A)</f>
        <v>5712-WOOD-407512ER5</v>
      </c>
      <c r="B99" s="3" t="s">
        <v>264</v>
      </c>
      <c r="C99" t="s">
        <v>1089</v>
      </c>
      <c r="D99" t="str">
        <f>_xlfn.XLOOKUP(B99, [1]EFAY!$B:$B,[1]EFAY!$D:$D)</f>
        <v>#407512, L:30xW:20cm RECT. WOODY BAKER PASTRY TRAY</v>
      </c>
      <c r="E99" t="str">
        <f>_xlfn.XLOOKUP(B99, [1]EFAY!$B:$B,[1]EFAY!$E:$E)</f>
        <v>NO TAG</v>
      </c>
      <c r="G99" t="s">
        <v>1094</v>
      </c>
      <c r="H99">
        <f>_xlfn.XLOOKUP(B99, [1]EFAY!$B:$B,[1]EFAY!$H:$H)</f>
        <v>7.44</v>
      </c>
      <c r="I99" t="str">
        <f>_xlfn.XLOOKUP(B99, [1]EFAY!$B:$B,[1]EFAY!$I:$I)</f>
        <v>JS-Janitorial and Stewarding</v>
      </c>
      <c r="J99" t="str">
        <f>_xlfn.XLOOKUP(B99, [1]EFAY!$B:$B,[1]EFAY!$J:$J)</f>
        <v>BW-Bakeware</v>
      </c>
      <c r="K99" t="str">
        <f>_xlfn.XLOOKUP(B99, [1]EFAY!$B:$B,[1]EFAY!$K:$K)</f>
        <v>BPT-Baking Pans &amp; Trays</v>
      </c>
      <c r="L99" t="str">
        <f>_xlfn.XLOOKUP(B99, [1]EFAY!$B:$B,[1]EFAY!$L:$L)</f>
        <v>#407512 L30xW20cm Woody Baker Rectangular Pastry Tray</v>
      </c>
      <c r="M99" s="3" t="s">
        <v>295</v>
      </c>
    </row>
    <row r="100" spans="1:13" x14ac:dyDescent="0.25">
      <c r="A100" t="str">
        <f>_xlfn.XLOOKUP(B100, [1]EFAY!$B:$B,[1]EFAY!$A:$A)</f>
        <v>5712-WOOD-407412ER5</v>
      </c>
      <c r="B100" s="3" t="s">
        <v>261</v>
      </c>
      <c r="C100" t="s">
        <v>1089</v>
      </c>
      <c r="D100" t="str">
        <f>_xlfn.XLOOKUP(B100, [1]EFAY!$B:$B,[1]EFAY!$D:$D)</f>
        <v>#407412, L:30xW:15cm RECT. WOODY BAKER PASTRY TRAY</v>
      </c>
      <c r="E100" t="str">
        <f>_xlfn.XLOOKUP(B100, [1]EFAY!$B:$B,[1]EFAY!$E:$E)</f>
        <v>NO TAG</v>
      </c>
      <c r="G100" t="s">
        <v>1094</v>
      </c>
      <c r="H100">
        <f>_xlfn.XLOOKUP(B100, [1]EFAY!$B:$B,[1]EFAY!$H:$H)</f>
        <v>6.03</v>
      </c>
      <c r="I100" t="str">
        <f>_xlfn.XLOOKUP(B100, [1]EFAY!$B:$B,[1]EFAY!$I:$I)</f>
        <v>JS-Janitorial and Stewarding</v>
      </c>
      <c r="J100" t="str">
        <f>_xlfn.XLOOKUP(B100, [1]EFAY!$B:$B,[1]EFAY!$J:$J)</f>
        <v>BW-Bakeware</v>
      </c>
      <c r="K100" t="str">
        <f>_xlfn.XLOOKUP(B100, [1]EFAY!$B:$B,[1]EFAY!$K:$K)</f>
        <v>BPT-Baking Pans &amp; Trays</v>
      </c>
      <c r="L100" t="str">
        <f>_xlfn.XLOOKUP(B100, [1]EFAY!$B:$B,[1]EFAY!$L:$L)</f>
        <v>#407412 L30xW15cm Woody Baker Rectangular Pastry Tray</v>
      </c>
      <c r="M100" s="3" t="s">
        <v>296</v>
      </c>
    </row>
    <row r="101" spans="1:13" x14ac:dyDescent="0.25">
      <c r="A101" t="str">
        <f>_xlfn.XLOOKUP(B101, [1]EFAY!$B:$B,[1]EFAY!$A:$A)</f>
        <v>5712-TS-416813IV</v>
      </c>
      <c r="B101" s="3" t="s">
        <v>116</v>
      </c>
      <c r="C101" t="s">
        <v>1089</v>
      </c>
      <c r="D101" t="str">
        <f>_xlfn.XLOOKUP(B101, [1]EFAY!$B:$B,[1]EFAY!$D:$D)</f>
        <v>#416813, 13" RD TABLET MELAMINE TRAY ONLY (STAND SOLD SEPARATELY)</v>
      </c>
      <c r="E101" t="str">
        <f>_xlfn.XLOOKUP(B101, [1]EFAY!$B:$B,[1]EFAY!$E:$E)</f>
        <v>NO TAG</v>
      </c>
      <c r="G101" t="s">
        <v>1094</v>
      </c>
      <c r="H101">
        <f>_xlfn.XLOOKUP(B101, [1]EFAY!$B:$B,[1]EFAY!$H:$H)</f>
        <v>21.58</v>
      </c>
      <c r="I101" t="str">
        <f>_xlfn.XLOOKUP(B101, [1]EFAY!$B:$B,[1]EFAY!$I:$I)</f>
        <v>JS-Janitorial and Stewarding</v>
      </c>
      <c r="J101" t="str">
        <f>_xlfn.XLOOKUP(B101, [1]EFAY!$B:$B,[1]EFAY!$J:$J)</f>
        <v>SVW-Serveware</v>
      </c>
      <c r="K101" t="str">
        <f>_xlfn.XLOOKUP(B101, [1]EFAY!$B:$B,[1]EFAY!$K:$K)</f>
        <v>MSA-Miscellaneous Serving Accessories</v>
      </c>
      <c r="L101" t="str">
        <f>_xlfn.XLOOKUP(B101, [1]EFAY!$B:$B,[1]EFAY!$L:$L)</f>
        <v>#416813 Melamine 13" Round Tablet Tray</v>
      </c>
      <c r="M101" s="3" t="s">
        <v>483</v>
      </c>
    </row>
    <row r="102" spans="1:13" x14ac:dyDescent="0.25">
      <c r="A102" t="str">
        <f>_xlfn.XLOOKUP(B102, [1]EFAY!$B:$B,[1]EFAY!$A:$A)</f>
        <v>5712-DELI-502411-IV</v>
      </c>
      <c r="B102" s="3" t="s">
        <v>15</v>
      </c>
      <c r="C102" t="s">
        <v>1089</v>
      </c>
      <c r="D102" t="str">
        <f>_xlfn.XLOOKUP(B102, [1]EFAY!$B:$B,[1]EFAY!$D:$D)</f>
        <v>L:17cm, MELAMINE SAUCE LADLE (CREAM)</v>
      </c>
      <c r="E102" t="str">
        <f>_xlfn.XLOOKUP(B102, [1]EFAY!$B:$B,[1]EFAY!$E:$E)</f>
        <v>NO TAG</v>
      </c>
      <c r="G102" t="s">
        <v>1094</v>
      </c>
      <c r="H102">
        <f>_xlfn.XLOOKUP(B102, [1]EFAY!$B:$B,[1]EFAY!$H:$H)</f>
        <v>0.98</v>
      </c>
      <c r="I102" t="str">
        <f>_xlfn.XLOOKUP(B102, [1]EFAY!$B:$B,[1]EFAY!$I:$I)</f>
        <v>JS-Janitorial and Stewarding</v>
      </c>
      <c r="J102" t="str">
        <f>_xlfn.XLOOKUP(B102, [1]EFAY!$B:$B,[1]EFAY!$J:$J)</f>
        <v>UT-Utensils</v>
      </c>
      <c r="K102" t="str">
        <f>_xlfn.XLOOKUP(B102, [1]EFAY!$B:$B,[1]EFAY!$K:$K)</f>
        <v>SU-Serving Utensils</v>
      </c>
      <c r="L102" t="str">
        <f>_xlfn.XLOOKUP(B102, [1]EFAY!$B:$B,[1]EFAY!$L:$L)</f>
        <v>Melamine L17cm Sauce Ladle Cream</v>
      </c>
      <c r="M102" s="3" t="s">
        <v>487</v>
      </c>
    </row>
    <row r="103" spans="1:13" x14ac:dyDescent="0.25">
      <c r="A103" t="str">
        <f>_xlfn.XLOOKUP(B103, [1]EFAY!$B:$B,[1]EFAY!$A:$A)</f>
        <v>5712-ENAMEL-2211021WB</v>
      </c>
      <c r="B103" s="3">
        <v>2211021</v>
      </c>
      <c r="C103" t="s">
        <v>1089</v>
      </c>
      <c r="D103" t="str">
        <f>_xlfn.XLOOKUP(B103, [1]EFAY!$B:$B,[1]EFAY!$D:$D)</f>
        <v>6.4XHT:3.5cm  "ENAMEL LOOK" ROUND RAMEKIN (INNER WHITE W/BLUE OUTER)</v>
      </c>
      <c r="E103" t="str">
        <f>_xlfn.XLOOKUP(B103, [1]EFAY!$B:$B,[1]EFAY!$E:$E)</f>
        <v>NO TAG</v>
      </c>
      <c r="G103" t="s">
        <v>1094</v>
      </c>
      <c r="H103">
        <f>_xlfn.XLOOKUP(B103, [1]EFAY!$B:$B,[1]EFAY!$H:$H)</f>
        <v>1.41</v>
      </c>
      <c r="I103" t="str">
        <f>_xlfn.XLOOKUP(B103, [1]EFAY!$B:$B,[1]EFAY!$I:$I)</f>
        <v>JS-Janitorial and Stewarding</v>
      </c>
      <c r="J103" t="str">
        <f>_xlfn.XLOOKUP(B103, [1]EFAY!$B:$B,[1]EFAY!$J:$J)</f>
        <v>DWR-Dinnerware</v>
      </c>
      <c r="K103" t="str">
        <f>_xlfn.XLOOKUP(B103, [1]EFAY!$B:$B,[1]EFAY!$K:$K)</f>
        <v/>
      </c>
      <c r="L103" t="str">
        <f>_xlfn.XLOOKUP(B103, [1]EFAY!$B:$B,[1]EFAY!$L:$L)</f>
        <v>6.4xH3.5cm Enamel Look Round Ramekin Inner White with Blue Outer</v>
      </c>
      <c r="M103" s="3" t="s">
        <v>344</v>
      </c>
    </row>
    <row r="104" spans="1:13" x14ac:dyDescent="0.25">
      <c r="A104" t="str">
        <f>_xlfn.XLOOKUP(B104, [1]EFAY!$B:$B,[1]EFAY!$A:$A)</f>
        <v>5712-ENAMEL-2210031WB</v>
      </c>
      <c r="B104" s="3">
        <v>2210031</v>
      </c>
      <c r="C104" t="s">
        <v>1089</v>
      </c>
      <c r="D104" t="str">
        <f>_xlfn.XLOOKUP(B104, [1]EFAY!$B:$B,[1]EFAY!$D:$D)</f>
        <v>8XHT:9.4cm  "ENAMEL LOOK" ROUND TUMBLER/CUP (INNER WHITE W/BLUE OUTER)</v>
      </c>
      <c r="E104" t="str">
        <f>_xlfn.XLOOKUP(B104, [1]EFAY!$B:$B,[1]EFAY!$E:$E)</f>
        <v>NO TAG</v>
      </c>
      <c r="G104" t="s">
        <v>1094</v>
      </c>
      <c r="H104">
        <f>_xlfn.XLOOKUP(B104, [1]EFAY!$B:$B,[1]EFAY!$H:$H)</f>
        <v>3.72</v>
      </c>
      <c r="I104" t="str">
        <f>_xlfn.XLOOKUP(B104, [1]EFAY!$B:$B,[1]EFAY!$I:$I)</f>
        <v>JS-Janitorial and Stewarding</v>
      </c>
      <c r="J104" t="str">
        <f>_xlfn.XLOOKUP(B104, [1]EFAY!$B:$B,[1]EFAY!$J:$J)</f>
        <v>BWR-Beverageware</v>
      </c>
      <c r="K104" t="str">
        <f>_xlfn.XLOOKUP(B104, [1]EFAY!$B:$B,[1]EFAY!$K:$K)</f>
        <v>TM-Tumblers</v>
      </c>
      <c r="L104" t="str">
        <f>_xlfn.XLOOKUP(B104, [1]EFAY!$B:$B,[1]EFAY!$L:$L)</f>
        <v>8x9.4cm Enamel Look Round Tumbler/Cup Inner White with Blue Outer</v>
      </c>
      <c r="M104" s="3" t="s">
        <v>345</v>
      </c>
    </row>
    <row r="105" spans="1:13" x14ac:dyDescent="0.25">
      <c r="A105" t="str">
        <f>_xlfn.XLOOKUP(B105, [1]EFAY!$B:$B,[1]EFAY!$A:$A)</f>
        <v>5712-BAG-219405</v>
      </c>
      <c r="B105" s="3">
        <v>219405</v>
      </c>
      <c r="C105" t="s">
        <v>1089</v>
      </c>
      <c r="D105" t="str">
        <f>_xlfn.XLOOKUP(B105, [1]EFAY!$B:$B,[1]EFAY!$D:$D)</f>
        <v>L:13XHT:15cm, RD CYLINDER CORK BAG/BASKET FOR BUFFET/DISPLAY (BEIGE)</v>
      </c>
      <c r="E105" t="str">
        <f>_xlfn.XLOOKUP(B105, [1]EFAY!$B:$B,[1]EFAY!$E:$E)</f>
        <v>NO TAG</v>
      </c>
      <c r="G105" t="s">
        <v>1094</v>
      </c>
      <c r="H105">
        <f>_xlfn.XLOOKUP(B105, [1]EFAY!$B:$B,[1]EFAY!$H:$H)</f>
        <v>8.82</v>
      </c>
      <c r="I105" t="str">
        <f>_xlfn.XLOOKUP(B105, [1]EFAY!$B:$B,[1]EFAY!$I:$I)</f>
        <v>JS-Janitorial and Stewarding</v>
      </c>
      <c r="J105" t="str">
        <f>_xlfn.XLOOKUP(B105, [1]EFAY!$B:$B,[1]EFAY!$J:$J)</f>
        <v>SS-Storage Solutions</v>
      </c>
      <c r="K105" t="str">
        <f>_xlfn.XLOOKUP(B105, [1]EFAY!$B:$B,[1]EFAY!$K:$K)</f>
        <v/>
      </c>
      <c r="L105" t="str">
        <f>_xlfn.XLOOKUP(B105, [1]EFAY!$B:$B,[1]EFAY!$L:$L)</f>
        <v>L13xH15cm Round Cylinder Cork Bag/Basket Beige for Buffet/Display</v>
      </c>
      <c r="M105" s="3" t="s">
        <v>307</v>
      </c>
    </row>
    <row r="106" spans="1:13" x14ac:dyDescent="0.25">
      <c r="A106" t="str">
        <f>_xlfn.XLOOKUP(B106, [1]EFAY!$B:$B,[1]EFAY!$A:$A)</f>
        <v>5712-PC-GN-540511TR</v>
      </c>
      <c r="B106" s="3" t="s">
        <v>17</v>
      </c>
      <c r="C106" t="s">
        <v>1089</v>
      </c>
      <c r="D106" t="str">
        <f>_xlfn.XLOOKUP(B106, [1]EFAY!$B:$B,[1]EFAY!$D:$D)</f>
        <v>1/1, 53X33XHT:10cm FLAT TOP TRANSPARENT PC COVER ONLY (*NO BASE)</v>
      </c>
      <c r="E106" t="str">
        <f>_xlfn.XLOOKUP(B106, [1]EFAY!$B:$B,[1]EFAY!$E:$E)</f>
        <v>NO TAG</v>
      </c>
      <c r="G106" t="s">
        <v>1094</v>
      </c>
      <c r="H106">
        <f>_xlfn.XLOOKUP(B106, [1]EFAY!$B:$B,[1]EFAY!$H:$H)</f>
        <v>37.15</v>
      </c>
      <c r="I106" t="str">
        <f>_xlfn.XLOOKUP(B106, [1]EFAY!$B:$B,[1]EFAY!$I:$I)</f>
        <v>JS-Janitorial and Stewarding</v>
      </c>
      <c r="J106" t="str">
        <f>_xlfn.XLOOKUP(B106, [1]EFAY!$B:$B,[1]EFAY!$J:$J)</f>
        <v/>
      </c>
      <c r="K106" t="str">
        <f>_xlfn.XLOOKUP(B106, [1]EFAY!$B:$B,[1]EFAY!$K:$K)</f>
        <v/>
      </c>
      <c r="L106" t="str">
        <f>_xlfn.XLOOKUP(B106, [1]EFAY!$B:$B,[1]EFAY!$L:$L)</f>
        <v>1/1 PC 53x33xH10cm Flat Top Cover Transparent</v>
      </c>
      <c r="M106" s="3" t="s">
        <v>505</v>
      </c>
    </row>
    <row r="107" spans="1:13" x14ac:dyDescent="0.25">
      <c r="A107" t="str">
        <f>_xlfn.XLOOKUP(B107, [1]EFAY!$B:$B,[1]EFAY!$A:$A)</f>
        <v>5712-PC-GN-540512TR</v>
      </c>
      <c r="B107" s="3" t="s">
        <v>18</v>
      </c>
      <c r="C107" t="s">
        <v>1089</v>
      </c>
      <c r="D107" t="str">
        <f>_xlfn.XLOOKUP(B107, [1]EFAY!$B:$B,[1]EFAY!$D:$D)</f>
        <v>1/2, 33X27XHT:10cm FLAT TOP TRANSPARENT PC COVER ONLY (*NO BASE)</v>
      </c>
      <c r="E107" t="str">
        <f>_xlfn.XLOOKUP(B107, [1]EFAY!$B:$B,[1]EFAY!$E:$E)</f>
        <v>NO TAG</v>
      </c>
      <c r="G107" t="s">
        <v>1094</v>
      </c>
      <c r="H107">
        <f>_xlfn.XLOOKUP(B107, [1]EFAY!$B:$B,[1]EFAY!$H:$H)</f>
        <v>20.48</v>
      </c>
      <c r="I107" t="str">
        <f>_xlfn.XLOOKUP(B107, [1]EFAY!$B:$B,[1]EFAY!$I:$I)</f>
        <v>JS-Janitorial and Stewarding</v>
      </c>
      <c r="J107" t="str">
        <f>_xlfn.XLOOKUP(B107, [1]EFAY!$B:$B,[1]EFAY!$J:$J)</f>
        <v/>
      </c>
      <c r="K107" t="str">
        <f>_xlfn.XLOOKUP(B107, [1]EFAY!$B:$B,[1]EFAY!$K:$K)</f>
        <v/>
      </c>
      <c r="L107" t="str">
        <f>_xlfn.XLOOKUP(B107, [1]EFAY!$B:$B,[1]EFAY!$L:$L)</f>
        <v>1/2 PC 33x27xH10cm Flat Top Cover Transparent</v>
      </c>
      <c r="M107" s="3" t="s">
        <v>509</v>
      </c>
    </row>
    <row r="108" spans="1:13" x14ac:dyDescent="0.25">
      <c r="A108" t="str">
        <f>_xlfn.XLOOKUP(B108, [1]EFAY!$B:$B,[1]EFAY!$A:$A)</f>
        <v>5712-PC-GN-540513TR</v>
      </c>
      <c r="B108" s="3" t="s">
        <v>19</v>
      </c>
      <c r="C108" t="s">
        <v>1089</v>
      </c>
      <c r="D108" t="str">
        <f>_xlfn.XLOOKUP(B108, [1]EFAY!$B:$B,[1]EFAY!$D:$D)</f>
        <v>(WSL19)1/3, 33X18.3XHT:10cm FLAT TOP TRANSPARENT PC COVER ONLY (*NO BASE)</v>
      </c>
      <c r="E108" t="str">
        <f>_xlfn.XLOOKUP(B108, [1]EFAY!$B:$B,[1]EFAY!$E:$E)</f>
        <v>WSL WITH STOCK</v>
      </c>
      <c r="G108" t="s">
        <v>1094</v>
      </c>
      <c r="H108">
        <f>_xlfn.XLOOKUP(B108, [1]EFAY!$B:$B,[1]EFAY!$H:$H)</f>
        <v>18.809999999999999</v>
      </c>
      <c r="I108" t="str">
        <f>_xlfn.XLOOKUP(B108, [1]EFAY!$B:$B,[1]EFAY!$I:$I)</f>
        <v>JS-Janitorial and Stewarding</v>
      </c>
      <c r="J108" t="str">
        <f>_xlfn.XLOOKUP(B108, [1]EFAY!$B:$B,[1]EFAY!$J:$J)</f>
        <v/>
      </c>
      <c r="K108" t="str">
        <f>_xlfn.XLOOKUP(B108, [1]EFAY!$B:$B,[1]EFAY!$K:$K)</f>
        <v/>
      </c>
      <c r="L108" t="str">
        <f>_xlfn.XLOOKUP(B108, [1]EFAY!$B:$B,[1]EFAY!$L:$L)</f>
        <v>1/3 PC 33x18.3xH10cm Flat Top Cover Transparent</v>
      </c>
      <c r="M108" s="3" t="s">
        <v>513</v>
      </c>
    </row>
    <row r="109" spans="1:13" x14ac:dyDescent="0.25">
      <c r="A109" t="str">
        <f>_xlfn.XLOOKUP(B109, [1]EFAY!$B:$B,[1]EFAY!$A:$A)</f>
        <v>5712-EDC-302710IVCR</v>
      </c>
      <c r="B109" s="3" t="s">
        <v>4</v>
      </c>
      <c r="C109" t="s">
        <v>1089</v>
      </c>
      <c r="D109" t="str">
        <f>_xlfn.XLOOKUP(B109, [1]EFAY!$B:$B,[1]EFAY!$D:$D)</f>
        <v>(WSL) &lt;7201710-IVCR&gt;#302710, 10 OZ MELAMINE MACARON TUMBLER (IVORY/C RED)</v>
      </c>
      <c r="E109" t="str">
        <f>_xlfn.XLOOKUP(B109, [1]EFAY!$B:$B,[1]EFAY!$E:$E)</f>
        <v>WSL WITH STOCK</v>
      </c>
      <c r="G109" t="s">
        <v>1094</v>
      </c>
      <c r="H109">
        <f>_xlfn.XLOOKUP(B109, [1]EFAY!$B:$B,[1]EFAY!$H:$H)</f>
        <v>2.75</v>
      </c>
      <c r="I109" t="str">
        <f>_xlfn.XLOOKUP(B109, [1]EFAY!$B:$B,[1]EFAY!$I:$I)</f>
        <v>JS-Janitorial and Stewarding</v>
      </c>
      <c r="J109" t="str">
        <f>_xlfn.XLOOKUP(B109, [1]EFAY!$B:$B,[1]EFAY!$J:$J)</f>
        <v>BWR-Beverageware</v>
      </c>
      <c r="K109" t="str">
        <f>_xlfn.XLOOKUP(B109, [1]EFAY!$B:$B,[1]EFAY!$K:$K)</f>
        <v>TM-Tumblers</v>
      </c>
      <c r="L109" t="str">
        <f>_xlfn.XLOOKUP(B109, [1]EFAY!$B:$B,[1]EFAY!$L:$L)</f>
        <v>#302710 Melamine 10oz Macaron Tumbler Ivory/Red</v>
      </c>
      <c r="M109" s="3" t="s">
        <v>392</v>
      </c>
    </row>
    <row r="110" spans="1:13" x14ac:dyDescent="0.25">
      <c r="A110" t="str">
        <f>_xlfn.XLOOKUP(B110, [1]EFAY!$B:$B,[1]EFAY!$A:$A)</f>
        <v>5712-EDC-302710IVCP</v>
      </c>
      <c r="B110" s="3" t="s">
        <v>519</v>
      </c>
      <c r="C110" t="s">
        <v>1089</v>
      </c>
      <c r="D110" t="str">
        <f>_xlfn.XLOOKUP(B110, [1]EFAY!$B:$B,[1]EFAY!$D:$D)</f>
        <v>(WSL) &lt;7201710-IVCP&gt; #302710, 10 OZ MELAMINE MACARON TUMBLER (IVORY/C PINK)</v>
      </c>
      <c r="E110" t="str">
        <f>_xlfn.XLOOKUP(B110, [1]EFAY!$B:$B,[1]EFAY!$E:$E)</f>
        <v>WSL WITH STOCK</v>
      </c>
      <c r="G110" t="s">
        <v>1094</v>
      </c>
      <c r="H110">
        <f>_xlfn.XLOOKUP(B110, [1]EFAY!$B:$B,[1]EFAY!$H:$H)</f>
        <v>2.75</v>
      </c>
      <c r="I110" t="str">
        <f>_xlfn.XLOOKUP(B110, [1]EFAY!$B:$B,[1]EFAY!$I:$I)</f>
        <v>JS-Janitorial and Stewarding</v>
      </c>
      <c r="J110" t="str">
        <f>_xlfn.XLOOKUP(B110, [1]EFAY!$B:$B,[1]EFAY!$J:$J)</f>
        <v>BWR-Beverageware</v>
      </c>
      <c r="K110" t="str">
        <f>_xlfn.XLOOKUP(B110, [1]EFAY!$B:$B,[1]EFAY!$K:$K)</f>
        <v>TM-Tumblers</v>
      </c>
      <c r="L110" t="str">
        <f>_xlfn.XLOOKUP(B110, [1]EFAY!$B:$B,[1]EFAY!$L:$L)</f>
        <v>#302710 Melamine 10oz Macaron Tumbler Ivory/Pink</v>
      </c>
      <c r="M110" s="3" t="s">
        <v>392</v>
      </c>
    </row>
    <row r="111" spans="1:13" x14ac:dyDescent="0.25">
      <c r="A111" t="str">
        <f>_xlfn.XLOOKUP(B111, [1]EFAY!$B:$B,[1]EFAY!$A:$A)</f>
        <v>5712-EDC-302706IVCR</v>
      </c>
      <c r="B111" s="3" t="s">
        <v>523</v>
      </c>
      <c r="C111" t="s">
        <v>1089</v>
      </c>
      <c r="D111" t="str">
        <f>_xlfn.XLOOKUP(B111, [1]EFAY!$B:$B,[1]EFAY!$D:$D)</f>
        <v>(WSL19)&lt;7201706-IVCR&gt; #302706, 6 OZ MELAMINE MACARON TUMBLER (IVORY/C RED)</v>
      </c>
      <c r="E111" t="str">
        <f>_xlfn.XLOOKUP(B111, [1]EFAY!$B:$B,[1]EFAY!$E:$E)</f>
        <v>WSL WITH STOCK</v>
      </c>
      <c r="G111" t="s">
        <v>1094</v>
      </c>
      <c r="H111">
        <f>_xlfn.XLOOKUP(B111, [1]EFAY!$B:$B,[1]EFAY!$H:$H)</f>
        <v>1.87</v>
      </c>
      <c r="I111" t="str">
        <f>_xlfn.XLOOKUP(B111, [1]EFAY!$B:$B,[1]EFAY!$I:$I)</f>
        <v>JS-Janitorial and Stewarding</v>
      </c>
      <c r="J111" t="str">
        <f>_xlfn.XLOOKUP(B111, [1]EFAY!$B:$B,[1]EFAY!$J:$J)</f>
        <v>BWR-Beverageware</v>
      </c>
      <c r="K111" t="str">
        <f>_xlfn.XLOOKUP(B111, [1]EFAY!$B:$B,[1]EFAY!$K:$K)</f>
        <v>TM-Tumblers</v>
      </c>
      <c r="L111" t="str">
        <f>_xlfn.XLOOKUP(B111, [1]EFAY!$B:$B,[1]EFAY!$L:$L)</f>
        <v>#302706 'Melamine 6oz Macaron Tumbler Ivory/Red</v>
      </c>
      <c r="M111" s="3" t="s">
        <v>405</v>
      </c>
    </row>
    <row r="112" spans="1:13" x14ac:dyDescent="0.25">
      <c r="A112" t="str">
        <f>_xlfn.XLOOKUP(B112, [1]EFAY!$B:$B,[1]EFAY!$A:$A)</f>
        <v>5712-EDC-302706IVCP</v>
      </c>
      <c r="B112" s="3" t="s">
        <v>527</v>
      </c>
      <c r="C112" t="s">
        <v>1089</v>
      </c>
      <c r="D112" t="str">
        <f>_xlfn.XLOOKUP(B112, [1]EFAY!$B:$B,[1]EFAY!$D:$D)</f>
        <v>(WSL19)&lt;7201706-IVCP&gt; #302706, 6 OZ MELAMINE MACARON TUMBLER (IVORY/C PINK)</v>
      </c>
      <c r="E112" t="str">
        <f>_xlfn.XLOOKUP(B112, [1]EFAY!$B:$B,[1]EFAY!$E:$E)</f>
        <v>WSL WITH STOCK</v>
      </c>
      <c r="G112" t="s">
        <v>1094</v>
      </c>
      <c r="H112">
        <f>_xlfn.XLOOKUP(B112, [1]EFAY!$B:$B,[1]EFAY!$H:$H)</f>
        <v>1.87</v>
      </c>
      <c r="I112" t="str">
        <f>_xlfn.XLOOKUP(B112, [1]EFAY!$B:$B,[1]EFAY!$I:$I)</f>
        <v>JS-Janitorial and Stewarding</v>
      </c>
      <c r="J112" t="str">
        <f>_xlfn.XLOOKUP(B112, [1]EFAY!$B:$B,[1]EFAY!$J:$J)</f>
        <v>BWR-Beverageware</v>
      </c>
      <c r="K112" t="str">
        <f>_xlfn.XLOOKUP(B112, [1]EFAY!$B:$B,[1]EFAY!$K:$K)</f>
        <v>TM-Tumblers</v>
      </c>
      <c r="L112" t="str">
        <f>_xlfn.XLOOKUP(B112, [1]EFAY!$B:$B,[1]EFAY!$L:$L)</f>
        <v>#302706 Melamine 6oz Macaron Tumbler Ivory/Pink</v>
      </c>
      <c r="M112" s="3" t="s">
        <v>405</v>
      </c>
    </row>
    <row r="113" spans="1:13" x14ac:dyDescent="0.25">
      <c r="A113" t="str">
        <f>_xlfn.XLOOKUP(B113, [1]EFAY!$B:$B,[1]EFAY!$A:$A)</f>
        <v>5712-5332FPW9-WHT</v>
      </c>
      <c r="B113" s="3" t="s">
        <v>223</v>
      </c>
      <c r="C113" t="s">
        <v>1089</v>
      </c>
      <c r="D113" t="str">
        <f>_xlfn.XLOOKUP(B113, [1]EFAY!$B:$B,[1]EFAY!$D:$D)</f>
        <v>53X32.5X2cm MELAMINE MARBLE 1/1 FOOTED PLATTER (PURE WHITE CARRARA)</v>
      </c>
      <c r="E113" t="str">
        <f>_xlfn.XLOOKUP(B113, [1]EFAY!$B:$B,[1]EFAY!$E:$E)</f>
        <v>NO TAG</v>
      </c>
      <c r="G113" t="s">
        <v>1094</v>
      </c>
      <c r="H113">
        <f>_xlfn.XLOOKUP(B113, [1]EFAY!$B:$B,[1]EFAY!$H:$H)</f>
        <v>38.24</v>
      </c>
      <c r="I113" t="str">
        <f>_xlfn.XLOOKUP(B113, [1]EFAY!$B:$B,[1]EFAY!$I:$I)</f>
        <v>JS-Janitorial and Stewarding</v>
      </c>
      <c r="J113" t="str">
        <f>_xlfn.XLOOKUP(B113, [1]EFAY!$B:$B,[1]EFAY!$J:$J)</f>
        <v>SVW-Serveware</v>
      </c>
      <c r="K113" t="str">
        <f>_xlfn.XLOOKUP(B113, [1]EFAY!$B:$B,[1]EFAY!$K:$K)</f>
        <v>DRA-Display Risers, Stands &amp; Accessories</v>
      </c>
      <c r="L113" t="str">
        <f>_xlfn.XLOOKUP(B113, [1]EFAY!$B:$B,[1]EFAY!$L:$L)</f>
        <v>Melamine Marble 53x32.5x2cm 1/1 Size Footed Platter Pure White Carrara</v>
      </c>
      <c r="M113" s="3" t="s">
        <v>530</v>
      </c>
    </row>
    <row r="114" spans="1:13" x14ac:dyDescent="0.25">
      <c r="A114" t="str">
        <f>_xlfn.XLOOKUP(B114, [1]EFAY!$B:$B,[1]EFAY!$A:$A)</f>
        <v>5712-3226FPW9-WHT</v>
      </c>
      <c r="B114" s="3" t="s">
        <v>266</v>
      </c>
      <c r="C114" t="s">
        <v>1089</v>
      </c>
      <c r="D114" t="str">
        <f>_xlfn.XLOOKUP(B114, [1]EFAY!$B:$B,[1]EFAY!$D:$D)</f>
        <v>32.5X26.5X2CM 1/2 SIZE MARBLE FOOTED PLATTER (PURE WHITE CARRARA)</v>
      </c>
      <c r="E114" t="str">
        <f>_xlfn.XLOOKUP(B114, [1]EFAY!$B:$B,[1]EFAY!$E:$E)</f>
        <v>NO TAG</v>
      </c>
      <c r="G114" t="s">
        <v>1094</v>
      </c>
      <c r="H114">
        <f>_xlfn.XLOOKUP(B114, [1]EFAY!$B:$B,[1]EFAY!$H:$H)</f>
        <v>21.32</v>
      </c>
      <c r="I114" t="str">
        <f>_xlfn.XLOOKUP(B114, [1]EFAY!$B:$B,[1]EFAY!$I:$I)</f>
        <v>JS-Janitorial and Stewarding</v>
      </c>
      <c r="J114" t="str">
        <f>_xlfn.XLOOKUP(B114, [1]EFAY!$B:$B,[1]EFAY!$J:$J)</f>
        <v>SVW-Serveware</v>
      </c>
      <c r="K114" t="str">
        <f>_xlfn.XLOOKUP(B114, [1]EFAY!$B:$B,[1]EFAY!$K:$K)</f>
        <v>BBC-Bread Boards/Charcuterie Boards</v>
      </c>
      <c r="L114" t="str">
        <f>_xlfn.XLOOKUP(B114, [1]EFAY!$B:$B,[1]EFAY!$L:$L)</f>
        <v>Marble 32.5x26.5cm 1/2 Size Footed Platter Pure White Carrara</v>
      </c>
      <c r="M114" s="3" t="s">
        <v>534</v>
      </c>
    </row>
    <row r="115" spans="1:13" x14ac:dyDescent="0.25">
      <c r="A115" t="str">
        <f>_xlfn.XLOOKUP(B115, [1]EFAY!$B:$B,[1]EFAY!$A:$A)</f>
        <v>5712-3217FPW9-WHT</v>
      </c>
      <c r="B115" s="3" t="s">
        <v>263</v>
      </c>
      <c r="C115" t="s">
        <v>1089</v>
      </c>
      <c r="D115" t="str">
        <f>_xlfn.XLOOKUP(B115, [1]EFAY!$B:$B,[1]EFAY!$D:$D)</f>
        <v>32.5X17.6X2CM 1/3 SIZE MARBLE FOOTED PLATTER (PURE WHITE CARRARA)</v>
      </c>
      <c r="E115" t="str">
        <f>_xlfn.XLOOKUP(B115, [1]EFAY!$B:$B,[1]EFAY!$E:$E)</f>
        <v>NO TAG</v>
      </c>
      <c r="G115" t="s">
        <v>1094</v>
      </c>
      <c r="H115">
        <f>_xlfn.XLOOKUP(B115, [1]EFAY!$B:$B,[1]EFAY!$H:$H)</f>
        <v>14.49</v>
      </c>
      <c r="I115" t="str">
        <f>_xlfn.XLOOKUP(B115, [1]EFAY!$B:$B,[1]EFAY!$I:$I)</f>
        <v>JS-Janitorial and Stewarding</v>
      </c>
      <c r="J115" t="str">
        <f>_xlfn.XLOOKUP(B115, [1]EFAY!$B:$B,[1]EFAY!$J:$J)</f>
        <v>SVW-Serveware</v>
      </c>
      <c r="K115" t="str">
        <f>_xlfn.XLOOKUP(B115, [1]EFAY!$B:$B,[1]EFAY!$K:$K)</f>
        <v>BBC-Bread Boards/Charcuterie Boards</v>
      </c>
      <c r="L115" t="str">
        <f>_xlfn.XLOOKUP(B115, [1]EFAY!$B:$B,[1]EFAY!$L:$L)</f>
        <v>Marble 32.5x17.6cm 1/3 Size Footed Platter Pure White Carrara</v>
      </c>
      <c r="M115" s="3" t="s">
        <v>529</v>
      </c>
    </row>
    <row r="116" spans="1:13" x14ac:dyDescent="0.25">
      <c r="A116" t="str">
        <f>_xlfn.XLOOKUP(B116, [1]EFAY!$B:$B,[1]EFAY!$A:$A)</f>
        <v>5712-5332FBK11-BLK</v>
      </c>
      <c r="B116" s="3" t="s">
        <v>543</v>
      </c>
      <c r="C116" t="s">
        <v>1089</v>
      </c>
      <c r="D116" t="str">
        <f>_xlfn.XLOOKUP(B116, [1]EFAY!$B:$B,[1]EFAY!$D:$D)</f>
        <v>53X32.5X2cm MELAMINE MARBLE 1/1 FOOTED PLATTER (BLACK XEMEN)</v>
      </c>
      <c r="E116" t="str">
        <f>_xlfn.XLOOKUP(B116, [1]EFAY!$B:$B,[1]EFAY!$E:$E)</f>
        <v>NO TAG</v>
      </c>
      <c r="G116" t="s">
        <v>1094</v>
      </c>
      <c r="H116">
        <f>_xlfn.XLOOKUP(B116, [1]EFAY!$B:$B,[1]EFAY!$H:$H)</f>
        <v>38.24</v>
      </c>
      <c r="I116" t="str">
        <f>_xlfn.XLOOKUP(B116, [1]EFAY!$B:$B,[1]EFAY!$I:$I)</f>
        <v>JS-Janitorial and Stewarding</v>
      </c>
      <c r="J116" t="str">
        <f>_xlfn.XLOOKUP(B116, [1]EFAY!$B:$B,[1]EFAY!$J:$J)</f>
        <v>SVW-Serveware</v>
      </c>
      <c r="K116" t="str">
        <f>_xlfn.XLOOKUP(B116, [1]EFAY!$B:$B,[1]EFAY!$K:$K)</f>
        <v>DRA-Display Risers, Stands &amp; Accessories</v>
      </c>
      <c r="L116" t="str">
        <f>_xlfn.XLOOKUP(B116, [1]EFAY!$B:$B,[1]EFAY!$L:$L)</f>
        <v>Melamine Mable Xemen 53x32.5x2cm 1/1 Footed Platter Black</v>
      </c>
      <c r="M116" s="3" t="s">
        <v>530</v>
      </c>
    </row>
    <row r="117" spans="1:13" x14ac:dyDescent="0.25">
      <c r="A117" t="str">
        <f>_xlfn.XLOOKUP(B117, [1]EFAY!$B:$B,[1]EFAY!$A:$A)</f>
        <v>5712-GN-9009-11SS</v>
      </c>
      <c r="B117" s="3" t="s">
        <v>547</v>
      </c>
      <c r="C117" t="s">
        <v>1089</v>
      </c>
      <c r="D117" t="str">
        <f>_xlfn.XLOOKUP(B117, [1]EFAY!$B:$B,[1]EFAY!$D:$D)</f>
        <v>(ID-MOQ) EFAY #900911SS 565mm x 530mm x H325mm S/S 1/1 GN SYSTEM STAND</v>
      </c>
      <c r="E117" t="str">
        <f>_xlfn.XLOOKUP(B117, [1]EFAY!$B:$B,[1]EFAY!$E:$E)</f>
        <v>ID NO STOCK</v>
      </c>
      <c r="G117" t="s">
        <v>1094</v>
      </c>
      <c r="H117">
        <f>_xlfn.XLOOKUP(B117, [1]EFAY!$B:$B,[1]EFAY!$H:$H)</f>
        <v>35.06</v>
      </c>
      <c r="I117" t="str">
        <f>_xlfn.XLOOKUP(B117, [1]EFAY!$B:$B,[1]EFAY!$I:$I)</f>
        <v>JS-Janitorial and Stewarding</v>
      </c>
      <c r="J117" t="str">
        <f>_xlfn.XLOOKUP(B117, [1]EFAY!$B:$B,[1]EFAY!$J:$J)</f>
        <v/>
      </c>
      <c r="K117" t="str">
        <f>_xlfn.XLOOKUP(B117, [1]EFAY!$B:$B,[1]EFAY!$K:$K)</f>
        <v/>
      </c>
      <c r="L117" t="str">
        <f>_xlfn.XLOOKUP(B117, [1]EFAY!$B:$B,[1]EFAY!$L:$L)</f>
        <v>Efay #900911SS S/Steel 1/1 GN 565x530xH325mm System Stand</v>
      </c>
      <c r="M117" s="3" t="s">
        <v>549</v>
      </c>
    </row>
    <row r="118" spans="1:13" x14ac:dyDescent="0.25">
      <c r="A118" t="str">
        <f>_xlfn.XLOOKUP(B118, [1]EFAY!$B:$B,[1]EFAY!$A:$A)</f>
        <v>5712-EXP-519805-BK</v>
      </c>
      <c r="B118" s="3" t="s">
        <v>555</v>
      </c>
      <c r="C118" t="s">
        <v>1089</v>
      </c>
      <c r="D118" t="str">
        <f>_xlfn.XLOOKUP(B118, [1]EFAY!$B:$B,[1]EFAY!$D:$D)</f>
        <v>W:3.5 X L:13cm, EXPLORER 5" MULTI ANGLE MENU SIGNAGE TAG (10 PCS/PKT)(BLACK) (SELL BY PKT)</v>
      </c>
      <c r="E118" t="str">
        <f>_xlfn.XLOOKUP(B118, [1]EFAY!$B:$B,[1]EFAY!$E:$E)</f>
        <v>NO TAG</v>
      </c>
      <c r="G118" t="s">
        <v>1094</v>
      </c>
      <c r="H118">
        <f>_xlfn.XLOOKUP(B118, [1]EFAY!$B:$B,[1]EFAY!$H:$H)</f>
        <v>1.25</v>
      </c>
      <c r="I118" t="str">
        <f>_xlfn.XLOOKUP(B118, [1]EFAY!$B:$B,[1]EFAY!$I:$I)</f>
        <v>JS-Janitorial and Stewarding</v>
      </c>
      <c r="J118" t="str">
        <f>_xlfn.XLOOKUP(B118, [1]EFAY!$B:$B,[1]EFAY!$J:$J)</f>
        <v>SM-Signage &amp; Miscellaneous</v>
      </c>
      <c r="K118" t="str">
        <f>_xlfn.XLOOKUP(B118, [1]EFAY!$B:$B,[1]EFAY!$K:$K)</f>
        <v>SGN-Signage</v>
      </c>
      <c r="L118" t="str">
        <f>_xlfn.XLOOKUP(B118, [1]EFAY!$B:$B,[1]EFAY!$L:$L)</f>
        <v>W3.5xL13cm Explorer 5" Multi Angle Menu Signage Tag Black</v>
      </c>
      <c r="M118" s="3" t="s">
        <v>557</v>
      </c>
    </row>
    <row r="119" spans="1:13" x14ac:dyDescent="0.25">
      <c r="A119" t="str">
        <f>_xlfn.XLOOKUP(B119, [1]EFAY!$B:$B,[1]EFAY!$A:$A)</f>
        <v>5712-EDT-406111ER5</v>
      </c>
      <c r="B119" s="3" t="s">
        <v>119</v>
      </c>
      <c r="C119" t="s">
        <v>1089</v>
      </c>
      <c r="D119" t="str">
        <f>_xlfn.XLOOKUP(B119, [1]EFAY!$B:$B,[1]EFAY!$D:$D)</f>
        <v>&lt;4170211&gt; #406111, DIA 7"/L11" RD MELAMINE GOURMET BOARD (OAK)</v>
      </c>
      <c r="E119" t="str">
        <f>_xlfn.XLOOKUP(B119, [1]EFAY!$B:$B,[1]EFAY!$E:$E)</f>
        <v>NO TAG</v>
      </c>
      <c r="G119" t="s">
        <v>1094</v>
      </c>
      <c r="H119">
        <f>_xlfn.XLOOKUP(B119, [1]EFAY!$B:$B,[1]EFAY!$H:$H)</f>
        <v>7.17</v>
      </c>
      <c r="I119" t="str">
        <f>_xlfn.XLOOKUP(B119, [1]EFAY!$B:$B,[1]EFAY!$I:$I)</f>
        <v>JS-Janitorial and Stewarding</v>
      </c>
      <c r="J119" t="str">
        <f>_xlfn.XLOOKUP(B119, [1]EFAY!$B:$B,[1]EFAY!$J:$J)</f>
        <v>SVW-Serveware</v>
      </c>
      <c r="K119" t="str">
        <f>_xlfn.XLOOKUP(B119, [1]EFAY!$B:$B,[1]EFAY!$K:$K)</f>
        <v>BBC-Bread Boards/Charcuterie Boards</v>
      </c>
      <c r="L119" t="str">
        <f>_xlfn.XLOOKUP(B119, [1]EFAY!$B:$B,[1]EFAY!$L:$L)</f>
        <v>#406111 Melamine Ø7"/L11" Gourmet Board</v>
      </c>
      <c r="M119" s="3" t="s">
        <v>561</v>
      </c>
    </row>
    <row r="120" spans="1:13" x14ac:dyDescent="0.25">
      <c r="A120" t="str">
        <f>_xlfn.XLOOKUP(B120, [1]EFAY!$B:$B,[1]EFAY!$A:$A)</f>
        <v>5712-EDT-406121ER5</v>
      </c>
      <c r="B120" s="3" t="s">
        <v>11</v>
      </c>
      <c r="C120" t="s">
        <v>1089</v>
      </c>
      <c r="D120" t="str">
        <f>_xlfn.XLOOKUP(B120, [1]EFAY!$B:$B,[1]EFAY!$D:$D)</f>
        <v>&lt;4170221&gt;#406121, DIA 15"/ L21"RD MELAMINE GOURMET BOARD (OAK)</v>
      </c>
      <c r="E120" t="str">
        <f>_xlfn.XLOOKUP(B120, [1]EFAY!$B:$B,[1]EFAY!$E:$E)</f>
        <v>NO TAG</v>
      </c>
      <c r="G120" t="s">
        <v>1094</v>
      </c>
      <c r="H120">
        <f>_xlfn.XLOOKUP(B120, [1]EFAY!$B:$B,[1]EFAY!$H:$H)</f>
        <v>35.9</v>
      </c>
      <c r="I120" t="str">
        <f>_xlfn.XLOOKUP(B120, [1]EFAY!$B:$B,[1]EFAY!$I:$I)</f>
        <v>JS-Janitorial and Stewarding</v>
      </c>
      <c r="J120" t="str">
        <f>_xlfn.XLOOKUP(B120, [1]EFAY!$B:$B,[1]EFAY!$J:$J)</f>
        <v>SVW-Serveware</v>
      </c>
      <c r="K120" t="str">
        <f>_xlfn.XLOOKUP(B120, [1]EFAY!$B:$B,[1]EFAY!$K:$K)</f>
        <v>BBC-Bread Boards/Charcuterie Boards</v>
      </c>
      <c r="L120" t="str">
        <f>_xlfn.XLOOKUP(B120, [1]EFAY!$B:$B,[1]EFAY!$L:$L)</f>
        <v>#406121 Melamine Ø15xL21" Gourmet Board</v>
      </c>
      <c r="M120" s="3" t="s">
        <v>562</v>
      </c>
    </row>
    <row r="121" spans="1:13" x14ac:dyDescent="0.25">
      <c r="A121" t="str">
        <f>_xlfn.XLOOKUP(B121, [1]EFAY!$B:$B,[1]EFAY!$A:$A)</f>
        <v>5712-EDT-OLI-406118AB8</v>
      </c>
      <c r="B121" s="3" t="s">
        <v>568</v>
      </c>
      <c r="C121" t="s">
        <v>1089</v>
      </c>
      <c r="D121" t="str">
        <f>_xlfn.XLOOKUP(B121, [1]EFAY!$B:$B,[1]EFAY!$D:$D)</f>
        <v>DIA 13"/L18" RD MELAMINE GOURMET BOARD,APRICOT BROWN (OLIVIA)</v>
      </c>
      <c r="E121" t="str">
        <f>_xlfn.XLOOKUP(B121, [1]EFAY!$B:$B,[1]EFAY!$E:$E)</f>
        <v>NO TAG</v>
      </c>
      <c r="G121" t="s">
        <v>1094</v>
      </c>
      <c r="H121">
        <f>_xlfn.XLOOKUP(B121, [1]EFAY!$B:$B,[1]EFAY!$H:$H)</f>
        <v>23.21</v>
      </c>
      <c r="I121" t="str">
        <f>_xlfn.XLOOKUP(B121, [1]EFAY!$B:$B,[1]EFAY!$I:$I)</f>
        <v>JS-Janitorial and Stewarding</v>
      </c>
      <c r="J121" t="str">
        <f>_xlfn.XLOOKUP(B121, [1]EFAY!$B:$B,[1]EFAY!$J:$J)</f>
        <v>SVW-Serveware</v>
      </c>
      <c r="K121" t="str">
        <f>_xlfn.XLOOKUP(B121, [1]EFAY!$B:$B,[1]EFAY!$K:$K)</f>
        <v>BBC-Bread Boards/Charcuterie Boards</v>
      </c>
      <c r="L121" t="str">
        <f>_xlfn.XLOOKUP(B121, [1]EFAY!$B:$B,[1]EFAY!$L:$L)</f>
        <v>Olivia Melamine Ø13x18" Round Gourmet Board Apricot Brown</v>
      </c>
      <c r="M121" s="3" t="s">
        <v>552</v>
      </c>
    </row>
    <row r="122" spans="1:13" x14ac:dyDescent="0.25">
      <c r="A122" t="str">
        <f>_xlfn.XLOOKUP(B122, [1]EFAY!$B:$B,[1]EFAY!$A:$A)</f>
        <v>5712-EDT-406117ER5</v>
      </c>
      <c r="B122" s="3" t="s">
        <v>118</v>
      </c>
      <c r="C122" t="s">
        <v>1089</v>
      </c>
      <c r="D122" t="str">
        <f>_xlfn.XLOOKUP(B122, [1]EFAY!$B:$B,[1]EFAY!$D:$D)</f>
        <v>&lt;4170217&gt; #406117, DIA 12" / L17"RD MELAMINE GOURMET BOARD (OAK)</v>
      </c>
      <c r="E122" t="str">
        <f>_xlfn.XLOOKUP(B122, [1]EFAY!$B:$B,[1]EFAY!$E:$E)</f>
        <v>NO TAG</v>
      </c>
      <c r="G122" t="s">
        <v>1094</v>
      </c>
      <c r="H122">
        <f>_xlfn.XLOOKUP(B122, [1]EFAY!$B:$B,[1]EFAY!$H:$H)</f>
        <v>23.72</v>
      </c>
      <c r="I122" t="str">
        <f>_xlfn.XLOOKUP(B122, [1]EFAY!$B:$B,[1]EFAY!$I:$I)</f>
        <v>JS-Janitorial and Stewarding</v>
      </c>
      <c r="J122" t="str">
        <f>_xlfn.XLOOKUP(B122, [1]EFAY!$B:$B,[1]EFAY!$J:$J)</f>
        <v>SVW-Serveware</v>
      </c>
      <c r="K122" t="str">
        <f>_xlfn.XLOOKUP(B122, [1]EFAY!$B:$B,[1]EFAY!$K:$K)</f>
        <v>BBC-Bread Boards/Charcuterie Boards</v>
      </c>
      <c r="L122" t="str">
        <f>_xlfn.XLOOKUP(B122, [1]EFAY!$B:$B,[1]EFAY!$L:$L)</f>
        <v>#406117 Melamine Ø12xL17" Gourmet Board</v>
      </c>
      <c r="M122" s="3" t="s">
        <v>570</v>
      </c>
    </row>
    <row r="123" spans="1:13" x14ac:dyDescent="0.25">
      <c r="A123" t="str">
        <f>_xlfn.XLOOKUP(B123, [1]EFAY!$B:$B,[1]EFAY!$A:$A)</f>
        <v>5712-EDT-406224ER5</v>
      </c>
      <c r="B123" s="3" t="s">
        <v>262</v>
      </c>
      <c r="C123" t="s">
        <v>1089</v>
      </c>
      <c r="D123" t="str">
        <f>_xlfn.XLOOKUP(B123, [1]EFAY!$B:$B,[1]EFAY!$D:$D)</f>
        <v>(WSL19)&lt;4170324&gt;#406224, 24''RECT. MELAMINE GOURMET BOARD (OAK)</v>
      </c>
      <c r="E123" t="str">
        <f>_xlfn.XLOOKUP(B123, [1]EFAY!$B:$B,[1]EFAY!$E:$E)</f>
        <v>WSL WITH STOCK</v>
      </c>
      <c r="G123" t="s">
        <v>1094</v>
      </c>
      <c r="H123">
        <f>_xlfn.XLOOKUP(B123, [1]EFAY!$B:$B,[1]EFAY!$H:$H)</f>
        <v>34.200000000000003</v>
      </c>
      <c r="I123" t="str">
        <f>_xlfn.XLOOKUP(B123, [1]EFAY!$B:$B,[1]EFAY!$I:$I)</f>
        <v>JS-Janitorial and Stewarding</v>
      </c>
      <c r="J123" t="str">
        <f>_xlfn.XLOOKUP(B123, [1]EFAY!$B:$B,[1]EFAY!$J:$J)</f>
        <v>SVW-Serveware</v>
      </c>
      <c r="K123" t="str">
        <f>_xlfn.XLOOKUP(B123, [1]EFAY!$B:$B,[1]EFAY!$K:$K)</f>
        <v>BBC-Bread Boards/Charcuterie Boards</v>
      </c>
      <c r="L123" t="str">
        <f>_xlfn.XLOOKUP(B123, [1]EFAY!$B:$B,[1]EFAY!$L:$L)</f>
        <v>#406224 Melamine 24" Rectangular Gourmet Board Oak</v>
      </c>
      <c r="M123" s="3" t="s">
        <v>574</v>
      </c>
    </row>
    <row r="124" spans="1:13" x14ac:dyDescent="0.25">
      <c r="A124" t="str">
        <f>_xlfn.XLOOKUP(B124, [1]EFAY!$B:$B,[1]EFAY!$A:$A)</f>
        <v>5712-EDT-OLI-406221AB8</v>
      </c>
      <c r="B124" s="3" t="s">
        <v>580</v>
      </c>
      <c r="C124" t="s">
        <v>1089</v>
      </c>
      <c r="D124" t="str">
        <f>_xlfn.XLOOKUP(B124, [1]EFAY!$B:$B,[1]EFAY!$D:$D)</f>
        <v>L:53XW:20X1.5cm RECT MELAMINE GOURMET BOARD,APRICOT BROWN (OLIVIA)</v>
      </c>
      <c r="E124" t="str">
        <f>_xlfn.XLOOKUP(B124, [1]EFAY!$B:$B,[1]EFAY!$E:$E)</f>
        <v>NO TAG</v>
      </c>
      <c r="G124" t="s">
        <v>1094</v>
      </c>
      <c r="H124">
        <f>_xlfn.XLOOKUP(B124, [1]EFAY!$B:$B,[1]EFAY!$H:$H)</f>
        <v>29.01</v>
      </c>
      <c r="I124" t="str">
        <f>_xlfn.XLOOKUP(B124, [1]EFAY!$B:$B,[1]EFAY!$I:$I)</f>
        <v>JS-Janitorial and Stewarding</v>
      </c>
      <c r="J124" t="str">
        <f>_xlfn.XLOOKUP(B124, [1]EFAY!$B:$B,[1]EFAY!$J:$J)</f>
        <v>SVW-Serveware</v>
      </c>
      <c r="K124" t="str">
        <f>_xlfn.XLOOKUP(B124, [1]EFAY!$B:$B,[1]EFAY!$K:$K)</f>
        <v>BBC-Bread Boards/Charcuterie Boards</v>
      </c>
      <c r="L124" t="str">
        <f>_xlfn.XLOOKUP(B124, [1]EFAY!$B:$B,[1]EFAY!$L:$L)</f>
        <v>Olivia Melamine L53xW20xH1.5cm Rectangular Gourmet Board Apricot Brown</v>
      </c>
      <c r="M124" s="3" t="s">
        <v>582</v>
      </c>
    </row>
    <row r="125" spans="1:13" x14ac:dyDescent="0.25">
      <c r="A125" t="str">
        <f>_xlfn.XLOOKUP(B125, [1]EFAY!$B:$B,[1]EFAY!$A:$A)</f>
        <v>5712-EDT-406221ER5</v>
      </c>
      <c r="B125" s="3" t="s">
        <v>8</v>
      </c>
      <c r="C125" t="s">
        <v>1089</v>
      </c>
      <c r="D125" t="str">
        <f>_xlfn.XLOOKUP(B125, [1]EFAY!$B:$B,[1]EFAY!$D:$D)</f>
        <v>&lt;4170321&gt; #406221, 21"RECT. MELAMINE GOURMET BOARD (OAK)</v>
      </c>
      <c r="E125" t="str">
        <f>_xlfn.XLOOKUP(B125, [1]EFAY!$B:$B,[1]EFAY!$E:$E)</f>
        <v>NO TAG</v>
      </c>
      <c r="G125" t="s">
        <v>1094</v>
      </c>
      <c r="H125">
        <f>_xlfn.XLOOKUP(B125, [1]EFAY!$B:$B,[1]EFAY!$H:$H)</f>
        <v>29.01</v>
      </c>
      <c r="I125" t="str">
        <f>_xlfn.XLOOKUP(B125, [1]EFAY!$B:$B,[1]EFAY!$I:$I)</f>
        <v>JS-Janitorial and Stewarding</v>
      </c>
      <c r="J125" t="str">
        <f>_xlfn.XLOOKUP(B125, [1]EFAY!$B:$B,[1]EFAY!$J:$J)</f>
        <v>SVW-Serveware</v>
      </c>
      <c r="K125" t="str">
        <f>_xlfn.XLOOKUP(B125, [1]EFAY!$B:$B,[1]EFAY!$K:$K)</f>
        <v>BBC-Bread Boards/Charcuterie Boards</v>
      </c>
      <c r="L125" t="str">
        <f>_xlfn.XLOOKUP(B125, [1]EFAY!$B:$B,[1]EFAY!$L:$L)</f>
        <v>#406221 Melamine 21" Rectangular Gourmet Board Oak</v>
      </c>
      <c r="M125" s="3" t="s">
        <v>582</v>
      </c>
    </row>
    <row r="126" spans="1:13" x14ac:dyDescent="0.25">
      <c r="A126" t="str">
        <f>_xlfn.XLOOKUP(B126, [1]EFAY!$B:$B,[1]EFAY!$A:$A)</f>
        <v>5712-EDT-OLI-406111AB8</v>
      </c>
      <c r="B126" s="3" t="s">
        <v>588</v>
      </c>
      <c r="C126" t="s">
        <v>1089</v>
      </c>
      <c r="D126" t="str">
        <f>_xlfn.XLOOKUP(B126, [1]EFAY!$B:$B,[1]EFAY!$D:$D)</f>
        <v>DIA 7"/L11" RD MELAMINE GOURMET BOARD,APRICOT BROWN (OLIVIA)</v>
      </c>
      <c r="E126" t="str">
        <f>_xlfn.XLOOKUP(B126, [1]EFAY!$B:$B,[1]EFAY!$E:$E)</f>
        <v>NO TAG</v>
      </c>
      <c r="G126" t="s">
        <v>1094</v>
      </c>
      <c r="H126">
        <f>_xlfn.XLOOKUP(B126, [1]EFAY!$B:$B,[1]EFAY!$H:$H)</f>
        <v>7.17</v>
      </c>
      <c r="I126" t="str">
        <f>_xlfn.XLOOKUP(B126, [1]EFAY!$B:$B,[1]EFAY!$I:$I)</f>
        <v>JS-Janitorial and Stewarding</v>
      </c>
      <c r="J126" t="str">
        <f>_xlfn.XLOOKUP(B126, [1]EFAY!$B:$B,[1]EFAY!$J:$J)</f>
        <v>SVW-Serveware</v>
      </c>
      <c r="K126" t="str">
        <f>_xlfn.XLOOKUP(B126, [1]EFAY!$B:$B,[1]EFAY!$K:$K)</f>
        <v>BBC-Bread Boards/Charcuterie Boards</v>
      </c>
      <c r="L126" t="str">
        <f>_xlfn.XLOOKUP(B126, [1]EFAY!$B:$B,[1]EFAY!$L:$L)</f>
        <v>Olivia Melamine Ø7x11" Gourmet Board Round Apricot Brown</v>
      </c>
      <c r="M126" s="3" t="s">
        <v>561</v>
      </c>
    </row>
    <row r="127" spans="1:13" x14ac:dyDescent="0.25">
      <c r="A127" t="str">
        <f>_xlfn.XLOOKUP(B127, [1]EFAY!$B:$B,[1]EFAY!$A:$A)</f>
        <v>5712-416813PW9-WHT</v>
      </c>
      <c r="B127" s="3" t="s">
        <v>93</v>
      </c>
      <c r="C127" t="s">
        <v>1089</v>
      </c>
      <c r="D127" t="str">
        <f>_xlfn.XLOOKUP(B127, [1]EFAY!$B:$B,[1]EFAY!$D:$D)</f>
        <v>13"  ROUND MARBLE FOOTED PLATTER (PURE WHITE CARRARA)</v>
      </c>
      <c r="E127" t="str">
        <f>_xlfn.XLOOKUP(B127, [1]EFAY!$B:$B,[1]EFAY!$E:$E)</f>
        <v>NO TAG</v>
      </c>
      <c r="G127" t="s">
        <v>1094</v>
      </c>
      <c r="H127">
        <f>_xlfn.XLOOKUP(B127, [1]EFAY!$B:$B,[1]EFAY!$H:$H)</f>
        <v>21.58</v>
      </c>
      <c r="I127" t="str">
        <f>_xlfn.XLOOKUP(B127, [1]EFAY!$B:$B,[1]EFAY!$I:$I)</f>
        <v>JS-Janitorial and Stewarding</v>
      </c>
      <c r="J127" t="str">
        <f>_xlfn.XLOOKUP(B127, [1]EFAY!$B:$B,[1]EFAY!$J:$J)</f>
        <v>SVW-Serveware</v>
      </c>
      <c r="K127" t="str">
        <f>_xlfn.XLOOKUP(B127, [1]EFAY!$B:$B,[1]EFAY!$K:$K)</f>
        <v>BBC-Bread Boards/Charcuterie Boards</v>
      </c>
      <c r="L127" t="str">
        <f>_xlfn.XLOOKUP(B127, [1]EFAY!$B:$B,[1]EFAY!$L:$L)</f>
        <v>Marble 13" Round Footed Platter Pure White Carrara</v>
      </c>
      <c r="M127" s="3" t="s">
        <v>590</v>
      </c>
    </row>
    <row r="128" spans="1:13" x14ac:dyDescent="0.25">
      <c r="A128" t="str">
        <f>_xlfn.XLOOKUP(B128, [1]EFAY!$B:$B,[1]EFAY!$A:$A)</f>
        <v>5712-MINI-520310BK</v>
      </c>
      <c r="B128" s="3" t="s">
        <v>596</v>
      </c>
      <c r="C128" t="s">
        <v>1089</v>
      </c>
      <c r="D128" t="str">
        <f>_xlfn.XLOOKUP(B128, [1]EFAY!$B:$B,[1]EFAY!$D:$D)</f>
        <v>L:32xw:16.2xht:2cm, MELAMINE "LITTLE CHEF" 10" RECT GRILL PAN W/2 HDLE, BLACK</v>
      </c>
      <c r="E128" t="str">
        <f>_xlfn.XLOOKUP(B128, [1]EFAY!$B:$B,[1]EFAY!$E:$E)</f>
        <v>NO TAG</v>
      </c>
      <c r="G128" t="s">
        <v>1094</v>
      </c>
      <c r="H128">
        <f>_xlfn.XLOOKUP(B128, [1]EFAY!$B:$B,[1]EFAY!$H:$H)</f>
        <v>9.1</v>
      </c>
      <c r="I128" t="str">
        <f>_xlfn.XLOOKUP(B128, [1]EFAY!$B:$B,[1]EFAY!$I:$I)</f>
        <v>JS-Janitorial and Stewarding</v>
      </c>
      <c r="J128" t="str">
        <f>_xlfn.XLOOKUP(B128, [1]EFAY!$B:$B,[1]EFAY!$J:$J)</f>
        <v>CW-Cookware</v>
      </c>
      <c r="K128" t="str">
        <f>_xlfn.XLOOKUP(B128, [1]EFAY!$B:$B,[1]EFAY!$K:$K)</f>
        <v>PN-Pans</v>
      </c>
      <c r="L128" t="str">
        <f>_xlfn.XLOOKUP(B128, [1]EFAY!$B:$B,[1]EFAY!$L:$L)</f>
        <v>Melamine 10" L32xW16.2xH2cm Rectangular Grill Pan Little Chef Black with 2 Handles</v>
      </c>
      <c r="M128" s="3" t="s">
        <v>598</v>
      </c>
    </row>
    <row r="129" spans="1:13" x14ac:dyDescent="0.25">
      <c r="A129" t="str">
        <f>_xlfn.XLOOKUP(B129, [1]EFAY!$B:$B,[1]EFAY!$A:$A)</f>
        <v>5712-BAK-407812-BK16</v>
      </c>
      <c r="B129" s="3" t="s">
        <v>602</v>
      </c>
      <c r="C129" t="s">
        <v>1089</v>
      </c>
      <c r="D129" t="str">
        <f>_xlfn.XLOOKUP(B129, [1]EFAY!$B:$B,[1]EFAY!$D:$D)</f>
        <v>L:32.5XW26cm, 1/2 SIZE MELAMINE BAKER-WRITING TRAY (BLACK W/WHITE WORDING)</v>
      </c>
      <c r="E129" t="str">
        <f>_xlfn.XLOOKUP(B129, [1]EFAY!$B:$B,[1]EFAY!$E:$E)</f>
        <v>NO TAG</v>
      </c>
      <c r="G129" t="s">
        <v>1094</v>
      </c>
      <c r="H129">
        <f>_xlfn.XLOOKUP(B129, [1]EFAY!$B:$B,[1]EFAY!$H:$H)</f>
        <v>11.31</v>
      </c>
      <c r="I129" t="str">
        <f>_xlfn.XLOOKUP(B129, [1]EFAY!$B:$B,[1]EFAY!$I:$I)</f>
        <v>JS-Janitorial and Stewarding</v>
      </c>
      <c r="J129" t="str">
        <f>_xlfn.XLOOKUP(B129, [1]EFAY!$B:$B,[1]EFAY!$J:$J)</f>
        <v>BW-Bakeware</v>
      </c>
      <c r="K129" t="str">
        <f>_xlfn.XLOOKUP(B129, [1]EFAY!$B:$B,[1]EFAY!$K:$K)</f>
        <v>BPT-Baking Pans &amp; Trays</v>
      </c>
      <c r="L129" t="str">
        <f>_xlfn.XLOOKUP(B129, [1]EFAY!$B:$B,[1]EFAY!$L:$L)</f>
        <v>Melamine L32.5xW26cm 1/2 Size Baking Tray Black with White Wording</v>
      </c>
      <c r="M129" s="3" t="s">
        <v>599</v>
      </c>
    </row>
    <row r="130" spans="1:13" x14ac:dyDescent="0.25">
      <c r="A130" t="str">
        <f>_xlfn.XLOOKUP(B130, [1]EFAY!$B:$B,[1]EFAY!$A:$A)</f>
        <v>5712-BAK-407813-BK16</v>
      </c>
      <c r="B130" s="3" t="s">
        <v>607</v>
      </c>
      <c r="C130" t="s">
        <v>1089</v>
      </c>
      <c r="D130" t="str">
        <f>_xlfn.XLOOKUP(B130, [1]EFAY!$B:$B,[1]EFAY!$D:$D)</f>
        <v>L:32XW17.5cm, 1/3 SIZE MELAMINE BAKER-WRITING TRAY (BLACK W/WHITE WORDING)</v>
      </c>
      <c r="E130" t="str">
        <f>_xlfn.XLOOKUP(B130, [1]EFAY!$B:$B,[1]EFAY!$E:$E)</f>
        <v>NO TAG</v>
      </c>
      <c r="G130" t="s">
        <v>1094</v>
      </c>
      <c r="H130">
        <f>_xlfn.XLOOKUP(B130, [1]EFAY!$B:$B,[1]EFAY!$H:$H)</f>
        <v>8.61</v>
      </c>
      <c r="I130" t="str">
        <f>_xlfn.XLOOKUP(B130, [1]EFAY!$B:$B,[1]EFAY!$I:$I)</f>
        <v>JS-Janitorial and Stewarding</v>
      </c>
      <c r="J130" t="str">
        <f>_xlfn.XLOOKUP(B130, [1]EFAY!$B:$B,[1]EFAY!$J:$J)</f>
        <v>BW-Bakeware</v>
      </c>
      <c r="K130" t="str">
        <f>_xlfn.XLOOKUP(B130, [1]EFAY!$B:$B,[1]EFAY!$K:$K)</f>
        <v>BPT-Baking Pans &amp; Trays</v>
      </c>
      <c r="L130" t="str">
        <f>_xlfn.XLOOKUP(B130, [1]EFAY!$B:$B,[1]EFAY!$L:$L)</f>
        <v>Melamine L32xW17.5cm 1/3 Size Baking Tray Black with White Wording</v>
      </c>
      <c r="M130" s="3" t="s">
        <v>604</v>
      </c>
    </row>
    <row r="131" spans="1:13" x14ac:dyDescent="0.25">
      <c r="A131" t="str">
        <f>_xlfn.XLOOKUP(B131, [1]EFAY!$B:$B,[1]EFAY!$A:$A)</f>
        <v>5712-ENAMEL-2213081WB</v>
      </c>
      <c r="B131" s="3">
        <v>2213081</v>
      </c>
      <c r="C131" t="s">
        <v>1089</v>
      </c>
      <c r="D131" t="str">
        <f>_xlfn.XLOOKUP(B131, [1]EFAY!$B:$B,[1]EFAY!$D:$D)</f>
        <v>20X14.5X4.2cm  "ENAMEL LOOK" RECT DEEP/SOUP PLATE (WHITE W/BLUE LINE)</v>
      </c>
      <c r="E131" t="str">
        <f>_xlfn.XLOOKUP(B131, [1]EFAY!$B:$B,[1]EFAY!$E:$E)</f>
        <v>NO TAG</v>
      </c>
      <c r="G131" t="s">
        <v>1094</v>
      </c>
      <c r="H131">
        <f>_xlfn.XLOOKUP(B131, [1]EFAY!$B:$B,[1]EFAY!$H:$H)</f>
        <v>3.13</v>
      </c>
      <c r="I131" t="str">
        <f>_xlfn.XLOOKUP(B131, [1]EFAY!$B:$B,[1]EFAY!$I:$I)</f>
        <v>JS-Janitorial and Stewarding</v>
      </c>
      <c r="J131" t="str">
        <f>_xlfn.XLOOKUP(B131, [1]EFAY!$B:$B,[1]EFAY!$J:$J)</f>
        <v>DWR-Dinnerware</v>
      </c>
      <c r="K131" t="str">
        <f>_xlfn.XLOOKUP(B131, [1]EFAY!$B:$B,[1]EFAY!$K:$K)</f>
        <v>BWL-Bowls</v>
      </c>
      <c r="L131" t="str">
        <f>_xlfn.XLOOKUP(B131, [1]EFAY!$B:$B,[1]EFAY!$L:$L)</f>
        <v>20x14.5x4.2cm Enamel Look White Rectangular Deep/Soup Plate with Blue Line</v>
      </c>
      <c r="M131" s="3" t="s">
        <v>495</v>
      </c>
    </row>
    <row r="132" spans="1:13" x14ac:dyDescent="0.25">
      <c r="A132" t="str">
        <f>_xlfn.XLOOKUP(B132, [1]EFAY!$B:$B,[1]EFAY!$A:$A)</f>
        <v>5712-ENAMEL-2212091WB</v>
      </c>
      <c r="B132" s="3">
        <v>2212091</v>
      </c>
      <c r="C132" t="s">
        <v>1089</v>
      </c>
      <c r="D132" t="str">
        <f>_xlfn.XLOOKUP(B132, [1]EFAY!$B:$B,[1]EFAY!$D:$D)</f>
        <v>23X17.6X4cm  "ENAMEL LOOK" RECT DEEP/SOUP PLATE (WHITE W/BLUE LINE)</v>
      </c>
      <c r="E132" t="str">
        <f>_xlfn.XLOOKUP(B132, [1]EFAY!$B:$B,[1]EFAY!$E:$E)</f>
        <v>NO TAG</v>
      </c>
      <c r="G132" t="s">
        <v>1094</v>
      </c>
      <c r="H132">
        <f>_xlfn.XLOOKUP(B132, [1]EFAY!$B:$B,[1]EFAY!$H:$H)</f>
        <v>3.98</v>
      </c>
      <c r="I132" t="str">
        <f>_xlfn.XLOOKUP(B132, [1]EFAY!$B:$B,[1]EFAY!$I:$I)</f>
        <v>JS-Janitorial and Stewarding</v>
      </c>
      <c r="J132" t="str">
        <f>_xlfn.XLOOKUP(B132, [1]EFAY!$B:$B,[1]EFAY!$J:$J)</f>
        <v>DWR-Dinnerware</v>
      </c>
      <c r="K132" t="str">
        <f>_xlfn.XLOOKUP(B132, [1]EFAY!$B:$B,[1]EFAY!$K:$K)</f>
        <v>BWL-Bowls</v>
      </c>
      <c r="L132" t="str">
        <f>_xlfn.XLOOKUP(B132, [1]EFAY!$B:$B,[1]EFAY!$L:$L)</f>
        <v>23x17.6x4cm Enamel Look White Rectangular Deep/Soup Plate with Blue Line</v>
      </c>
      <c r="M132" s="3" t="s">
        <v>496</v>
      </c>
    </row>
    <row r="133" spans="1:13" x14ac:dyDescent="0.25">
      <c r="A133" t="str">
        <f>_xlfn.XLOOKUP(B133, [1]EFAY!$B:$B,[1]EFAY!$A:$A)</f>
        <v>5712-BAG-219407</v>
      </c>
      <c r="B133" s="3">
        <v>219613</v>
      </c>
      <c r="C133" t="s">
        <v>1089</v>
      </c>
      <c r="D133" t="str">
        <f>_xlfn.XLOOKUP(B133, [1]EFAY!$B:$B,[1]EFAY!$D:$D)</f>
        <v>(WSL19)L:17.6XHT:15cm, RD CYLINDER CORK BAG/BASKET FOR BUFFET/DISPLAY (BEIGE)</v>
      </c>
      <c r="E133" t="str">
        <f>_xlfn.XLOOKUP(B133, [1]EFAY!$B:$B,[1]EFAY!$E:$E)</f>
        <v>WSL WITH STOCK</v>
      </c>
      <c r="G133" t="s">
        <v>1094</v>
      </c>
      <c r="H133">
        <f>_xlfn.XLOOKUP(B133, [1]EFAY!$B:$B,[1]EFAY!$H:$H)</f>
        <v>11.49</v>
      </c>
      <c r="I133" t="str">
        <f>_xlfn.XLOOKUP(B133, [1]EFAY!$B:$B,[1]EFAY!$I:$I)</f>
        <v>JS-Janitorial and Stewarding</v>
      </c>
      <c r="J133" t="str">
        <f>_xlfn.XLOOKUP(B133, [1]EFAY!$B:$B,[1]EFAY!$J:$J)</f>
        <v>SS-Storage Solutions</v>
      </c>
      <c r="K133" t="str">
        <f>_xlfn.XLOOKUP(B133, [1]EFAY!$B:$B,[1]EFAY!$K:$K)</f>
        <v/>
      </c>
      <c r="L133" t="str">
        <f>_xlfn.XLOOKUP(B133, [1]EFAY!$B:$B,[1]EFAY!$L:$L)</f>
        <v>L17.6xH15cm Round Cylinder Cork Bag/Basket Beige for Buffet/Display</v>
      </c>
      <c r="M133" s="3" t="s">
        <v>618</v>
      </c>
    </row>
    <row r="134" spans="1:13" x14ac:dyDescent="0.25">
      <c r="A134" t="str">
        <f>_xlfn.XLOOKUP(B134, [1]EFAY!$B:$B,[1]EFAY!$A:$A)</f>
        <v>5712-ETS-5332BK1</v>
      </c>
      <c r="B134" s="3" t="s">
        <v>143</v>
      </c>
      <c r="C134" t="s">
        <v>1089</v>
      </c>
      <c r="D134" t="str">
        <f>_xlfn.XLOOKUP(B134, [1]EFAY!$B:$B,[1]EFAY!$D:$D)</f>
        <v>&lt;4170611&gt;#5332BK1 1/1 SIZE 'TAROKO' GRANTIE SLATE,BLACK MARBLE DECAL (535X325mm)</v>
      </c>
      <c r="E134" t="str">
        <f>_xlfn.XLOOKUP(B134, [1]EFAY!$B:$B,[1]EFAY!$E:$E)</f>
        <v>NO TAG</v>
      </c>
      <c r="G134" t="s">
        <v>1094</v>
      </c>
      <c r="H134">
        <f>_xlfn.XLOOKUP(B134, [1]EFAY!$B:$B,[1]EFAY!$H:$H)</f>
        <v>57.9</v>
      </c>
      <c r="I134" t="str">
        <f>_xlfn.XLOOKUP(B134, [1]EFAY!$B:$B,[1]EFAY!$I:$I)</f>
        <v>JS-Janitorial and Stewarding</v>
      </c>
      <c r="J134" t="str">
        <f>_xlfn.XLOOKUP(B134, [1]EFAY!$B:$B,[1]EFAY!$J:$J)</f>
        <v>TAL-Table Accessories &amp; Linens</v>
      </c>
      <c r="K134" t="str">
        <f>_xlfn.XLOOKUP(B134, [1]EFAY!$B:$B,[1]EFAY!$K:$K)</f>
        <v>DEC-Decorations</v>
      </c>
      <c r="L134" t="str">
        <f>_xlfn.XLOOKUP(B134, [1]EFAY!$B:$B,[1]EFAY!$L:$L)</f>
        <v>#5332BK1 1/1 Size 535x325mm Taroko Granite Slate Black Marble Decal</v>
      </c>
      <c r="M134" s="3" t="s">
        <v>619</v>
      </c>
    </row>
    <row r="135" spans="1:13" x14ac:dyDescent="0.25">
      <c r="A135" t="str">
        <f>_xlfn.XLOOKUP(B135, [1]EFAY!$B:$B,[1]EFAY!$A:$A)</f>
        <v>5712-ETS-3226BK1</v>
      </c>
      <c r="B135" s="3" t="s">
        <v>32</v>
      </c>
      <c r="C135" t="s">
        <v>1089</v>
      </c>
      <c r="D135" t="str">
        <f>_xlfn.XLOOKUP(B135, [1]EFAY!$B:$B,[1]EFAY!$D:$D)</f>
        <v>&lt;4170612&gt;#3226BK1 1/2 SIZE 'TAROKO' GRANTIE SLATE,BLACK MARBLE DECAL (320X260mm)</v>
      </c>
      <c r="E135" t="str">
        <f>_xlfn.XLOOKUP(B135, [1]EFAY!$B:$B,[1]EFAY!$E:$E)</f>
        <v>NO TAG</v>
      </c>
      <c r="G135" t="s">
        <v>1094</v>
      </c>
      <c r="H135">
        <f>_xlfn.XLOOKUP(B135, [1]EFAY!$B:$B,[1]EFAY!$H:$H)</f>
        <v>30.45</v>
      </c>
      <c r="I135" t="str">
        <f>_xlfn.XLOOKUP(B135, [1]EFAY!$B:$B,[1]EFAY!$I:$I)</f>
        <v>JS-Janitorial and Stewarding</v>
      </c>
      <c r="J135" t="str">
        <f>_xlfn.XLOOKUP(B135, [1]EFAY!$B:$B,[1]EFAY!$J:$J)</f>
        <v>TAL-Table Accessories &amp; Linens</v>
      </c>
      <c r="K135" t="str">
        <f>_xlfn.XLOOKUP(B135, [1]EFAY!$B:$B,[1]EFAY!$K:$K)</f>
        <v>DEC-Decorations</v>
      </c>
      <c r="L135" t="str">
        <f>_xlfn.XLOOKUP(B135, [1]EFAY!$B:$B,[1]EFAY!$L:$L)</f>
        <v>#3226BK1 1/2 Size 320x260mm Taroko Granite Slate Black Marble Decal</v>
      </c>
      <c r="M135" s="3" t="s">
        <v>623</v>
      </c>
    </row>
    <row r="136" spans="1:13" x14ac:dyDescent="0.25">
      <c r="A136" t="str">
        <f>_xlfn.XLOOKUP(B136, [1]EFAY!$B:$B,[1]EFAY!$A:$A)</f>
        <v>5712-ETS-3217BK1</v>
      </c>
      <c r="B136" s="3" t="s">
        <v>46</v>
      </c>
      <c r="C136" t="s">
        <v>1089</v>
      </c>
      <c r="D136" t="str">
        <f>_xlfn.XLOOKUP(B136, [1]EFAY!$B:$B,[1]EFAY!$D:$D)</f>
        <v>&lt;4170613&gt;#3217BK1 1/3 SIZE 'TAROKO' GRANTIE SLATE,BLACK MARBLE DECAL (320X170mm)</v>
      </c>
      <c r="E136" t="str">
        <f>_xlfn.XLOOKUP(B136, [1]EFAY!$B:$B,[1]EFAY!$E:$E)</f>
        <v>NO TAG</v>
      </c>
      <c r="G136" t="s">
        <v>1094</v>
      </c>
      <c r="H136">
        <f>_xlfn.XLOOKUP(B136, [1]EFAY!$B:$B,[1]EFAY!$H:$H)</f>
        <v>19.239999999999998</v>
      </c>
      <c r="I136" t="str">
        <f>_xlfn.XLOOKUP(B136, [1]EFAY!$B:$B,[1]EFAY!$I:$I)</f>
        <v>JS-Janitorial and Stewarding</v>
      </c>
      <c r="J136" t="str">
        <f>_xlfn.XLOOKUP(B136, [1]EFAY!$B:$B,[1]EFAY!$J:$J)</f>
        <v>TAL-Table Accessories &amp; Linens</v>
      </c>
      <c r="K136" t="str">
        <f>_xlfn.XLOOKUP(B136, [1]EFAY!$B:$B,[1]EFAY!$K:$K)</f>
        <v>DEC-Decorations</v>
      </c>
      <c r="L136" t="str">
        <f>_xlfn.XLOOKUP(B136, [1]EFAY!$B:$B,[1]EFAY!$L:$L)</f>
        <v>#3217BK1 1/3 Size 320x170mm Taroko Granite Slate Black Marble Decal</v>
      </c>
      <c r="M136" s="3" t="s">
        <v>627</v>
      </c>
    </row>
    <row r="137" spans="1:13" x14ac:dyDescent="0.25">
      <c r="A137" t="str">
        <f>_xlfn.XLOOKUP(B137, [1]EFAY!$B:$B,[1]EFAY!$A:$A)</f>
        <v>5712-EXP-519803-BK</v>
      </c>
      <c r="B137" s="3" t="s">
        <v>633</v>
      </c>
      <c r="C137" t="s">
        <v>1089</v>
      </c>
      <c r="D137" t="str">
        <f>_xlfn.XLOOKUP(B137, [1]EFAY!$B:$B,[1]EFAY!$D:$D)</f>
        <v>W:3.5 X L:6.5cm, EXPLORER 2.5" MULTI ANGLE MENU SIGNAGE TAG (10 PCS/PKT)(BLACK) (SELL BY PKT)</v>
      </c>
      <c r="E137" t="str">
        <f>_xlfn.XLOOKUP(B137, [1]EFAY!$B:$B,[1]EFAY!$E:$E)</f>
        <v>NO TAG</v>
      </c>
      <c r="G137" t="s">
        <v>1094</v>
      </c>
      <c r="H137">
        <f>_xlfn.XLOOKUP(B137, [1]EFAY!$B:$B,[1]EFAY!$H:$H)</f>
        <v>1.2</v>
      </c>
      <c r="I137" t="str">
        <f>_xlfn.XLOOKUP(B137, [1]EFAY!$B:$B,[1]EFAY!$I:$I)</f>
        <v>JS-Janitorial and Stewarding</v>
      </c>
      <c r="J137" t="str">
        <f>_xlfn.XLOOKUP(B137, [1]EFAY!$B:$B,[1]EFAY!$J:$J)</f>
        <v>SM-Signage &amp; Miscellaneous</v>
      </c>
      <c r="K137" t="str">
        <f>_xlfn.XLOOKUP(B137, [1]EFAY!$B:$B,[1]EFAY!$K:$K)</f>
        <v>SGN-Signage</v>
      </c>
      <c r="L137" t="str">
        <f>_xlfn.XLOOKUP(B137, [1]EFAY!$B:$B,[1]EFAY!$L:$L)</f>
        <v>W3.5xL6.5cm Explorer 2.5" Multi Angle Menu Signage Tag Black</v>
      </c>
      <c r="M137" s="3" t="s">
        <v>635</v>
      </c>
    </row>
    <row r="138" spans="1:13" x14ac:dyDescent="0.25">
      <c r="A138" t="str">
        <f>_xlfn.XLOOKUP(B138, [1]EFAY!$B:$B,[1]EFAY!$A:$A)</f>
        <v>5712-ENAMEL-22051111WB</v>
      </c>
      <c r="B138" s="3">
        <v>2205111</v>
      </c>
      <c r="C138" t="s">
        <v>1089</v>
      </c>
      <c r="D138" t="str">
        <f>_xlfn.XLOOKUP(B138, [1]EFAY!$B:$B,[1]EFAY!$D:$D)</f>
        <v>27X20X4.2cm  "ENAMEL LOOK" RECT DEEP/SOUP PLATE(WHITE W/BLUE LINE)</v>
      </c>
      <c r="E138" t="str">
        <f>_xlfn.XLOOKUP(B138, [1]EFAY!$B:$B,[1]EFAY!$E:$E)</f>
        <v>NO TAG</v>
      </c>
      <c r="G138" t="s">
        <v>1094</v>
      </c>
      <c r="H138">
        <f>_xlfn.XLOOKUP(B138, [1]EFAY!$B:$B,[1]EFAY!$H:$H)</f>
        <v>6.23</v>
      </c>
      <c r="I138" t="str">
        <f>_xlfn.XLOOKUP(B138, [1]EFAY!$B:$B,[1]EFAY!$I:$I)</f>
        <v>JS-Janitorial and Stewarding</v>
      </c>
      <c r="J138" t="str">
        <f>_xlfn.XLOOKUP(B138, [1]EFAY!$B:$B,[1]EFAY!$J:$J)</f>
        <v>DWR-Dinnerware</v>
      </c>
      <c r="K138" t="str">
        <f>_xlfn.XLOOKUP(B138, [1]EFAY!$B:$B,[1]EFAY!$K:$K)</f>
        <v>BWL-Bowls</v>
      </c>
      <c r="L138" t="str">
        <f>_xlfn.XLOOKUP(B138, [1]EFAY!$B:$B,[1]EFAY!$L:$L)</f>
        <v>27x20x4.2cm Enamel Look White Rectangular Deep/Soup Plate with Blue Line</v>
      </c>
      <c r="M138" s="3" t="s">
        <v>551</v>
      </c>
    </row>
    <row r="139" spans="1:13" x14ac:dyDescent="0.25">
      <c r="A139" t="str">
        <f>_xlfn.XLOOKUP(B139, [1]EFAY!$B:$B,[1]EFAY!$A:$A)</f>
        <v>5712-EDP-1165AIV</v>
      </c>
      <c r="B139" s="3" t="s">
        <v>121</v>
      </c>
      <c r="C139" t="s">
        <v>1089</v>
      </c>
      <c r="D139" t="str">
        <f>_xlfn.XLOOKUP(B139, [1]EFAY!$B:$B,[1]EFAY!$D:$D)</f>
        <v>(WSL19)&lt;4171903&gt;#1165 1/1 x 65mm/2'' MELAMINE GN FOOD INSERT PAN (IVORY)</v>
      </c>
      <c r="E139" t="str">
        <f>_xlfn.XLOOKUP(B139, [1]EFAY!$B:$B,[1]EFAY!$E:$E)</f>
        <v>WSL WITH STOCK</v>
      </c>
      <c r="G139" t="s">
        <v>1094</v>
      </c>
      <c r="H139">
        <f>_xlfn.XLOOKUP(B139, [1]EFAY!$B:$B,[1]EFAY!$H:$H)</f>
        <v>37.65</v>
      </c>
      <c r="I139" t="str">
        <f>_xlfn.XLOOKUP(B139, [1]EFAY!$B:$B,[1]EFAY!$I:$I)</f>
        <v>JS-Janitorial and Stewarding</v>
      </c>
      <c r="J139" t="str">
        <f>_xlfn.XLOOKUP(B139, [1]EFAY!$B:$B,[1]EFAY!$J:$J)</f>
        <v>SS-Storage Solutions</v>
      </c>
      <c r="K139" t="str">
        <f>_xlfn.XLOOKUP(B139, [1]EFAY!$B:$B,[1]EFAY!$K:$K)</f>
        <v>FP-Food Pans</v>
      </c>
      <c r="L139" t="str">
        <f>_xlfn.XLOOKUP(B139, [1]EFAY!$B:$B,[1]EFAY!$L:$L)</f>
        <v>#1165 Melamine 1/1x65mm/2" GN Food Insert Pan Ivory</v>
      </c>
      <c r="M139" s="3" t="s">
        <v>639</v>
      </c>
    </row>
    <row r="140" spans="1:13" x14ac:dyDescent="0.25">
      <c r="A140" t="str">
        <f>_xlfn.XLOOKUP(B140, [1]EFAY!$B:$B,[1]EFAY!$A:$A)</f>
        <v>5712-EDP-2365AIV</v>
      </c>
      <c r="B140" s="3" t="s">
        <v>645</v>
      </c>
      <c r="C140" t="s">
        <v>1089</v>
      </c>
      <c r="D140" t="str">
        <f>_xlfn.XLOOKUP(B140, [1]EFAY!$B:$B,[1]EFAY!$D:$D)</f>
        <v>(WSL19)&lt;4172401&gt; #2365 2/3 x 65mm/2'' MELAMINE GN FOOD INSERT PAN (IVORY)</v>
      </c>
      <c r="E140" t="str">
        <f>_xlfn.XLOOKUP(B140, [1]EFAY!$B:$B,[1]EFAY!$E:$E)</f>
        <v>WSL WITH STOCK</v>
      </c>
      <c r="G140" t="s">
        <v>1094</v>
      </c>
      <c r="H140">
        <f>_xlfn.XLOOKUP(B140, [1]EFAY!$B:$B,[1]EFAY!$H:$H)</f>
        <v>33.43</v>
      </c>
      <c r="I140" t="str">
        <f>_xlfn.XLOOKUP(B140, [1]EFAY!$B:$B,[1]EFAY!$I:$I)</f>
        <v>JS-Janitorial and Stewarding</v>
      </c>
      <c r="J140" t="str">
        <f>_xlfn.XLOOKUP(B140, [1]EFAY!$B:$B,[1]EFAY!$J:$J)</f>
        <v>SS-Storage Solutions</v>
      </c>
      <c r="K140" t="str">
        <f>_xlfn.XLOOKUP(B140, [1]EFAY!$B:$B,[1]EFAY!$K:$K)</f>
        <v>FP-Food Pans</v>
      </c>
      <c r="L140" t="str">
        <f>_xlfn.XLOOKUP(B140, [1]EFAY!$B:$B,[1]EFAY!$L:$L)</f>
        <v>#2365 Melamine 2/3x65mm/2" GN Food Insert Pan Ivory</v>
      </c>
      <c r="M140" s="3" t="s">
        <v>647</v>
      </c>
    </row>
    <row r="141" spans="1:13" x14ac:dyDescent="0.25">
      <c r="A141" t="str">
        <f>_xlfn.XLOOKUP(B141, [1]EFAY!$B:$B,[1]EFAY!$A:$A)</f>
        <v>5712-EDP-1140AIV</v>
      </c>
      <c r="B141" s="3" t="s">
        <v>651</v>
      </c>
      <c r="C141" t="s">
        <v>1089</v>
      </c>
      <c r="D141" t="str">
        <f>_xlfn.XLOOKUP(B141, [1]EFAY!$B:$B,[1]EFAY!$D:$D)</f>
        <v>(WSL19)&lt;4171902&gt;#1140 1/1 x 40mm  MELAMINE GN FOOD INSERT PAN (IVORY)</v>
      </c>
      <c r="E141" t="str">
        <f>_xlfn.XLOOKUP(B141, [1]EFAY!$B:$B,[1]EFAY!$E:$E)</f>
        <v>WSL WITH STOCK</v>
      </c>
      <c r="G141" t="s">
        <v>1094</v>
      </c>
      <c r="H141">
        <f>_xlfn.XLOOKUP(B141, [1]EFAY!$B:$B,[1]EFAY!$H:$H)</f>
        <v>27.32</v>
      </c>
      <c r="I141" t="str">
        <f>_xlfn.XLOOKUP(B141, [1]EFAY!$B:$B,[1]EFAY!$I:$I)</f>
        <v>JS-Janitorial and Stewarding</v>
      </c>
      <c r="J141" t="str">
        <f>_xlfn.XLOOKUP(B141, [1]EFAY!$B:$B,[1]EFAY!$J:$J)</f>
        <v>SS-Storage Solutions</v>
      </c>
      <c r="K141" t="str">
        <f>_xlfn.XLOOKUP(B141, [1]EFAY!$B:$B,[1]EFAY!$K:$K)</f>
        <v>FP-Food Pans</v>
      </c>
      <c r="L141" t="str">
        <f>_xlfn.XLOOKUP(B141, [1]EFAY!$B:$B,[1]EFAY!$L:$L)</f>
        <v>#1140 Melamine 1/1 40mm GN Food Insert Pan Ivory</v>
      </c>
      <c r="M141" s="3" t="s">
        <v>648</v>
      </c>
    </row>
    <row r="142" spans="1:13" x14ac:dyDescent="0.25">
      <c r="A142" t="str">
        <f>_xlfn.XLOOKUP(B142, [1]EFAY!$B:$B,[1]EFAY!$A:$A)</f>
        <v>5712-EDP-1120AIV</v>
      </c>
      <c r="B142" s="3" t="s">
        <v>115</v>
      </c>
      <c r="C142" t="s">
        <v>1089</v>
      </c>
      <c r="D142" t="str">
        <f>_xlfn.XLOOKUP(B142, [1]EFAY!$B:$B,[1]EFAY!$D:$D)</f>
        <v>&lt;4171901&gt; #1120 1/1 x 20mm/1" MELAMINE GN FOOD INSERT PAN (IVORY)</v>
      </c>
      <c r="E142" t="str">
        <f>_xlfn.XLOOKUP(B142, [1]EFAY!$B:$B,[1]EFAY!$E:$E)</f>
        <v>NO TAG</v>
      </c>
      <c r="G142" t="s">
        <v>1094</v>
      </c>
      <c r="H142">
        <f>_xlfn.XLOOKUP(B142, [1]EFAY!$B:$B,[1]EFAY!$H:$H)</f>
        <v>19.41</v>
      </c>
      <c r="I142" t="str">
        <f>_xlfn.XLOOKUP(B142, [1]EFAY!$B:$B,[1]EFAY!$I:$I)</f>
        <v>JS-Janitorial and Stewarding</v>
      </c>
      <c r="J142" t="str">
        <f>_xlfn.XLOOKUP(B142, [1]EFAY!$B:$B,[1]EFAY!$J:$J)</f>
        <v>SS-Storage Solutions</v>
      </c>
      <c r="K142" t="str">
        <f>_xlfn.XLOOKUP(B142, [1]EFAY!$B:$B,[1]EFAY!$K:$K)</f>
        <v>FP-Food Pans</v>
      </c>
      <c r="L142" t="str">
        <f>_xlfn.XLOOKUP(B142, [1]EFAY!$B:$B,[1]EFAY!$L:$L)</f>
        <v>#1120 Melamine 1/1 20mm/1" GN Food Insert Pan Ivory</v>
      </c>
      <c r="M142" s="3" t="s">
        <v>653</v>
      </c>
    </row>
    <row r="143" spans="1:13" x14ac:dyDescent="0.25">
      <c r="A143" t="str">
        <f>_xlfn.XLOOKUP(B143, [1]EFAY!$B:$B,[1]EFAY!$A:$A)</f>
        <v>5712-EDP-11100EIV</v>
      </c>
      <c r="B143" s="3" t="s">
        <v>16</v>
      </c>
      <c r="C143" t="s">
        <v>1089</v>
      </c>
      <c r="D143" t="str">
        <f>_xlfn.XLOOKUP(B143, [1]EFAY!$B:$B,[1]EFAY!$D:$D)</f>
        <v>#11100EIV, 1/1 x 100mm/4'' "EUROPE STYLE"MELAMINE GN FOOD INSERT PAN (IVORY)</v>
      </c>
      <c r="E143" t="str">
        <f>_xlfn.XLOOKUP(B143, [1]EFAY!$B:$B,[1]EFAY!$E:$E)</f>
        <v>NO TAG</v>
      </c>
      <c r="G143" t="s">
        <v>1094</v>
      </c>
      <c r="H143">
        <f>_xlfn.XLOOKUP(B143, [1]EFAY!$B:$B,[1]EFAY!$H:$H)</f>
        <v>49</v>
      </c>
      <c r="I143" t="str">
        <f>_xlfn.XLOOKUP(B143, [1]EFAY!$B:$B,[1]EFAY!$I:$I)</f>
        <v>JS-Janitorial and Stewarding</v>
      </c>
      <c r="J143" t="str">
        <f>_xlfn.XLOOKUP(B143, [1]EFAY!$B:$B,[1]EFAY!$J:$J)</f>
        <v>SS-Storage Solutions</v>
      </c>
      <c r="K143" t="str">
        <f>_xlfn.XLOOKUP(B143, [1]EFAY!$B:$B,[1]EFAY!$K:$K)</f>
        <v>FP-Food Pans</v>
      </c>
      <c r="L143" t="str">
        <f>_xlfn.XLOOKUP(B143, [1]EFAY!$B:$B,[1]EFAY!$L:$L)</f>
        <v>#11100EIV 1/1x100mm/4" Europe Style Melamine GN Food Insert Pan Ivory</v>
      </c>
      <c r="M143" s="3" t="s">
        <v>660</v>
      </c>
    </row>
    <row r="144" spans="1:13" x14ac:dyDescent="0.25">
      <c r="A144" t="str">
        <f>_xlfn.XLOOKUP(B144, [1]EFAY!$B:$B,[1]EFAY!$A:$A)</f>
        <v>5712-EDP-1265AIV</v>
      </c>
      <c r="B144" s="3" t="s">
        <v>664</v>
      </c>
      <c r="C144" t="s">
        <v>1089</v>
      </c>
      <c r="D144" t="str">
        <f>_xlfn.XLOOKUP(B144, [1]EFAY!$B:$B,[1]EFAY!$D:$D)</f>
        <v>&lt;4172003&gt;#1265 1/2 x 65mm/2.5" MELAMINE GN FOOD INSERT PAN (IVORY)</v>
      </c>
      <c r="E144" t="str">
        <f>_xlfn.XLOOKUP(B144, [1]EFAY!$B:$B,[1]EFAY!$E:$E)</f>
        <v>NO TAG</v>
      </c>
      <c r="G144" t="s">
        <v>1094</v>
      </c>
      <c r="H144">
        <f>_xlfn.XLOOKUP(B144, [1]EFAY!$B:$B,[1]EFAY!$H:$H)</f>
        <v>20.13</v>
      </c>
      <c r="I144" t="str">
        <f>_xlfn.XLOOKUP(B144, [1]EFAY!$B:$B,[1]EFAY!$I:$I)</f>
        <v>JS-Janitorial and Stewarding</v>
      </c>
      <c r="J144" t="str">
        <f>_xlfn.XLOOKUP(B144, [1]EFAY!$B:$B,[1]EFAY!$J:$J)</f>
        <v>SS-Storage Solutions</v>
      </c>
      <c r="K144" t="str">
        <f>_xlfn.XLOOKUP(B144, [1]EFAY!$B:$B,[1]EFAY!$K:$K)</f>
        <v>FP-Food Pans</v>
      </c>
      <c r="L144" t="str">
        <f>_xlfn.XLOOKUP(B144, [1]EFAY!$B:$B,[1]EFAY!$L:$L)</f>
        <v>#1265  Melamine 1/2x65mm/2.5" GN Food Insert Pan Ivory</v>
      </c>
      <c r="M144" s="3" t="s">
        <v>661</v>
      </c>
    </row>
    <row r="145" spans="1:13" x14ac:dyDescent="0.25">
      <c r="A145" t="str">
        <f>_xlfn.XLOOKUP(B145, [1]EFAY!$B:$B,[1]EFAY!$A:$A)</f>
        <v>5712-EDP-1240AIV</v>
      </c>
      <c r="B145" s="3" t="s">
        <v>235</v>
      </c>
      <c r="C145" t="s">
        <v>1089</v>
      </c>
      <c r="D145" t="str">
        <f>_xlfn.XLOOKUP(B145, [1]EFAY!$B:$B,[1]EFAY!$D:$D)</f>
        <v>&lt;4172002&gt;#1240 1/2 x 40mm  MELAMINE GN FOOD INSERT PAN (IVORY)</v>
      </c>
      <c r="E145" t="str">
        <f>_xlfn.XLOOKUP(B145, [1]EFAY!$B:$B,[1]EFAY!$E:$E)</f>
        <v>NO TAG</v>
      </c>
      <c r="G145" t="s">
        <v>1094</v>
      </c>
      <c r="H145">
        <f>_xlfn.XLOOKUP(B145, [1]EFAY!$B:$B,[1]EFAY!$H:$H)</f>
        <v>17.97</v>
      </c>
      <c r="I145" t="str">
        <f>_xlfn.XLOOKUP(B145, [1]EFAY!$B:$B,[1]EFAY!$I:$I)</f>
        <v>JS-Janitorial and Stewarding</v>
      </c>
      <c r="J145" t="str">
        <f>_xlfn.XLOOKUP(B145, [1]EFAY!$B:$B,[1]EFAY!$J:$J)</f>
        <v>SS-Storage Solutions</v>
      </c>
      <c r="K145" t="str">
        <f>_xlfn.XLOOKUP(B145, [1]EFAY!$B:$B,[1]EFAY!$K:$K)</f>
        <v>FP-Food Pans</v>
      </c>
      <c r="L145" t="str">
        <f>_xlfn.XLOOKUP(B145, [1]EFAY!$B:$B,[1]EFAY!$L:$L)</f>
        <v>#1240 Melamine 1/2x40mm GN Food Insert Pan Ivory</v>
      </c>
      <c r="M145" s="3" t="s">
        <v>666</v>
      </c>
    </row>
    <row r="146" spans="1:13" x14ac:dyDescent="0.25">
      <c r="A146" t="str">
        <f>_xlfn.XLOOKUP(B146, [1]EFAY!$B:$B,[1]EFAY!$A:$A)</f>
        <v>5712-EDP-1220AIV</v>
      </c>
      <c r="B146" s="3" t="s">
        <v>236</v>
      </c>
      <c r="C146" t="s">
        <v>1089</v>
      </c>
      <c r="D146" t="str">
        <f>_xlfn.XLOOKUP(B146, [1]EFAY!$B:$B,[1]EFAY!$D:$D)</f>
        <v>&lt;4172001&gt;#1220 1/2 x 20mm/1" MELAMINE GN FOOD INSERT PAN (IVORY)</v>
      </c>
      <c r="E146" t="str">
        <f>_xlfn.XLOOKUP(B146, [1]EFAY!$B:$B,[1]EFAY!$E:$E)</f>
        <v>NO TAG</v>
      </c>
      <c r="G146" t="s">
        <v>1094</v>
      </c>
      <c r="H146">
        <f>_xlfn.XLOOKUP(B146, [1]EFAY!$B:$B,[1]EFAY!$H:$H)</f>
        <v>10.1</v>
      </c>
      <c r="I146" t="str">
        <f>_xlfn.XLOOKUP(B146, [1]EFAY!$B:$B,[1]EFAY!$I:$I)</f>
        <v>JS-Janitorial and Stewarding</v>
      </c>
      <c r="J146" t="str">
        <f>_xlfn.XLOOKUP(B146, [1]EFAY!$B:$B,[1]EFAY!$J:$J)</f>
        <v>SS-Storage Solutions</v>
      </c>
      <c r="K146" t="str">
        <f>_xlfn.XLOOKUP(B146, [1]EFAY!$B:$B,[1]EFAY!$K:$K)</f>
        <v>FP-Food Pans</v>
      </c>
      <c r="L146" t="str">
        <f>_xlfn.XLOOKUP(B146, [1]EFAY!$B:$B,[1]EFAY!$L:$L)</f>
        <v>#1220 Melamine 1/2x20mm/1" GN Food Insert Pan Ivory</v>
      </c>
      <c r="M146" s="3" t="s">
        <v>670</v>
      </c>
    </row>
    <row r="147" spans="1:13" x14ac:dyDescent="0.25">
      <c r="A147" t="str">
        <f>_xlfn.XLOOKUP(B147, [1]EFAY!$B:$B,[1]EFAY!$A:$A)</f>
        <v>5712-EDP-12100AIV</v>
      </c>
      <c r="B147" s="3" t="s">
        <v>677</v>
      </c>
      <c r="C147" t="s">
        <v>1089</v>
      </c>
      <c r="D147" t="str">
        <f>_xlfn.XLOOKUP(B147, [1]EFAY!$B:$B,[1]EFAY!$D:$D)</f>
        <v>&lt;4172004&gt; #12100 1/2 x 100mm/4" MELAMINE GN FOOD INSERT PAN (IVORY)</v>
      </c>
      <c r="E147" t="str">
        <f>_xlfn.XLOOKUP(B147, [1]EFAY!$B:$B,[1]EFAY!$E:$E)</f>
        <v>NO TAG</v>
      </c>
      <c r="G147" t="s">
        <v>1094</v>
      </c>
      <c r="H147">
        <f>_xlfn.XLOOKUP(B147, [1]EFAY!$B:$B,[1]EFAY!$H:$H)</f>
        <v>23.96</v>
      </c>
      <c r="I147" t="str">
        <f>_xlfn.XLOOKUP(B147, [1]EFAY!$B:$B,[1]EFAY!$I:$I)</f>
        <v>JS-Janitorial and Stewarding</v>
      </c>
      <c r="J147" t="str">
        <f>_xlfn.XLOOKUP(B147, [1]EFAY!$B:$B,[1]EFAY!$J:$J)</f>
        <v>SS-Storage Solutions</v>
      </c>
      <c r="K147" t="str">
        <f>_xlfn.XLOOKUP(B147, [1]EFAY!$B:$B,[1]EFAY!$K:$K)</f>
        <v>FP-Food Pans</v>
      </c>
      <c r="L147" t="str">
        <f>_xlfn.XLOOKUP(B147, [1]EFAY!$B:$B,[1]EFAY!$L:$L)</f>
        <v>#12100 Melamine 1/2x100mm/4" GN Food Insert Pan Ivory</v>
      </c>
      <c r="M147" s="3" t="s">
        <v>674</v>
      </c>
    </row>
    <row r="148" spans="1:13" x14ac:dyDescent="0.25">
      <c r="A148" t="str">
        <f>_xlfn.XLOOKUP(B148, [1]EFAY!$B:$B,[1]EFAY!$A:$A)</f>
        <v>5712-EDP-2465AIV</v>
      </c>
      <c r="B148" s="3" t="s">
        <v>150</v>
      </c>
      <c r="C148" t="s">
        <v>1089</v>
      </c>
      <c r="D148" t="str">
        <f>_xlfn.XLOOKUP(B148, [1]EFAY!$B:$B,[1]EFAY!$D:$D)</f>
        <v>(ID-MOQ) &lt;4172502&gt; #2465 2/4x65mm/2" (525X160mm) MELAMINE GN FOOD INSERT PAN (IVORY)</v>
      </c>
      <c r="E148" t="str">
        <f>_xlfn.XLOOKUP(B148, [1]EFAY!$B:$B,[1]EFAY!$E:$E)</f>
        <v>ID NO STOCK</v>
      </c>
      <c r="G148" t="s">
        <v>1094</v>
      </c>
      <c r="H148">
        <f>_xlfn.XLOOKUP(B148, [1]EFAY!$B:$B,[1]EFAY!$H:$H)</f>
        <v>24.44</v>
      </c>
      <c r="I148" t="str">
        <f>_xlfn.XLOOKUP(B148, [1]EFAY!$B:$B,[1]EFAY!$I:$I)</f>
        <v>JS-Janitorial and Stewarding</v>
      </c>
      <c r="J148" t="str">
        <f>_xlfn.XLOOKUP(B148, [1]EFAY!$B:$B,[1]EFAY!$J:$J)</f>
        <v>SS-Storage Solutions</v>
      </c>
      <c r="K148" t="str">
        <f>_xlfn.XLOOKUP(B148, [1]EFAY!$B:$B,[1]EFAY!$K:$K)</f>
        <v>FP-Food Pans</v>
      </c>
      <c r="L148" t="str">
        <f>_xlfn.XLOOKUP(B148, [1]EFAY!$B:$B,[1]EFAY!$L:$L)</f>
        <v>#2465 Melamine 2/4x65mm 2" GN Food Insert Pan Ivory</v>
      </c>
      <c r="M148" s="3" t="s">
        <v>682</v>
      </c>
    </row>
    <row r="149" spans="1:13" x14ac:dyDescent="0.25">
      <c r="A149" t="str">
        <f>_xlfn.XLOOKUP(B149, [1]EFAY!$B:$B,[1]EFAY!$A:$A)</f>
        <v>5712-EDP-1465AIV</v>
      </c>
      <c r="B149" s="3" t="s">
        <v>132</v>
      </c>
      <c r="C149" t="s">
        <v>1089</v>
      </c>
      <c r="D149" t="str">
        <f>_xlfn.XLOOKUP(B149, [1]EFAY!$B:$B,[1]EFAY!$D:$D)</f>
        <v>&lt;4172201&gt; #1465 1/4 x 65mm/2" MELAMINE GN FOOD INSERT PAN (IVORY)</v>
      </c>
      <c r="E149" t="str">
        <f>_xlfn.XLOOKUP(B149, [1]EFAY!$B:$B,[1]EFAY!$E:$E)</f>
        <v>NO TAG</v>
      </c>
      <c r="G149" t="s">
        <v>1094</v>
      </c>
      <c r="H149">
        <f>_xlfn.XLOOKUP(B149, [1]EFAY!$B:$B,[1]EFAY!$H:$H)</f>
        <v>16.53</v>
      </c>
      <c r="I149" t="str">
        <f>_xlfn.XLOOKUP(B149, [1]EFAY!$B:$B,[1]EFAY!$I:$I)</f>
        <v>JS-Janitorial and Stewarding</v>
      </c>
      <c r="J149" t="str">
        <f>_xlfn.XLOOKUP(B149, [1]EFAY!$B:$B,[1]EFAY!$J:$J)</f>
        <v>SS-Storage Solutions</v>
      </c>
      <c r="K149" t="str">
        <f>_xlfn.XLOOKUP(B149, [1]EFAY!$B:$B,[1]EFAY!$K:$K)</f>
        <v>FP-Food Pans</v>
      </c>
      <c r="L149" t="str">
        <f>_xlfn.XLOOKUP(B149, [1]EFAY!$B:$B,[1]EFAY!$L:$L)</f>
        <v>#1465 Melamine 1/4x65mm/2" GN Food Insert Pan Ivory</v>
      </c>
      <c r="M149" s="3" t="s">
        <v>686</v>
      </c>
    </row>
    <row r="150" spans="1:13" x14ac:dyDescent="0.25">
      <c r="A150" t="str">
        <f>_xlfn.XLOOKUP(B150, [1]EFAY!$B:$B,[1]EFAY!$A:$A)</f>
        <v>5712-EDP-1665AIV</v>
      </c>
      <c r="B150" s="3" t="s">
        <v>165</v>
      </c>
      <c r="C150" t="s">
        <v>1089</v>
      </c>
      <c r="D150" t="str">
        <f>_xlfn.XLOOKUP(B150, [1]EFAY!$B:$B,[1]EFAY!$D:$D)</f>
        <v>(WSL19)&lt;4172301&gt;#1665 1/6 x 65mm/2'' MELAMINE GN FOOD INSERT PAN (IVORY)</v>
      </c>
      <c r="E150" t="str">
        <f>_xlfn.XLOOKUP(B150, [1]EFAY!$B:$B,[1]EFAY!$E:$E)</f>
        <v>WSL WITH STOCK</v>
      </c>
      <c r="G150" t="s">
        <v>1094</v>
      </c>
      <c r="H150">
        <f>_xlfn.XLOOKUP(B150, [1]EFAY!$B:$B,[1]EFAY!$H:$H)</f>
        <v>11.14</v>
      </c>
      <c r="I150" t="str">
        <f>_xlfn.XLOOKUP(B150, [1]EFAY!$B:$B,[1]EFAY!$I:$I)</f>
        <v>JS-Janitorial and Stewarding</v>
      </c>
      <c r="J150" t="str">
        <f>_xlfn.XLOOKUP(B150, [1]EFAY!$B:$B,[1]EFAY!$J:$J)</f>
        <v>SS-Storage Solutions</v>
      </c>
      <c r="K150" t="str">
        <f>_xlfn.XLOOKUP(B150, [1]EFAY!$B:$B,[1]EFAY!$K:$K)</f>
        <v>FP-Food Pans</v>
      </c>
      <c r="L150" t="str">
        <f>_xlfn.XLOOKUP(B150, [1]EFAY!$B:$B,[1]EFAY!$L:$L)</f>
        <v>#1665 Melamine 1/6x65mm/2" GN Food Insert Pan Ivory</v>
      </c>
      <c r="M150" s="3" t="s">
        <v>690</v>
      </c>
    </row>
    <row r="151" spans="1:13" x14ac:dyDescent="0.25">
      <c r="A151" t="str">
        <f>_xlfn.XLOOKUP(B151, [1]EFAY!$B:$B,[1]EFAY!$A:$A)</f>
        <v>5712-EDP-2420AIV</v>
      </c>
      <c r="B151" s="3" t="s">
        <v>234</v>
      </c>
      <c r="C151" t="s">
        <v>1089</v>
      </c>
      <c r="D151" t="str">
        <f>_xlfn.XLOOKUP(B151, [1]EFAY!$B:$B,[1]EFAY!$D:$D)</f>
        <v>&lt;4172501&gt; #2420 2/4x20mm/1" (525X160mm) MELAMINE GN FOOD INSERT PAN (IVORY)</v>
      </c>
      <c r="E151" t="str">
        <f>_xlfn.XLOOKUP(B151, [1]EFAY!$B:$B,[1]EFAY!$E:$E)</f>
        <v>NO TAG</v>
      </c>
      <c r="G151" t="s">
        <v>1094</v>
      </c>
      <c r="H151">
        <f>_xlfn.XLOOKUP(B151, [1]EFAY!$B:$B,[1]EFAY!$H:$H)</f>
        <v>14.74</v>
      </c>
      <c r="I151" t="str">
        <f>_xlfn.XLOOKUP(B151, [1]EFAY!$B:$B,[1]EFAY!$I:$I)</f>
        <v>JS-Janitorial and Stewarding</v>
      </c>
      <c r="J151" t="str">
        <f>_xlfn.XLOOKUP(B151, [1]EFAY!$B:$B,[1]EFAY!$J:$J)</f>
        <v>SS-Storage Solutions</v>
      </c>
      <c r="K151" t="str">
        <f>_xlfn.XLOOKUP(B151, [1]EFAY!$B:$B,[1]EFAY!$K:$K)</f>
        <v>FP-Food Pans</v>
      </c>
      <c r="L151" t="str">
        <f>_xlfn.XLOOKUP(B151, [1]EFAY!$B:$B,[1]EFAY!$L:$L)</f>
        <v>#2420 Melamine 2/4x20mm/1" 525x160mm GN Food Insert Pan Ivory</v>
      </c>
      <c r="M151" s="3" t="s">
        <v>694</v>
      </c>
    </row>
    <row r="152" spans="1:13" x14ac:dyDescent="0.25">
      <c r="A152" t="str">
        <f>_xlfn.XLOOKUP(B152, [1]EFAY!$B:$B,[1]EFAY!$A:$A)</f>
        <v>5712-EDP-16100AIV</v>
      </c>
      <c r="B152" s="3" t="s">
        <v>117</v>
      </c>
      <c r="C152" t="s">
        <v>1089</v>
      </c>
      <c r="D152" t="str">
        <f>_xlfn.XLOOKUP(B152, [1]EFAY!$B:$B,[1]EFAY!$D:$D)</f>
        <v>&lt;4172302&gt; #16100 1/6 x 100mm/4" MELAMINE GN FOOD INSERT PAN (IVORY)</v>
      </c>
      <c r="E152" t="str">
        <f>_xlfn.XLOOKUP(B152, [1]EFAY!$B:$B,[1]EFAY!$E:$E)</f>
        <v>NO TAG</v>
      </c>
      <c r="G152" t="s">
        <v>1094</v>
      </c>
      <c r="H152">
        <f>_xlfn.XLOOKUP(B152, [1]EFAY!$B:$B,[1]EFAY!$H:$H)</f>
        <v>13.66</v>
      </c>
      <c r="I152" t="str">
        <f>_xlfn.XLOOKUP(B152, [1]EFAY!$B:$B,[1]EFAY!$I:$I)</f>
        <v>JS-Janitorial and Stewarding</v>
      </c>
      <c r="J152" t="str">
        <f>_xlfn.XLOOKUP(B152, [1]EFAY!$B:$B,[1]EFAY!$J:$J)</f>
        <v>SS-Storage Solutions</v>
      </c>
      <c r="K152" t="str">
        <f>_xlfn.XLOOKUP(B152, [1]EFAY!$B:$B,[1]EFAY!$K:$K)</f>
        <v>FP-Food Pans</v>
      </c>
      <c r="L152" t="str">
        <f>_xlfn.XLOOKUP(B152, [1]EFAY!$B:$B,[1]EFAY!$L:$L)</f>
        <v>#16100 Melamine 1/6x100mm/4" GN Food Insert Pan Ivory</v>
      </c>
      <c r="M152" s="3" t="s">
        <v>695</v>
      </c>
    </row>
    <row r="153" spans="1:13" x14ac:dyDescent="0.25">
      <c r="A153" t="str">
        <f>_xlfn.XLOOKUP(B153, [1]EFAY!$B:$B,[1]EFAY!$A:$A)</f>
        <v>5712-EDP-1365AIV</v>
      </c>
      <c r="B153" s="3" t="s">
        <v>131</v>
      </c>
      <c r="C153" t="s">
        <v>1089</v>
      </c>
      <c r="D153" t="str">
        <f>_xlfn.XLOOKUP(B153, [1]EFAY!$B:$B,[1]EFAY!$D:$D)</f>
        <v>&lt;4172101&gt;#1365 1/3 x 65mm/2" MELAMINE GN FOOD INSERT PAN (IVORY)</v>
      </c>
      <c r="E153" t="str">
        <f>_xlfn.XLOOKUP(B153, [1]EFAY!$B:$B,[1]EFAY!$E:$E)</f>
        <v>NO TAG</v>
      </c>
      <c r="G153" t="s">
        <v>1094</v>
      </c>
      <c r="H153">
        <f>_xlfn.XLOOKUP(B153, [1]EFAY!$B:$B,[1]EFAY!$H:$H)</f>
        <v>14.74</v>
      </c>
      <c r="I153" t="str">
        <f>_xlfn.XLOOKUP(B153, [1]EFAY!$B:$B,[1]EFAY!$I:$I)</f>
        <v>JS-Janitorial and Stewarding</v>
      </c>
      <c r="J153" t="str">
        <f>_xlfn.XLOOKUP(B153, [1]EFAY!$B:$B,[1]EFAY!$J:$J)</f>
        <v>SS-Storage Solutions</v>
      </c>
      <c r="K153" t="str">
        <f>_xlfn.XLOOKUP(B153, [1]EFAY!$B:$B,[1]EFAY!$K:$K)</f>
        <v>FP-Food Pans</v>
      </c>
      <c r="L153" t="str">
        <f>_xlfn.XLOOKUP(B153, [1]EFAY!$B:$B,[1]EFAY!$L:$L)</f>
        <v>#1365 Melamine 1/3x65mm/2" GN Food Insert Pan Ivory</v>
      </c>
      <c r="M153" s="3" t="s">
        <v>699</v>
      </c>
    </row>
    <row r="154" spans="1:13" x14ac:dyDescent="0.25">
      <c r="A154" t="str">
        <f>_xlfn.XLOOKUP(B154, [1]EFAY!$B:$B,[1]EFAY!$A:$A)</f>
        <v>5712-EDP-13100AIV</v>
      </c>
      <c r="B154" s="3" t="s">
        <v>142</v>
      </c>
      <c r="C154" t="s">
        <v>1089</v>
      </c>
      <c r="D154" t="str">
        <f>_xlfn.XLOOKUP(B154, [1]EFAY!$B:$B,[1]EFAY!$D:$D)</f>
        <v>&lt;4172102&gt;#13100 1/3 x 100mm/4" MELAMINE GN FOOD INSERT PAN (IVORY)</v>
      </c>
      <c r="E154" t="str">
        <f>_xlfn.XLOOKUP(B154, [1]EFAY!$B:$B,[1]EFAY!$E:$E)</f>
        <v>NO TAG</v>
      </c>
      <c r="G154" t="s">
        <v>1094</v>
      </c>
      <c r="H154">
        <f>_xlfn.XLOOKUP(B154, [1]EFAY!$B:$B,[1]EFAY!$H:$H)</f>
        <v>19.41</v>
      </c>
      <c r="I154" t="str">
        <f>_xlfn.XLOOKUP(B154, [1]EFAY!$B:$B,[1]EFAY!$I:$I)</f>
        <v>JS-Janitorial and Stewarding</v>
      </c>
      <c r="J154" t="str">
        <f>_xlfn.XLOOKUP(B154, [1]EFAY!$B:$B,[1]EFAY!$J:$J)</f>
        <v>SS-Storage Solutions</v>
      </c>
      <c r="K154" t="str">
        <f>_xlfn.XLOOKUP(B154, [1]EFAY!$B:$B,[1]EFAY!$K:$K)</f>
        <v>FP-Food Pans</v>
      </c>
      <c r="L154" t="str">
        <f>_xlfn.XLOOKUP(B154, [1]EFAY!$B:$B,[1]EFAY!$L:$L)</f>
        <v>#13100 Melamine 1/3x100mm/4" GN Food Insert Pan Ivory</v>
      </c>
      <c r="M154" s="3" t="s">
        <v>703</v>
      </c>
    </row>
    <row r="155" spans="1:13" x14ac:dyDescent="0.25">
      <c r="A155" t="str">
        <f>_xlfn.XLOOKUP(B155, [1]EFAY!$B:$B,[1]EFAY!$A:$A)</f>
        <v>5712-WOOD-407212ER5</v>
      </c>
      <c r="B155" s="3" t="s">
        <v>256</v>
      </c>
      <c r="C155" t="s">
        <v>1089</v>
      </c>
      <c r="D155" t="str">
        <f>_xlfn.XLOOKUP(B155, [1]EFAY!$B:$B,[1]EFAY!$D:$D)</f>
        <v>#407212, L:30xW:5cm RECT. WOODY BAKER PASTRY TRAY</v>
      </c>
      <c r="E155" t="str">
        <f>_xlfn.XLOOKUP(B155, [1]EFAY!$B:$B,[1]EFAY!$E:$E)</f>
        <v>NO TAG</v>
      </c>
      <c r="G155" t="s">
        <v>1094</v>
      </c>
      <c r="H155">
        <f>_xlfn.XLOOKUP(B155, [1]EFAY!$B:$B,[1]EFAY!$H:$H)</f>
        <v>2.48</v>
      </c>
      <c r="I155" t="str">
        <f>_xlfn.XLOOKUP(B155, [1]EFAY!$B:$B,[1]EFAY!$I:$I)</f>
        <v>JS-Janitorial and Stewarding</v>
      </c>
      <c r="J155" t="str">
        <f>_xlfn.XLOOKUP(B155, [1]EFAY!$B:$B,[1]EFAY!$J:$J)</f>
        <v>BW-Bakeware</v>
      </c>
      <c r="K155" t="str">
        <f>_xlfn.XLOOKUP(B155, [1]EFAY!$B:$B,[1]EFAY!$K:$K)</f>
        <v>BPT-Baking Pans &amp; Trays</v>
      </c>
      <c r="L155" t="str">
        <f>_xlfn.XLOOKUP(B155, [1]EFAY!$B:$B,[1]EFAY!$L:$L)</f>
        <v>L30xW5cm Woody Baker Rectangular Pastry Tray</v>
      </c>
      <c r="M155" s="3" t="s">
        <v>710</v>
      </c>
    </row>
    <row r="156" spans="1:13" x14ac:dyDescent="0.25">
      <c r="A156" t="str">
        <f>_xlfn.XLOOKUP(B156, [1]EFAY!$B:$B,[1]EFAY!$A:$A)</f>
        <v>5712-WOOD-407312ER5</v>
      </c>
      <c r="B156" s="3" t="s">
        <v>224</v>
      </c>
      <c r="C156" t="s">
        <v>1089</v>
      </c>
      <c r="D156" t="str">
        <f>_xlfn.XLOOKUP(B156, [1]EFAY!$B:$B,[1]EFAY!$D:$D)</f>
        <v>#407312, L:30xW:10cm RECT. WOODY BAKER PASTRY TRAY</v>
      </c>
      <c r="E156" t="str">
        <f>_xlfn.XLOOKUP(B156, [1]EFAY!$B:$B,[1]EFAY!$E:$E)</f>
        <v>NO TAG</v>
      </c>
      <c r="G156" t="s">
        <v>1094</v>
      </c>
      <c r="H156">
        <f>_xlfn.XLOOKUP(B156, [1]EFAY!$B:$B,[1]EFAY!$H:$H)</f>
        <v>4.01</v>
      </c>
      <c r="I156" t="str">
        <f>_xlfn.XLOOKUP(B156, [1]EFAY!$B:$B,[1]EFAY!$I:$I)</f>
        <v>JS-Janitorial and Stewarding</v>
      </c>
      <c r="J156" t="str">
        <f>_xlfn.XLOOKUP(B156, [1]EFAY!$B:$B,[1]EFAY!$J:$J)</f>
        <v>BW-Bakeware</v>
      </c>
      <c r="K156" t="str">
        <f>_xlfn.XLOOKUP(B156, [1]EFAY!$B:$B,[1]EFAY!$K:$K)</f>
        <v>BPT-Baking Pans &amp; Trays</v>
      </c>
      <c r="L156" t="str">
        <f>_xlfn.XLOOKUP(B156, [1]EFAY!$B:$B,[1]EFAY!$L:$L)</f>
        <v>#407212 L30xW10cm Woody Baker Rectangular Pastry Tray</v>
      </c>
      <c r="M156" s="3" t="s">
        <v>714</v>
      </c>
    </row>
    <row r="157" spans="1:13" x14ac:dyDescent="0.25">
      <c r="A157" t="str">
        <f>_xlfn.XLOOKUP(B157, [1]EFAY!$B:$B,[1]EFAY!$A:$A)</f>
        <v>5712-IDS-R0603GR</v>
      </c>
      <c r="B157" s="3" t="s">
        <v>717</v>
      </c>
      <c r="C157" t="s">
        <v>1089</v>
      </c>
      <c r="D157" t="str">
        <f>_xlfn.XLOOKUP(B157, [1]EFAY!$B:$B,[1]EFAY!$D:$D)</f>
        <v>(*SPO18-POA)#920603GR ,3"HT 3D "DANCE" DISPLAY STAND (GREEN)</v>
      </c>
      <c r="E157" t="str">
        <f>_xlfn.XLOOKUP(B157, [1]EFAY!$B:$B,[1]EFAY!$E:$E)</f>
        <v>NO TAG</v>
      </c>
      <c r="G157" t="s">
        <v>1094</v>
      </c>
      <c r="H157">
        <f>_xlfn.XLOOKUP(B157, [1]EFAY!$B:$B,[1]EFAY!$H:$H)</f>
        <v>4.6500000000000004</v>
      </c>
      <c r="I157" t="str">
        <f>_xlfn.XLOOKUP(B157, [1]EFAY!$B:$B,[1]EFAY!$I:$I)</f>
        <v>JS-Janitorial and Stewarding</v>
      </c>
      <c r="J157" t="str">
        <f>_xlfn.XLOOKUP(B157, [1]EFAY!$B:$B,[1]EFAY!$J:$J)</f>
        <v>SVW-Serveware</v>
      </c>
      <c r="K157" t="str">
        <f>_xlfn.XLOOKUP(B157, [1]EFAY!$B:$B,[1]EFAY!$K:$K)</f>
        <v>DRA-Display Risers, Stands &amp; Accessories</v>
      </c>
      <c r="L157" t="str">
        <f>_xlfn.XLOOKUP(B157, [1]EFAY!$B:$B,[1]EFAY!$L:$L)</f>
        <v>#920603GR H3" 3D Dance Display Stand Green</v>
      </c>
      <c r="M157" s="3" t="s">
        <v>719</v>
      </c>
    </row>
    <row r="158" spans="1:13" x14ac:dyDescent="0.25">
      <c r="A158" t="str">
        <f>_xlfn.XLOOKUP(B158, [1]EFAY!$B:$B,[1]EFAY!$A:$A)</f>
        <v>5712-IDS-R0603BK</v>
      </c>
      <c r="B158" s="3" t="s">
        <v>723</v>
      </c>
      <c r="C158" t="s">
        <v>1089</v>
      </c>
      <c r="D158" t="str">
        <f>_xlfn.XLOOKUP(B158, [1]EFAY!$B:$B,[1]EFAY!$D:$D)</f>
        <v>(*SPO18-POA)#920603BK, 3"HT 3D "DANCE" DISPLAY STAND (BLACK)</v>
      </c>
      <c r="E158" t="str">
        <f>_xlfn.XLOOKUP(B158, [1]EFAY!$B:$B,[1]EFAY!$E:$E)</f>
        <v>NO TAG</v>
      </c>
      <c r="G158" t="s">
        <v>1094</v>
      </c>
      <c r="H158">
        <f>_xlfn.XLOOKUP(B158, [1]EFAY!$B:$B,[1]EFAY!$H:$H)</f>
        <v>4.6500000000000004</v>
      </c>
      <c r="I158" t="str">
        <f>_xlfn.XLOOKUP(B158, [1]EFAY!$B:$B,[1]EFAY!$I:$I)</f>
        <v>JS-Janitorial and Stewarding</v>
      </c>
      <c r="J158" t="str">
        <f>_xlfn.XLOOKUP(B158, [1]EFAY!$B:$B,[1]EFAY!$J:$J)</f>
        <v>SVW-Serveware</v>
      </c>
      <c r="K158" t="str">
        <f>_xlfn.XLOOKUP(B158, [1]EFAY!$B:$B,[1]EFAY!$K:$K)</f>
        <v>DRA-Display Risers, Stands &amp; Accessories</v>
      </c>
      <c r="L158" t="str">
        <f>_xlfn.XLOOKUP(B158, [1]EFAY!$B:$B,[1]EFAY!$L:$L)</f>
        <v>#920603BK H3" 3D "Dance" Display Stand Black</v>
      </c>
      <c r="M158" s="3" t="s">
        <v>719</v>
      </c>
    </row>
    <row r="159" spans="1:13" x14ac:dyDescent="0.25">
      <c r="A159" t="str">
        <f>_xlfn.XLOOKUP(B159, [1]EFAY!$B:$B,[1]EFAY!$A:$A)</f>
        <v>5712-IDS-R0602BK</v>
      </c>
      <c r="B159" s="3" t="s">
        <v>727</v>
      </c>
      <c r="C159" t="s">
        <v>1089</v>
      </c>
      <c r="D159" t="str">
        <f>_xlfn.XLOOKUP(B159, [1]EFAY!$B:$B,[1]EFAY!$D:$D)</f>
        <v>(*SPO18-POA)#920602BK, 2"HT 3D "DANCE" DISPLAY STAND (BLACK)</v>
      </c>
      <c r="E159" t="str">
        <f>_xlfn.XLOOKUP(B159, [1]EFAY!$B:$B,[1]EFAY!$E:$E)</f>
        <v>NO TAG</v>
      </c>
      <c r="G159" t="s">
        <v>1094</v>
      </c>
      <c r="H159">
        <f>_xlfn.XLOOKUP(B159, [1]EFAY!$B:$B,[1]EFAY!$H:$H)</f>
        <v>4.4400000000000004</v>
      </c>
      <c r="I159" t="str">
        <f>_xlfn.XLOOKUP(B159, [1]EFAY!$B:$B,[1]EFAY!$I:$I)</f>
        <v>JS-Janitorial and Stewarding</v>
      </c>
      <c r="J159" t="str">
        <f>_xlfn.XLOOKUP(B159, [1]EFAY!$B:$B,[1]EFAY!$J:$J)</f>
        <v>SVW-Serveware</v>
      </c>
      <c r="K159" t="str">
        <f>_xlfn.XLOOKUP(B159, [1]EFAY!$B:$B,[1]EFAY!$K:$K)</f>
        <v>DRA-Display Risers, Stands &amp; Accessories</v>
      </c>
      <c r="L159" t="str">
        <f>_xlfn.XLOOKUP(B159, [1]EFAY!$B:$B,[1]EFAY!$L:$L)</f>
        <v>#920602BK H2" 3D "Dance" Display Stand Black</v>
      </c>
      <c r="M159" s="3" t="s">
        <v>720</v>
      </c>
    </row>
    <row r="160" spans="1:13" x14ac:dyDescent="0.25">
      <c r="A160" t="str">
        <f>_xlfn.XLOOKUP(B160, [1]EFAY!$B:$B,[1]EFAY!$A:$A)</f>
        <v>5712-SLATE-407121BK</v>
      </c>
      <c r="B160" s="3" t="s">
        <v>14</v>
      </c>
      <c r="C160" t="s">
        <v>1089</v>
      </c>
      <c r="D160" t="str">
        <f>_xlfn.XLOOKUP(B160, [1]EFAY!$B:$B,[1]EFAY!$D:$D)</f>
        <v>(ID-MOQ) #407121, DIA:15"/L:21" MELAMINE SLATE BOARD (BLACK)</v>
      </c>
      <c r="E160" t="str">
        <f>_xlfn.XLOOKUP(B160, [1]EFAY!$B:$B,[1]EFAY!$E:$E)</f>
        <v>ID WITH STOCK</v>
      </c>
      <c r="G160" t="s">
        <v>1094</v>
      </c>
      <c r="H160">
        <f>_xlfn.XLOOKUP(B160, [1]EFAY!$B:$B,[1]EFAY!$H:$H)</f>
        <v>35.42</v>
      </c>
      <c r="I160" t="str">
        <f>_xlfn.XLOOKUP(B160, [1]EFAY!$B:$B,[1]EFAY!$I:$I)</f>
        <v>JS-Janitorial and Stewarding</v>
      </c>
      <c r="J160" t="str">
        <f>_xlfn.XLOOKUP(B160, [1]EFAY!$B:$B,[1]EFAY!$J:$J)</f>
        <v>SVW-Serveware</v>
      </c>
      <c r="K160" t="str">
        <f>_xlfn.XLOOKUP(B160, [1]EFAY!$B:$B,[1]EFAY!$K:$K)</f>
        <v>BBC-Bread Boards/Charcuterie Boards</v>
      </c>
      <c r="L160" t="str">
        <f>_xlfn.XLOOKUP(B160, [1]EFAY!$B:$B,[1]EFAY!$L:$L)</f>
        <v>#407121 Melamine Ø15xL21" Slate Board Black</v>
      </c>
      <c r="M160" s="3" t="s">
        <v>562</v>
      </c>
    </row>
    <row r="161" spans="1:13" x14ac:dyDescent="0.25">
      <c r="A161" t="str">
        <f>_xlfn.XLOOKUP(B161, [1]EFAY!$B:$B,[1]EFAY!$A:$A)</f>
        <v>5712-SLATE-407117BK</v>
      </c>
      <c r="B161" s="3" t="s">
        <v>13</v>
      </c>
      <c r="C161" t="s">
        <v>1089</v>
      </c>
      <c r="D161" t="str">
        <f>_xlfn.XLOOKUP(B161, [1]EFAY!$B:$B,[1]EFAY!$D:$D)</f>
        <v>(ID-MOQ) #407117, DIA 12"/L17" MELAMINE SLATE BOARD (BLACK)</v>
      </c>
      <c r="E161" t="str">
        <f>_xlfn.XLOOKUP(B161, [1]EFAY!$B:$B,[1]EFAY!$E:$E)</f>
        <v>ID NO STOCK</v>
      </c>
      <c r="G161" t="s">
        <v>1094</v>
      </c>
      <c r="H161">
        <f>_xlfn.XLOOKUP(B161, [1]EFAY!$B:$B,[1]EFAY!$H:$H)</f>
        <v>21.44</v>
      </c>
      <c r="I161" t="str">
        <f>_xlfn.XLOOKUP(B161, [1]EFAY!$B:$B,[1]EFAY!$I:$I)</f>
        <v>JS-Janitorial and Stewarding</v>
      </c>
      <c r="J161" t="str">
        <f>_xlfn.XLOOKUP(B161, [1]EFAY!$B:$B,[1]EFAY!$J:$J)</f>
        <v>SVW-Serveware</v>
      </c>
      <c r="K161" t="str">
        <f>_xlfn.XLOOKUP(B161, [1]EFAY!$B:$B,[1]EFAY!$K:$K)</f>
        <v>BBC-Bread Boards/Charcuterie Boards</v>
      </c>
      <c r="L161" t="str">
        <f>_xlfn.XLOOKUP(B161, [1]EFAY!$B:$B,[1]EFAY!$L:$L)</f>
        <v>#407117 Melamine Ø12"/L17" Slate Board Black</v>
      </c>
      <c r="M161" s="3" t="s">
        <v>735</v>
      </c>
    </row>
    <row r="162" spans="1:13" x14ac:dyDescent="0.25">
      <c r="A162" t="str">
        <f>_xlfn.XLOOKUP(B162, [1]EFAY!$B:$B,[1]EFAY!$A:$A)</f>
        <v>5712-SLATE-407113BK</v>
      </c>
      <c r="B162" s="3" t="s">
        <v>12</v>
      </c>
      <c r="C162" t="s">
        <v>1089</v>
      </c>
      <c r="D162" t="str">
        <f>_xlfn.XLOOKUP(B162, [1]EFAY!$B:$B,[1]EFAY!$D:$D)</f>
        <v>(ID-MOQ) #407113, DIA:9"/L:13" MELAMINE SLATE BOARD (BLACK)</v>
      </c>
      <c r="E162" t="str">
        <f>_xlfn.XLOOKUP(B162, [1]EFAY!$B:$B,[1]EFAY!$E:$E)</f>
        <v>ID NO STOCK</v>
      </c>
      <c r="G162" t="s">
        <v>1094</v>
      </c>
      <c r="H162">
        <f>_xlfn.XLOOKUP(B162, [1]EFAY!$B:$B,[1]EFAY!$H:$H)</f>
        <v>11.8</v>
      </c>
      <c r="I162" t="str">
        <f>_xlfn.XLOOKUP(B162, [1]EFAY!$B:$B,[1]EFAY!$I:$I)</f>
        <v>JS-Janitorial and Stewarding</v>
      </c>
      <c r="J162" t="str">
        <f>_xlfn.XLOOKUP(B162, [1]EFAY!$B:$B,[1]EFAY!$J:$J)</f>
        <v>SVW-Serveware</v>
      </c>
      <c r="K162" t="str">
        <f>_xlfn.XLOOKUP(B162, [1]EFAY!$B:$B,[1]EFAY!$K:$K)</f>
        <v>BBC-Bread Boards/Charcuterie Boards</v>
      </c>
      <c r="L162" t="str">
        <f>_xlfn.XLOOKUP(B162, [1]EFAY!$B:$B,[1]EFAY!$L:$L)</f>
        <v>#407113 Melamine Ø9xL13" Slate Board Black</v>
      </c>
      <c r="M162" s="3" t="s">
        <v>739</v>
      </c>
    </row>
    <row r="163" spans="1:13" x14ac:dyDescent="0.25">
      <c r="A163" t="str">
        <f>_xlfn.XLOOKUP(B163, [1]EFAY!$B:$B,[1]EFAY!$A:$A)</f>
        <v>5712-MINI-520605BK</v>
      </c>
      <c r="B163" s="3" t="s">
        <v>145</v>
      </c>
      <c r="C163" t="s">
        <v>1089</v>
      </c>
      <c r="D163" t="str">
        <f>_xlfn.XLOOKUP(B163, [1]EFAY!$B:$B,[1]EFAY!$D:$D)</f>
        <v>(D:12cm) MELAMINE "LITTLE CHEF" 5" MINI OVAL PAN W/2 HDLE (BLACK)</v>
      </c>
      <c r="E163" t="str">
        <f>_xlfn.XLOOKUP(B163, [1]EFAY!$B:$B,[1]EFAY!$E:$E)</f>
        <v>NO TAG</v>
      </c>
      <c r="G163" t="s">
        <v>1094</v>
      </c>
      <c r="H163">
        <f>_xlfn.XLOOKUP(B163, [1]EFAY!$B:$B,[1]EFAY!$H:$H)</f>
        <v>2.06</v>
      </c>
      <c r="I163" t="str">
        <f>_xlfn.XLOOKUP(B163, [1]EFAY!$B:$B,[1]EFAY!$I:$I)</f>
        <v>JS-Janitorial and Stewarding</v>
      </c>
      <c r="J163" t="str">
        <f>_xlfn.XLOOKUP(B163, [1]EFAY!$B:$B,[1]EFAY!$J:$J)</f>
        <v>CW-Cookware</v>
      </c>
      <c r="K163" t="str">
        <f>_xlfn.XLOOKUP(B163, [1]EFAY!$B:$B,[1]EFAY!$K:$K)</f>
        <v>PN-Pans</v>
      </c>
      <c r="L163" t="str">
        <f>_xlfn.XLOOKUP(B163, [1]EFAY!$B:$B,[1]EFAY!$L:$L)</f>
        <v>Melamine Ø12cm 5" "Little Chef" Mini Oval Pan Black with 2 Handles</v>
      </c>
      <c r="M163" s="3" t="s">
        <v>743</v>
      </c>
    </row>
    <row r="164" spans="1:13" x14ac:dyDescent="0.25">
      <c r="A164" t="str">
        <f>_xlfn.XLOOKUP(B164, [1]EFAY!$B:$B,[1]EFAY!$A:$A)</f>
        <v>5712-MINI-520406BK</v>
      </c>
      <c r="B164" s="3" t="s">
        <v>147</v>
      </c>
      <c r="C164" t="s">
        <v>1089</v>
      </c>
      <c r="D164" t="str">
        <f>_xlfn.XLOOKUP(B164, [1]EFAY!$B:$B,[1]EFAY!$D:$D)</f>
        <v>(D:14.5cm) MELAMINE "LITTLE CHEF" 6" MINI ROUND PAN W/2 HDLE (BLACK)</v>
      </c>
      <c r="E164" t="str">
        <f>_xlfn.XLOOKUP(B164, [1]EFAY!$B:$B,[1]EFAY!$E:$E)</f>
        <v>NO TAG</v>
      </c>
      <c r="G164" t="s">
        <v>1094</v>
      </c>
      <c r="H164">
        <f>_xlfn.XLOOKUP(B164, [1]EFAY!$B:$B,[1]EFAY!$H:$H)</f>
        <v>4.07</v>
      </c>
      <c r="I164" t="str">
        <f>_xlfn.XLOOKUP(B164, [1]EFAY!$B:$B,[1]EFAY!$I:$I)</f>
        <v>JS-Janitorial and Stewarding</v>
      </c>
      <c r="J164" t="str">
        <f>_xlfn.XLOOKUP(B164, [1]EFAY!$B:$B,[1]EFAY!$J:$J)</f>
        <v>BW-Bakeware</v>
      </c>
      <c r="K164" t="str">
        <f>_xlfn.XLOOKUP(B164, [1]EFAY!$B:$B,[1]EFAY!$K:$K)</f>
        <v>BPT-Baking Pans &amp; Trays</v>
      </c>
      <c r="L164" t="str">
        <f>_xlfn.XLOOKUP(B164, [1]EFAY!$B:$B,[1]EFAY!$L:$L)</f>
        <v>Melamine Ø14.5cm 6" "Little Chef" Mini Round Pan Black with 2 Handles</v>
      </c>
      <c r="M164" s="3" t="s">
        <v>747</v>
      </c>
    </row>
    <row r="165" spans="1:13" x14ac:dyDescent="0.25">
      <c r="A165" t="str">
        <f>_xlfn.XLOOKUP(B165, [1]EFAY!$B:$B,[1]EFAY!$A:$A)</f>
        <v>5712-MINI-520685BK</v>
      </c>
      <c r="B165" s="3" t="s">
        <v>151</v>
      </c>
      <c r="C165" t="s">
        <v>1089</v>
      </c>
      <c r="D165" t="str">
        <f>_xlfn.XLOOKUP(B165, [1]EFAY!$B:$B,[1]EFAY!$D:$D)</f>
        <v>(D:21cm) MELAMINE "LITTLE CHEF" 8" MINI OVAL PAN W/2 HDLE (BLACK)</v>
      </c>
      <c r="E165" t="str">
        <f>_xlfn.XLOOKUP(B165, [1]EFAY!$B:$B,[1]EFAY!$E:$E)</f>
        <v>NO TAG</v>
      </c>
      <c r="G165" t="s">
        <v>1094</v>
      </c>
      <c r="H165">
        <f>_xlfn.XLOOKUP(B165, [1]EFAY!$B:$B,[1]EFAY!$H:$H)</f>
        <v>5.43</v>
      </c>
      <c r="I165" t="str">
        <f>_xlfn.XLOOKUP(B165, [1]EFAY!$B:$B,[1]EFAY!$I:$I)</f>
        <v>JS-Janitorial and Stewarding</v>
      </c>
      <c r="J165" t="str">
        <f>_xlfn.XLOOKUP(B165, [1]EFAY!$B:$B,[1]EFAY!$J:$J)</f>
        <v>CW-Cookware</v>
      </c>
      <c r="K165" t="str">
        <f>_xlfn.XLOOKUP(B165, [1]EFAY!$B:$B,[1]EFAY!$K:$K)</f>
        <v>PN-Pans</v>
      </c>
      <c r="L165" t="str">
        <f>_xlfn.XLOOKUP(B165, [1]EFAY!$B:$B,[1]EFAY!$L:$L)</f>
        <v>Melamine Ø21cm 8" "Little Chef" Mini Oval Pan Black with 2 Handles</v>
      </c>
      <c r="M165" s="3" t="s">
        <v>751</v>
      </c>
    </row>
    <row r="166" spans="1:13" x14ac:dyDescent="0.25">
      <c r="A166" t="str">
        <f>_xlfn.XLOOKUP(B166, [1]EFAY!$B:$B,[1]EFAY!$A:$A)</f>
        <v>5712-MINI-520105BK</v>
      </c>
      <c r="B166" s="3" t="s">
        <v>94</v>
      </c>
      <c r="C166" t="s">
        <v>1089</v>
      </c>
      <c r="D166" t="str">
        <f>_xlfn.XLOOKUP(B166, [1]EFAY!$B:$B,[1]EFAY!$D:$D)</f>
        <v>(D:12.5x10.5cm) MELAMINE "LITTLE CHEF" 5" MINI RECT. PAN W/ONE HDLE (BLACK)</v>
      </c>
      <c r="E166" t="str">
        <f>_xlfn.XLOOKUP(B166, [1]EFAY!$B:$B,[1]EFAY!$E:$E)</f>
        <v>NO TAG</v>
      </c>
      <c r="G166" t="s">
        <v>1094</v>
      </c>
      <c r="H166">
        <f>_xlfn.XLOOKUP(B166, [1]EFAY!$B:$B,[1]EFAY!$H:$H)</f>
        <v>3.35</v>
      </c>
      <c r="I166" t="str">
        <f>_xlfn.XLOOKUP(B166, [1]EFAY!$B:$B,[1]EFAY!$I:$I)</f>
        <v>JS-Janitorial and Stewarding</v>
      </c>
      <c r="J166" t="str">
        <f>_xlfn.XLOOKUP(B166, [1]EFAY!$B:$B,[1]EFAY!$J:$J)</f>
        <v>BW-Bakeware</v>
      </c>
      <c r="K166" t="str">
        <f>_xlfn.XLOOKUP(B166, [1]EFAY!$B:$B,[1]EFAY!$K:$K)</f>
        <v>BPT-Baking Pans &amp; Trays</v>
      </c>
      <c r="L166" t="str">
        <f>_xlfn.XLOOKUP(B166, [1]EFAY!$B:$B,[1]EFAY!$L:$L)</f>
        <v>Melamine Ø12.5x10.5cm 5" "Little Chef" Mini Rectangular Pan Black with One Handle</v>
      </c>
      <c r="M166" s="3" t="s">
        <v>755</v>
      </c>
    </row>
    <row r="167" spans="1:13" x14ac:dyDescent="0.25">
      <c r="A167" t="str">
        <f>_xlfn.XLOOKUP(B167, [1]EFAY!$B:$B,[1]EFAY!$A:$A)</f>
        <v>5712-MINI-520204BK</v>
      </c>
      <c r="B167" s="3" t="s">
        <v>149</v>
      </c>
      <c r="C167" t="s">
        <v>1089</v>
      </c>
      <c r="D167" t="str">
        <f>_xlfn.XLOOKUP(B167, [1]EFAY!$B:$B,[1]EFAY!$D:$D)</f>
        <v>(D:11cm) MELAMINE "LITTLE CHEF" 5" MINI ROUND PAN W/ONE HDLE (BLACK)</v>
      </c>
      <c r="E167" t="str">
        <f>_xlfn.XLOOKUP(B167, [1]EFAY!$B:$B,[1]EFAY!$E:$E)</f>
        <v>NO TAG</v>
      </c>
      <c r="G167" t="s">
        <v>1094</v>
      </c>
      <c r="H167">
        <f>_xlfn.XLOOKUP(B167, [1]EFAY!$B:$B,[1]EFAY!$H:$H)</f>
        <v>2.72</v>
      </c>
      <c r="I167" t="str">
        <f>_xlfn.XLOOKUP(B167, [1]EFAY!$B:$B,[1]EFAY!$I:$I)</f>
        <v>JS-Janitorial and Stewarding</v>
      </c>
      <c r="J167" t="str">
        <f>_xlfn.XLOOKUP(B167, [1]EFAY!$B:$B,[1]EFAY!$J:$J)</f>
        <v>CW-Cookware</v>
      </c>
      <c r="K167" t="str">
        <f>_xlfn.XLOOKUP(B167, [1]EFAY!$B:$B,[1]EFAY!$K:$K)</f>
        <v>PN-Pans</v>
      </c>
      <c r="L167" t="str">
        <f>_xlfn.XLOOKUP(B167, [1]EFAY!$B:$B,[1]EFAY!$L:$L)</f>
        <v>Melamine Ø11cm  5"  "Little Chef"Mini Round Pan Black with One Handle</v>
      </c>
      <c r="M167" s="3" t="s">
        <v>759</v>
      </c>
    </row>
    <row r="168" spans="1:13" x14ac:dyDescent="0.25">
      <c r="A168" t="str">
        <f>_xlfn.XLOOKUP(B168, [1]EFAY!$B:$B,[1]EFAY!$A:$A)</f>
        <v>5712-MINI-520404BK</v>
      </c>
      <c r="B168" s="3" t="s">
        <v>148</v>
      </c>
      <c r="C168" t="s">
        <v>1089</v>
      </c>
      <c r="D168" t="str">
        <f>_xlfn.XLOOKUP(B168, [1]EFAY!$B:$B,[1]EFAY!$D:$D)</f>
        <v>(D:11cm) MELAMINE "LITTLE CHEF" 4" MINI ROUND PAN W/2 HDLE (BLACK)</v>
      </c>
      <c r="E168" t="str">
        <f>_xlfn.XLOOKUP(B168, [1]EFAY!$B:$B,[1]EFAY!$E:$E)</f>
        <v>NO TAG</v>
      </c>
      <c r="G168" t="s">
        <v>1094</v>
      </c>
      <c r="H168">
        <f>_xlfn.XLOOKUP(B168, [1]EFAY!$B:$B,[1]EFAY!$H:$H)</f>
        <v>2.64</v>
      </c>
      <c r="I168" t="str">
        <f>_xlfn.XLOOKUP(B168, [1]EFAY!$B:$B,[1]EFAY!$I:$I)</f>
        <v>JS-Janitorial and Stewarding</v>
      </c>
      <c r="J168" t="str">
        <f>_xlfn.XLOOKUP(B168, [1]EFAY!$B:$B,[1]EFAY!$J:$J)</f>
        <v>BW-Bakeware</v>
      </c>
      <c r="K168" t="str">
        <f>_xlfn.XLOOKUP(B168, [1]EFAY!$B:$B,[1]EFAY!$K:$K)</f>
        <v>BPT-Baking Pans &amp; Trays</v>
      </c>
      <c r="L168" t="str">
        <f>_xlfn.XLOOKUP(B168, [1]EFAY!$B:$B,[1]EFAY!$L:$L)</f>
        <v>Melamine Ø11cm 4" "Little Chef" Mini Round Pan Black with 2 Handles</v>
      </c>
      <c r="M168" s="3" t="s">
        <v>763</v>
      </c>
    </row>
    <row r="169" spans="1:13" x14ac:dyDescent="0.25">
      <c r="A169" t="str">
        <f>_xlfn.XLOOKUP(B169, [1]EFAY!$B:$B,[1]EFAY!$A:$A)</f>
        <v>5712-ENAMEL-2208081WB</v>
      </c>
      <c r="B169" s="3">
        <v>2208081</v>
      </c>
      <c r="C169" t="s">
        <v>1089</v>
      </c>
      <c r="D169" t="str">
        <f>_xlfn.XLOOKUP(B169, [1]EFAY!$B:$B,[1]EFAY!$D:$D)</f>
        <v>20X3.2cm  "ENAMEL LOOK" ROUND DEEP/SOUP PLATE (WHITE W/BLUE LINE)</v>
      </c>
      <c r="E169" t="str">
        <f>_xlfn.XLOOKUP(B169, [1]EFAY!$B:$B,[1]EFAY!$E:$E)</f>
        <v>NO TAG</v>
      </c>
      <c r="G169" t="s">
        <v>1094</v>
      </c>
      <c r="H169">
        <f>_xlfn.XLOOKUP(B169, [1]EFAY!$B:$B,[1]EFAY!$H:$H)</f>
        <v>4.1399999999999997</v>
      </c>
      <c r="I169" t="str">
        <f>_xlfn.XLOOKUP(B169, [1]EFAY!$B:$B,[1]EFAY!$I:$I)</f>
        <v>JS-Janitorial and Stewarding</v>
      </c>
      <c r="J169" t="str">
        <f>_xlfn.XLOOKUP(B169, [1]EFAY!$B:$B,[1]EFAY!$J:$J)</f>
        <v>DWR-Dinnerware</v>
      </c>
      <c r="K169" t="str">
        <f>_xlfn.XLOOKUP(B169, [1]EFAY!$B:$B,[1]EFAY!$K:$K)</f>
        <v>BWL-Bowls</v>
      </c>
      <c r="L169" t="str">
        <f>_xlfn.XLOOKUP(B169, [1]EFAY!$B:$B,[1]EFAY!$L:$L)</f>
        <v>20x3.2cm Enamel Look Round Deep/Soup Plate White with Blue Line</v>
      </c>
      <c r="M169" s="3" t="s">
        <v>494</v>
      </c>
    </row>
    <row r="170" spans="1:13" x14ac:dyDescent="0.25">
      <c r="A170" t="str">
        <f>_xlfn.XLOOKUP(B170, [1]EFAY!$B:$B,[1]EFAY!$A:$A)</f>
        <v>5712-ENAMEL-2207091WB</v>
      </c>
      <c r="B170" s="3">
        <v>2207091</v>
      </c>
      <c r="C170" t="s">
        <v>1089</v>
      </c>
      <c r="D170" t="str">
        <f>_xlfn.XLOOKUP(B170, [1]EFAY!$B:$B,[1]EFAY!$D:$D)</f>
        <v>22X2cm  "ENAMEL LOOK" ROUND SHALLOW COUPE PLATE (WHITE W/BLUE LINE)</v>
      </c>
      <c r="E170" t="str">
        <f>_xlfn.XLOOKUP(B170, [1]EFAY!$B:$B,[1]EFAY!$E:$E)</f>
        <v>NO TAG</v>
      </c>
      <c r="G170" t="s">
        <v>1094</v>
      </c>
      <c r="H170">
        <f>_xlfn.XLOOKUP(B170, [1]EFAY!$B:$B,[1]EFAY!$H:$H)</f>
        <v>4.22</v>
      </c>
      <c r="I170" t="str">
        <f>_xlfn.XLOOKUP(B170, [1]EFAY!$B:$B,[1]EFAY!$I:$I)</f>
        <v>JS-Janitorial and Stewarding</v>
      </c>
      <c r="J170" t="str">
        <f>_xlfn.XLOOKUP(B170, [1]EFAY!$B:$B,[1]EFAY!$J:$J)</f>
        <v>DWR-Dinnerware</v>
      </c>
      <c r="K170" t="str">
        <f>_xlfn.XLOOKUP(B170, [1]EFAY!$B:$B,[1]EFAY!$K:$K)</f>
        <v>PLT-Plates</v>
      </c>
      <c r="L170" t="str">
        <f>_xlfn.XLOOKUP(B170, [1]EFAY!$B:$B,[1]EFAY!$L:$L)</f>
        <v>22x2cm Enamel Look Round Shallow Coupe Plate White with Blue Line</v>
      </c>
      <c r="M170" s="3" t="s">
        <v>497</v>
      </c>
    </row>
    <row r="171" spans="1:13" x14ac:dyDescent="0.25">
      <c r="A171" t="str">
        <f>_xlfn.XLOOKUP(B171, [1]EFAY!$B:$B,[1]EFAY!$A:$A)</f>
        <v>5712-ENAMEL-2209051WB</v>
      </c>
      <c r="B171" s="3">
        <v>2209051</v>
      </c>
      <c r="C171" t="s">
        <v>1089</v>
      </c>
      <c r="D171" t="str">
        <f>_xlfn.XLOOKUP(B171, [1]EFAY!$B:$B,[1]EFAY!$D:$D)</f>
        <v>12.5X12.5X6.7cm  "ENAMEL LOOK" ROUND BOWL  (WHITE W/BLUE LINE)</v>
      </c>
      <c r="E171" t="str">
        <f>_xlfn.XLOOKUP(B171, [1]EFAY!$B:$B,[1]EFAY!$E:$E)</f>
        <v>NO TAG</v>
      </c>
      <c r="G171" t="s">
        <v>1094</v>
      </c>
      <c r="H171">
        <f>_xlfn.XLOOKUP(B171, [1]EFAY!$B:$B,[1]EFAY!$H:$H)</f>
        <v>2.85</v>
      </c>
      <c r="I171" t="str">
        <f>_xlfn.XLOOKUP(B171, [1]EFAY!$B:$B,[1]EFAY!$I:$I)</f>
        <v>JS-Janitorial and Stewarding</v>
      </c>
      <c r="J171" t="str">
        <f>_xlfn.XLOOKUP(B171, [1]EFAY!$B:$B,[1]EFAY!$J:$J)</f>
        <v>SVW-Serveware</v>
      </c>
      <c r="K171" t="str">
        <f>_xlfn.XLOOKUP(B171, [1]EFAY!$B:$B,[1]EFAY!$K:$K)</f>
        <v>MSA-Miscellaneous Serving Accessories</v>
      </c>
      <c r="L171" t="str">
        <f>_xlfn.XLOOKUP(B171, [1]EFAY!$B:$B,[1]EFAY!$L:$L)</f>
        <v>12.5x12.5x6.7cm Enamel Look Round Bowl White with Blue Line</v>
      </c>
      <c r="M171" s="3" t="s">
        <v>498</v>
      </c>
    </row>
    <row r="172" spans="1:13" x14ac:dyDescent="0.25">
      <c r="A172" t="str">
        <f>_xlfn.XLOOKUP(B172, [1]EFAY!$B:$B,[1]EFAY!$A:$A)</f>
        <v>5712-EBO-600801(SET)</v>
      </c>
      <c r="B172" s="3" t="s">
        <v>775</v>
      </c>
      <c r="C172" t="s">
        <v>1089</v>
      </c>
      <c r="D172" t="str">
        <f>_xlfn.XLOOKUP(B172, [1]EFAY!$B:$B,[1]EFAY!$D:$D)</f>
        <v>（DCWSL25) &lt;4170101&gt;#600801-SET 400X130X60(ht)mm RECT. BAMBOO STAND (C/W 3-PS #207205IV 5" RD. BOWL)</v>
      </c>
      <c r="E172" t="str">
        <f>_xlfn.XLOOKUP(B172, [1]EFAY!$B:$B,[1]EFAY!$E:$E)</f>
        <v>WSL WITH STOCK</v>
      </c>
      <c r="G172" t="s">
        <v>1094</v>
      </c>
      <c r="H172">
        <f>_xlfn.XLOOKUP(B172, [1]EFAY!$B:$B,[1]EFAY!$H:$H)</f>
        <v>30.57</v>
      </c>
      <c r="I172" t="str">
        <f>_xlfn.XLOOKUP(B172, [1]EFAY!$B:$B,[1]EFAY!$I:$I)</f>
        <v>JS-Janitorial and Stewarding</v>
      </c>
      <c r="J172" t="str">
        <f>_xlfn.XLOOKUP(B172, [1]EFAY!$B:$B,[1]EFAY!$J:$J)</f>
        <v>SVW-Serveware</v>
      </c>
      <c r="K172" t="str">
        <f>_xlfn.XLOOKUP(B172, [1]EFAY!$B:$B,[1]EFAY!$K:$K)</f>
        <v>DRA-Display Risers, Stands &amp; Accessories</v>
      </c>
      <c r="L172" t="str">
        <f>_xlfn.XLOOKUP(B172, [1]EFAY!$B:$B,[1]EFAY!$L:$L)</f>
        <v>#600801-SET 400x130x60mm Rectangular Bamboo Stand with 3-Pcs #207205IV 5" Round Bowl</v>
      </c>
      <c r="M172" s="3" t="s">
        <v>777</v>
      </c>
    </row>
    <row r="173" spans="1:13" x14ac:dyDescent="0.25">
      <c r="A173" t="str">
        <f>_xlfn.XLOOKUP(B173, [1]EFAY!$B:$B,[1]EFAY!$A:$A)</f>
        <v>5712-ENAMEL-2206111WB</v>
      </c>
      <c r="B173" s="3">
        <v>2206111</v>
      </c>
      <c r="C173" t="s">
        <v>1089</v>
      </c>
      <c r="D173" t="str">
        <f>_xlfn.XLOOKUP(B173, [1]EFAY!$B:$B,[1]EFAY!$D:$D)</f>
        <v>27X2cm  "ENAMEL LOOK" ROUND SHALLOW COUPE  PLATE (WHITE W/BLUE LINE)</v>
      </c>
      <c r="E173" t="str">
        <f>_xlfn.XLOOKUP(B173, [1]EFAY!$B:$B,[1]EFAY!$E:$E)</f>
        <v>NO TAG</v>
      </c>
      <c r="G173" t="s">
        <v>1094</v>
      </c>
      <c r="H173">
        <f>_xlfn.XLOOKUP(B173, [1]EFAY!$B:$B,[1]EFAY!$H:$H)</f>
        <v>6.7</v>
      </c>
      <c r="I173" t="str">
        <f>_xlfn.XLOOKUP(B173, [1]EFAY!$B:$B,[1]EFAY!$I:$I)</f>
        <v>JS-Janitorial and Stewarding</v>
      </c>
      <c r="J173" t="str">
        <f>_xlfn.XLOOKUP(B173, [1]EFAY!$B:$B,[1]EFAY!$J:$J)</f>
        <v>DWR-Dinnerware</v>
      </c>
      <c r="K173" t="str">
        <f>_xlfn.XLOOKUP(B173, [1]EFAY!$B:$B,[1]EFAY!$K:$K)</f>
        <v>PLT-Plates</v>
      </c>
      <c r="L173" t="str">
        <f>_xlfn.XLOOKUP(B173, [1]EFAY!$B:$B,[1]EFAY!$L:$L)</f>
        <v>27x2cm Enamel Look Round Shallow Coupe Plate White with Blue Line</v>
      </c>
      <c r="M173" s="3" t="s">
        <v>550</v>
      </c>
    </row>
    <row r="174" spans="1:13" x14ac:dyDescent="0.25">
      <c r="A174" t="str">
        <f>_xlfn.XLOOKUP(B174, [1]EFAY!$B:$B,[1]EFAY!$A:$A)</f>
        <v>5712-IDS-R0603RD</v>
      </c>
      <c r="B174" s="3" t="s">
        <v>783</v>
      </c>
      <c r="C174" t="s">
        <v>1089</v>
      </c>
      <c r="D174" t="str">
        <f>_xlfn.XLOOKUP(B174, [1]EFAY!$B:$B,[1]EFAY!$D:$D)</f>
        <v>(*SPO18-POA)#920603RD, 3"HT 3D "DANCE" DISPLAY STAND (RED)</v>
      </c>
      <c r="E174" t="str">
        <f>_xlfn.XLOOKUP(B174, [1]EFAY!$B:$B,[1]EFAY!$E:$E)</f>
        <v>NO TAG</v>
      </c>
      <c r="G174" t="s">
        <v>1094</v>
      </c>
      <c r="H174">
        <f>_xlfn.XLOOKUP(B174, [1]EFAY!$B:$B,[1]EFAY!$H:$H)</f>
        <v>4.6500000000000004</v>
      </c>
      <c r="I174" t="str">
        <f>_xlfn.XLOOKUP(B174, [1]EFAY!$B:$B,[1]EFAY!$I:$I)</f>
        <v>JS-Janitorial and Stewarding</v>
      </c>
      <c r="J174" t="str">
        <f>_xlfn.XLOOKUP(B174, [1]EFAY!$B:$B,[1]EFAY!$J:$J)</f>
        <v>SVW-Serveware</v>
      </c>
      <c r="K174" t="str">
        <f>_xlfn.XLOOKUP(B174, [1]EFAY!$B:$B,[1]EFAY!$K:$K)</f>
        <v>DRA-Display Risers, Stands &amp; Accessories</v>
      </c>
      <c r="L174" t="str">
        <f>_xlfn.XLOOKUP(B174, [1]EFAY!$B:$B,[1]EFAY!$L:$L)</f>
        <v>#920603RD H3" 3D "Dance" Display Stand Red</v>
      </c>
      <c r="M174" s="3" t="s">
        <v>719</v>
      </c>
    </row>
    <row r="175" spans="1:13" x14ac:dyDescent="0.25">
      <c r="A175" t="str">
        <f>_xlfn.XLOOKUP(B175, [1]EFAY!$B:$B,[1]EFAY!$A:$A)</f>
        <v>5712-IDS-R0602RD</v>
      </c>
      <c r="B175" s="3" t="s">
        <v>265</v>
      </c>
      <c r="C175" t="s">
        <v>1089</v>
      </c>
      <c r="D175" t="str">
        <f>_xlfn.XLOOKUP(B175, [1]EFAY!$B:$B,[1]EFAY!$D:$D)</f>
        <v>(*SPO18-POA)#920602RD, 2"HT 3D "DANCE" DISPLAY STAND (RED)</v>
      </c>
      <c r="E175" t="str">
        <f>_xlfn.XLOOKUP(B175, [1]EFAY!$B:$B,[1]EFAY!$E:$E)</f>
        <v>NO TAG</v>
      </c>
      <c r="G175" t="s">
        <v>1094</v>
      </c>
      <c r="H175">
        <f>_xlfn.XLOOKUP(B175, [1]EFAY!$B:$B,[1]EFAY!$H:$H)</f>
        <v>4.4400000000000004</v>
      </c>
      <c r="I175" t="str">
        <f>_xlfn.XLOOKUP(B175, [1]EFAY!$B:$B,[1]EFAY!$I:$I)</f>
        <v>JS-Janitorial and Stewarding</v>
      </c>
      <c r="J175" t="str">
        <f>_xlfn.XLOOKUP(B175, [1]EFAY!$B:$B,[1]EFAY!$J:$J)</f>
        <v>SVW-Serveware</v>
      </c>
      <c r="K175" t="str">
        <f>_xlfn.XLOOKUP(B175, [1]EFAY!$B:$B,[1]EFAY!$K:$K)</f>
        <v>DRA-Display Risers, Stands &amp; Accessories</v>
      </c>
      <c r="L175" t="str">
        <f>_xlfn.XLOOKUP(B175, [1]EFAY!$B:$B,[1]EFAY!$L:$L)</f>
        <v>#920602RD H2" 3D "Dance" Display Stand Red</v>
      </c>
      <c r="M175" s="3" t="s">
        <v>720</v>
      </c>
    </row>
    <row r="176" spans="1:13" x14ac:dyDescent="0.25">
      <c r="A176" t="str">
        <f>_xlfn.XLOOKUP(B176, [1]EFAY!$B:$B,[1]EFAY!$A:$A)</f>
        <v>5712-IDS-R0708BK</v>
      </c>
      <c r="B176" s="3" t="s">
        <v>135</v>
      </c>
      <c r="C176" t="s">
        <v>1089</v>
      </c>
      <c r="D176" t="str">
        <f>_xlfn.XLOOKUP(B176, [1]EFAY!$B:$B,[1]EFAY!$D:$D)</f>
        <v>&lt;4171108&gt;#R0708, 8"HT 3D "STAR" DISPLAY STAND (BLACK)</v>
      </c>
      <c r="E176" t="str">
        <f>_xlfn.XLOOKUP(B176, [1]EFAY!$B:$B,[1]EFAY!$E:$E)</f>
        <v>NO TAG</v>
      </c>
      <c r="G176" t="s">
        <v>1094</v>
      </c>
      <c r="H176">
        <f>_xlfn.XLOOKUP(B176, [1]EFAY!$B:$B,[1]EFAY!$H:$H)</f>
        <v>10.27</v>
      </c>
      <c r="I176" t="str">
        <f>_xlfn.XLOOKUP(B176, [1]EFAY!$B:$B,[1]EFAY!$I:$I)</f>
        <v>JS-Janitorial and Stewarding</v>
      </c>
      <c r="J176" t="str">
        <f>_xlfn.XLOOKUP(B176, [1]EFAY!$B:$B,[1]EFAY!$J:$J)</f>
        <v>SVW-Serveware</v>
      </c>
      <c r="K176" t="str">
        <f>_xlfn.XLOOKUP(B176, [1]EFAY!$B:$B,[1]EFAY!$K:$K)</f>
        <v>DRA-Display Risers, Stands &amp; Accessories</v>
      </c>
      <c r="L176" t="str">
        <f>_xlfn.XLOOKUP(B176, [1]EFAY!$B:$B,[1]EFAY!$L:$L)</f>
        <v>#R0708 H8" 3D "Star" Display Stand Black</v>
      </c>
      <c r="M176" s="3" t="s">
        <v>791</v>
      </c>
    </row>
    <row r="177" spans="1:13" x14ac:dyDescent="0.25">
      <c r="A177" t="str">
        <f>_xlfn.XLOOKUP(B177, [1]EFAY!$B:$B,[1]EFAY!$A:$A)</f>
        <v>5712-IDS-R0704BK</v>
      </c>
      <c r="B177" s="3" t="s">
        <v>794</v>
      </c>
      <c r="C177" t="s">
        <v>1089</v>
      </c>
      <c r="D177" t="str">
        <f>_xlfn.XLOOKUP(B177, [1]EFAY!$B:$B,[1]EFAY!$D:$D)</f>
        <v>&lt;4171104&gt;(CODE:920704BK), 4"HT 3D "STAR" DISPLAY STAND (BLACK)</v>
      </c>
      <c r="E177" t="str">
        <f>_xlfn.XLOOKUP(B177, [1]EFAY!$B:$B,[1]EFAY!$E:$E)</f>
        <v>NO TAG</v>
      </c>
      <c r="G177" t="s">
        <v>1094</v>
      </c>
      <c r="H177">
        <f>_xlfn.XLOOKUP(B177, [1]EFAY!$B:$B,[1]EFAY!$H:$H)</f>
        <v>7.26</v>
      </c>
      <c r="I177" t="str">
        <f>_xlfn.XLOOKUP(B177, [1]EFAY!$B:$B,[1]EFAY!$I:$I)</f>
        <v>JS-Janitorial and Stewarding</v>
      </c>
      <c r="J177" t="str">
        <f>_xlfn.XLOOKUP(B177, [1]EFAY!$B:$B,[1]EFAY!$J:$J)</f>
        <v>SVW-Serveware</v>
      </c>
      <c r="K177" t="str">
        <f>_xlfn.XLOOKUP(B177, [1]EFAY!$B:$B,[1]EFAY!$K:$K)</f>
        <v>DRA-Display Risers, Stands &amp; Accessories</v>
      </c>
      <c r="L177" t="str">
        <f>_xlfn.XLOOKUP(B177, [1]EFAY!$B:$B,[1]EFAY!$L:$L)</f>
        <v>Star 3D Display Stand Black 4" Height</v>
      </c>
      <c r="M177" s="3" t="s">
        <v>796</v>
      </c>
    </row>
    <row r="178" spans="1:13" x14ac:dyDescent="0.25">
      <c r="A178" t="str">
        <f>_xlfn.XLOOKUP(B178, [1]EFAY!$B:$B,[1]EFAY!$A:$A)</f>
        <v>5712-IDS-R0608BK</v>
      </c>
      <c r="B178" s="3" t="s">
        <v>802</v>
      </c>
      <c r="C178" t="s">
        <v>1089</v>
      </c>
      <c r="D178" t="str">
        <f>_xlfn.XLOOKUP(B178, [1]EFAY!$B:$B,[1]EFAY!$D:$D)</f>
        <v>&lt;4171008&gt;(CODE:920608BK), 8"HT 3D "DANCE" DISPLAY STAND (BLACK)</v>
      </c>
      <c r="E178" t="str">
        <f>_xlfn.XLOOKUP(B178, [1]EFAY!$B:$B,[1]EFAY!$E:$E)</f>
        <v>NO TAG</v>
      </c>
      <c r="G178" t="s">
        <v>1094</v>
      </c>
      <c r="H178">
        <f>_xlfn.XLOOKUP(B178, [1]EFAY!$B:$B,[1]EFAY!$H:$H)</f>
        <v>14.1</v>
      </c>
      <c r="I178" t="str">
        <f>_xlfn.XLOOKUP(B178, [1]EFAY!$B:$B,[1]EFAY!$I:$I)</f>
        <v>JS-Janitorial and Stewarding</v>
      </c>
      <c r="J178" t="str">
        <f>_xlfn.XLOOKUP(B178, [1]EFAY!$B:$B,[1]EFAY!$J:$J)</f>
        <v>SVW-Serveware</v>
      </c>
      <c r="K178" t="str">
        <f>_xlfn.XLOOKUP(B178, [1]EFAY!$B:$B,[1]EFAY!$K:$K)</f>
        <v>DRA-Display Risers, Stands &amp; Accessories</v>
      </c>
      <c r="L178" t="str">
        <f>_xlfn.XLOOKUP(B178, [1]EFAY!$B:$B,[1]EFAY!$L:$L)</f>
        <v>#920608BK H8" 3D "Dance" Display Stand Black</v>
      </c>
      <c r="M178" s="3" t="s">
        <v>797</v>
      </c>
    </row>
    <row r="179" spans="1:13" x14ac:dyDescent="0.25">
      <c r="A179" t="str">
        <f>_xlfn.XLOOKUP(B179, [1]EFAY!$B:$B,[1]EFAY!$A:$A)</f>
        <v>5712-IDS-R0606BK</v>
      </c>
      <c r="B179" s="3" t="s">
        <v>806</v>
      </c>
      <c r="C179" t="s">
        <v>1089</v>
      </c>
      <c r="D179" t="str">
        <f>_xlfn.XLOOKUP(B179, [1]EFAY!$B:$B,[1]EFAY!$D:$D)</f>
        <v>(WSL22), &lt;4171006&gt;(#920606BK) , 6"HT 3D "DANCE" DISPLAY STAND (BLACK)</v>
      </c>
      <c r="E179" t="str">
        <f>_xlfn.XLOOKUP(B179, [1]EFAY!$B:$B,[1]EFAY!$E:$E)</f>
        <v>WSL WITH STOCK</v>
      </c>
      <c r="G179" t="s">
        <v>1094</v>
      </c>
      <c r="H179">
        <f>_xlfn.XLOOKUP(B179, [1]EFAY!$B:$B,[1]EFAY!$H:$H)</f>
        <v>10.58</v>
      </c>
      <c r="I179" t="str">
        <f>_xlfn.XLOOKUP(B179, [1]EFAY!$B:$B,[1]EFAY!$I:$I)</f>
        <v>JS-Janitorial and Stewarding</v>
      </c>
      <c r="J179" t="str">
        <f>_xlfn.XLOOKUP(B179, [1]EFAY!$B:$B,[1]EFAY!$J:$J)</f>
        <v>SVW-Serveware</v>
      </c>
      <c r="K179" t="str">
        <f>_xlfn.XLOOKUP(B179, [1]EFAY!$B:$B,[1]EFAY!$K:$K)</f>
        <v>DRA-Display Risers, Stands &amp; Accessories</v>
      </c>
      <c r="L179" t="str">
        <f>_xlfn.XLOOKUP(B179, [1]EFAY!$B:$B,[1]EFAY!$L:$L)</f>
        <v>#920606BK H6" 3D "Dance" Display Stand Black</v>
      </c>
      <c r="M179" s="3" t="s">
        <v>798</v>
      </c>
    </row>
    <row r="180" spans="1:13" x14ac:dyDescent="0.25">
      <c r="A180" t="str">
        <f>_xlfn.XLOOKUP(B180, [1]EFAY!$B:$B,[1]EFAY!$A:$A)</f>
        <v>5712-IDS-R0604BK</v>
      </c>
      <c r="B180" s="3" t="s">
        <v>141</v>
      </c>
      <c r="C180" t="s">
        <v>1089</v>
      </c>
      <c r="D180" t="str">
        <f>_xlfn.XLOOKUP(B180, [1]EFAY!$B:$B,[1]EFAY!$D:$D)</f>
        <v>&lt;4171004&gt;(#920604BK) , 4"HT 3D "DANCE" DISPLAY STAND (BLACK)</v>
      </c>
      <c r="E180" t="str">
        <f>_xlfn.XLOOKUP(B180, [1]EFAY!$B:$B,[1]EFAY!$E:$E)</f>
        <v>NO TAG</v>
      </c>
      <c r="G180" t="s">
        <v>1094</v>
      </c>
      <c r="H180">
        <f>_xlfn.XLOOKUP(B180, [1]EFAY!$B:$B,[1]EFAY!$H:$H)</f>
        <v>7.05</v>
      </c>
      <c r="I180" t="str">
        <f>_xlfn.XLOOKUP(B180, [1]EFAY!$B:$B,[1]EFAY!$I:$I)</f>
        <v>JS-Janitorial and Stewarding</v>
      </c>
      <c r="J180" t="str">
        <f>_xlfn.XLOOKUP(B180, [1]EFAY!$B:$B,[1]EFAY!$J:$J)</f>
        <v>SVW-Serveware</v>
      </c>
      <c r="K180" t="str">
        <f>_xlfn.XLOOKUP(B180, [1]EFAY!$B:$B,[1]EFAY!$K:$K)</f>
        <v>DRA-Display Risers, Stands &amp; Accessories</v>
      </c>
      <c r="L180" t="str">
        <f>_xlfn.XLOOKUP(B180, [1]EFAY!$B:$B,[1]EFAY!$L:$L)</f>
        <v>#920604BK H4" 3D "Dance" Display Stand Black</v>
      </c>
      <c r="M180" s="3" t="s">
        <v>799</v>
      </c>
    </row>
    <row r="181" spans="1:13" x14ac:dyDescent="0.25">
      <c r="A181" t="str">
        <f>_xlfn.XLOOKUP(B181, [1]EFAY!$B:$B,[1]EFAY!$A:$A)</f>
        <v>5712-GNE-901610BK</v>
      </c>
      <c r="B181" s="3" t="s">
        <v>134</v>
      </c>
      <c r="C181" t="s">
        <v>1089</v>
      </c>
      <c r="D181" t="str">
        <f>_xlfn.XLOOKUP(B181, [1]EFAY!$B:$B,[1]EFAY!$D:$D)</f>
        <v>#901610BK, 51.8x31.3x25.3cm 1/1 + 1/2 SIZE GN NON SLIP BUFFET DISPLAY STAND, BLACK</v>
      </c>
      <c r="E181" t="str">
        <f>_xlfn.XLOOKUP(B181, [1]EFAY!$B:$B,[1]EFAY!$E:$E)</f>
        <v>NO TAG</v>
      </c>
      <c r="G181" t="s">
        <v>1094</v>
      </c>
      <c r="H181">
        <f>_xlfn.XLOOKUP(B181, [1]EFAY!$B:$B,[1]EFAY!$H:$H)</f>
        <v>27.38</v>
      </c>
      <c r="I181" t="str">
        <f>_xlfn.XLOOKUP(B181, [1]EFAY!$B:$B,[1]EFAY!$I:$I)</f>
        <v>JS-Janitorial and Stewarding</v>
      </c>
      <c r="J181" t="str">
        <f>_xlfn.XLOOKUP(B181, [1]EFAY!$B:$B,[1]EFAY!$J:$J)</f>
        <v>SVW-Serveware</v>
      </c>
      <c r="K181" t="str">
        <f>_xlfn.XLOOKUP(B181, [1]EFAY!$B:$B,[1]EFAY!$K:$K)</f>
        <v>DRA-Display Risers, Stands &amp; Accessories</v>
      </c>
      <c r="L181" t="str">
        <f>_xlfn.XLOOKUP(B181, [1]EFAY!$B:$B,[1]EFAY!$L:$L)</f>
        <v>#901610BK 51.8x31.3x25.3cm 1/1+1/2 Size GN Non-Slip Buffet Display Stand Black</v>
      </c>
      <c r="M181" s="3" t="s">
        <v>814</v>
      </c>
    </row>
    <row r="182" spans="1:13" x14ac:dyDescent="0.25">
      <c r="A182" t="str">
        <f>_xlfn.XLOOKUP(B182, [1]EFAY!$B:$B,[1]EFAY!$A:$A)</f>
        <v>5712-GNE-901706BK</v>
      </c>
      <c r="B182" s="3" t="s">
        <v>140</v>
      </c>
      <c r="C182" t="s">
        <v>1089</v>
      </c>
      <c r="D182" t="str">
        <f>_xlfn.XLOOKUP(B182, [1]EFAY!$B:$B,[1]EFAY!$D:$D)</f>
        <v>#901706BK, 51.8x31.3x15.8cm 1/1 + 2/4 SIZE GN NON SLIP BUFFET DISPLAY STAND, BLACK</v>
      </c>
      <c r="E182" t="str">
        <f>_xlfn.XLOOKUP(B182, [1]EFAY!$B:$B,[1]EFAY!$E:$E)</f>
        <v>NO TAG</v>
      </c>
      <c r="G182" t="s">
        <v>1094</v>
      </c>
      <c r="H182">
        <f>_xlfn.XLOOKUP(B182, [1]EFAY!$B:$B,[1]EFAY!$H:$H)</f>
        <v>26.36</v>
      </c>
      <c r="I182" t="str">
        <f>_xlfn.XLOOKUP(B182, [1]EFAY!$B:$B,[1]EFAY!$I:$I)</f>
        <v>JS-Janitorial and Stewarding</v>
      </c>
      <c r="J182" t="str">
        <f>_xlfn.XLOOKUP(B182, [1]EFAY!$B:$B,[1]EFAY!$J:$J)</f>
        <v>SVW-Serveware</v>
      </c>
      <c r="K182" t="str">
        <f>_xlfn.XLOOKUP(B182, [1]EFAY!$B:$B,[1]EFAY!$K:$K)</f>
        <v>DRA-Display Risers, Stands &amp; Accessories</v>
      </c>
      <c r="L182" t="str">
        <f>_xlfn.XLOOKUP(B182, [1]EFAY!$B:$B,[1]EFAY!$L:$L)</f>
        <v>#901706BK 51.8x31.3x15.8cm 1/1+2/4 Size GN Non-Slip Buffet Display Stand Black</v>
      </c>
      <c r="M182" s="3" t="s">
        <v>818</v>
      </c>
    </row>
    <row r="183" spans="1:13" x14ac:dyDescent="0.25">
      <c r="A183" t="str">
        <f>_xlfn.XLOOKUP(B183, [1]EFAY!$B:$B,[1]EFAY!$A:$A)</f>
        <v>5712-GNE-901806BK</v>
      </c>
      <c r="B183" s="3" t="s">
        <v>821</v>
      </c>
      <c r="C183" t="s">
        <v>1089</v>
      </c>
      <c r="D183" t="str">
        <f>_xlfn.XLOOKUP(B183, [1]EFAY!$B:$B,[1]EFAY!$D:$D)</f>
        <v>#901806BK, 31.3x25.3x15.8cm 1/2 + 1/4 SIZE GN NON SLIP BUFFET DISPLAY STAND, BLACK</v>
      </c>
      <c r="E183" t="str">
        <f>_xlfn.XLOOKUP(B183, [1]EFAY!$B:$B,[1]EFAY!$E:$E)</f>
        <v>NO TAG</v>
      </c>
      <c r="G183" t="s">
        <v>1094</v>
      </c>
      <c r="H183">
        <f>_xlfn.XLOOKUP(B183, [1]EFAY!$B:$B,[1]EFAY!$H:$H)</f>
        <v>22.59</v>
      </c>
      <c r="I183" t="str">
        <f>_xlfn.XLOOKUP(B183, [1]EFAY!$B:$B,[1]EFAY!$I:$I)</f>
        <v>JS-Janitorial and Stewarding</v>
      </c>
      <c r="J183" t="str">
        <f>_xlfn.XLOOKUP(B183, [1]EFAY!$B:$B,[1]EFAY!$J:$J)</f>
        <v>SVW-Serveware</v>
      </c>
      <c r="K183" t="str">
        <f>_xlfn.XLOOKUP(B183, [1]EFAY!$B:$B,[1]EFAY!$K:$K)</f>
        <v>DRA-Display Risers, Stands &amp; Accessories</v>
      </c>
      <c r="L183" t="str">
        <f>_xlfn.XLOOKUP(B183, [1]EFAY!$B:$B,[1]EFAY!$L:$L)</f>
        <v>#901806BK 31.3x25.3x15.8cm 1/2+1/4 Size GN Non-Slip Buffet Display Stand Black</v>
      </c>
      <c r="M183" s="3" t="s">
        <v>823</v>
      </c>
    </row>
    <row r="184" spans="1:13" x14ac:dyDescent="0.25">
      <c r="A184" t="str">
        <f>_xlfn.XLOOKUP(B184, [1]EFAY!$B:$B,[1]EFAY!$A:$A)</f>
        <v>5712-GNE-901906BK</v>
      </c>
      <c r="B184" s="3" t="s">
        <v>826</v>
      </c>
      <c r="C184" t="s">
        <v>1089</v>
      </c>
      <c r="D184" t="str">
        <f>_xlfn.XLOOKUP(B184, [1]EFAY!$B:$B,[1]EFAY!$D:$D)</f>
        <v>#901906BK, 31.3x17x15.8cm 1/3 + 1/6 SIZE GN NON SLIP BUFFET DISPLAY STAND, BLACK</v>
      </c>
      <c r="E184" t="str">
        <f>_xlfn.XLOOKUP(B184, [1]EFAY!$B:$B,[1]EFAY!$E:$E)</f>
        <v>NO TAG</v>
      </c>
      <c r="G184" t="s">
        <v>1094</v>
      </c>
      <c r="H184">
        <f>_xlfn.XLOOKUP(B184, [1]EFAY!$B:$B,[1]EFAY!$H:$H)</f>
        <v>16.77</v>
      </c>
      <c r="I184" t="str">
        <f>_xlfn.XLOOKUP(B184, [1]EFAY!$B:$B,[1]EFAY!$I:$I)</f>
        <v>JS-Janitorial and Stewarding</v>
      </c>
      <c r="J184" t="str">
        <f>_xlfn.XLOOKUP(B184, [1]EFAY!$B:$B,[1]EFAY!$J:$J)</f>
        <v>SVW-Serveware</v>
      </c>
      <c r="K184" t="str">
        <f>_xlfn.XLOOKUP(B184, [1]EFAY!$B:$B,[1]EFAY!$K:$K)</f>
        <v>DRA-Display Risers, Stands &amp; Accessories</v>
      </c>
      <c r="L184" t="str">
        <f>_xlfn.XLOOKUP(B184, [1]EFAY!$B:$B,[1]EFAY!$L:$L)</f>
        <v>#901906BK 31.3x17x15.8cm 1/3+1/6 Size GN Non-Slip Buffet Display Stand Black</v>
      </c>
      <c r="M184" s="3" t="s">
        <v>828</v>
      </c>
    </row>
    <row r="185" spans="1:13" x14ac:dyDescent="0.25">
      <c r="A185" t="str">
        <f>_xlfn.XLOOKUP(B185, [1]EFAY!$B:$B,[1]EFAY!$A:$A)</f>
        <v>5712-921108-RC</v>
      </c>
      <c r="B185" s="3" t="s">
        <v>831</v>
      </c>
      <c r="C185" t="s">
        <v>1089</v>
      </c>
      <c r="D185" t="str">
        <f>_xlfn.XLOOKUP(B185, [1]EFAY!$B:$B,[1]EFAY!$D:$D)</f>
        <v>D:25XW:21.2XHT:20cm, 3D "CROWN" NON-SLIP DISPLAY STAND</v>
      </c>
      <c r="E185" t="str">
        <f>_xlfn.XLOOKUP(B185, [1]EFAY!$B:$B,[1]EFAY!$E:$E)</f>
        <v>NO TAG</v>
      </c>
      <c r="G185" t="s">
        <v>1094</v>
      </c>
      <c r="H185">
        <f>_xlfn.XLOOKUP(B185, [1]EFAY!$B:$B,[1]EFAY!$H:$H)</f>
        <v>12.94</v>
      </c>
      <c r="I185" t="str">
        <f>_xlfn.XLOOKUP(B185, [1]EFAY!$B:$B,[1]EFAY!$I:$I)</f>
        <v>JS-Janitorial and Stewarding</v>
      </c>
      <c r="J185" t="str">
        <f>_xlfn.XLOOKUP(B185, [1]EFAY!$B:$B,[1]EFAY!$J:$J)</f>
        <v/>
      </c>
      <c r="K185" t="str">
        <f>_xlfn.XLOOKUP(B185, [1]EFAY!$B:$B,[1]EFAY!$K:$K)</f>
        <v/>
      </c>
      <c r="L185" t="str">
        <f>_xlfn.XLOOKUP(B185, [1]EFAY!$B:$B,[1]EFAY!$L:$L)</f>
        <v>Ø25xW21.2xH20cm 3D Crown Non-Slip Display Stand</v>
      </c>
      <c r="M185" s="3" t="s">
        <v>833</v>
      </c>
    </row>
    <row r="186" spans="1:13" x14ac:dyDescent="0.25">
      <c r="A186" t="str">
        <f>_xlfn.XLOOKUP(B186, [1]EFAY!$B:$B,[1]EFAY!$A:$A)</f>
        <v>5712-BAG-219407</v>
      </c>
      <c r="B186" s="3">
        <v>219613</v>
      </c>
      <c r="C186" t="s">
        <v>1089</v>
      </c>
      <c r="D186" t="str">
        <f>_xlfn.XLOOKUP(B186, [1]EFAY!$B:$B,[1]EFAY!$D:$D)</f>
        <v>(WSL19)L:17.6XHT:15cm, RD CYLINDER CORK BAG/BASKET FOR BUFFET/DISPLAY (BEIGE)</v>
      </c>
      <c r="E186" t="str">
        <f>_xlfn.XLOOKUP(B186, [1]EFAY!$B:$B,[1]EFAY!$E:$E)</f>
        <v>WSL WITH STOCK</v>
      </c>
      <c r="G186" t="s">
        <v>1094</v>
      </c>
      <c r="H186">
        <f>_xlfn.XLOOKUP(B186, [1]EFAY!$B:$B,[1]EFAY!$H:$H)</f>
        <v>11.49</v>
      </c>
      <c r="I186" t="str">
        <f>_xlfn.XLOOKUP(B186, [1]EFAY!$B:$B,[1]EFAY!$I:$I)</f>
        <v>JS-Janitorial and Stewarding</v>
      </c>
      <c r="J186" t="str">
        <f>_xlfn.XLOOKUP(B186, [1]EFAY!$B:$B,[1]EFAY!$J:$J)</f>
        <v>SS-Storage Solutions</v>
      </c>
      <c r="K186" t="str">
        <f>_xlfn.XLOOKUP(B186, [1]EFAY!$B:$B,[1]EFAY!$K:$K)</f>
        <v/>
      </c>
      <c r="L186" t="str">
        <f>_xlfn.XLOOKUP(B186, [1]EFAY!$B:$B,[1]EFAY!$L:$L)</f>
        <v>L17.6xH15cm Round Cylinder Cork Bag/Basket Beige for Buffet/Display</v>
      </c>
      <c r="M186" s="3" t="s">
        <v>840</v>
      </c>
    </row>
    <row r="187" spans="1:13" x14ac:dyDescent="0.25">
      <c r="A187" t="str">
        <f>_xlfn.XLOOKUP(B187, [1]EFAY!$B:$B,[1]EFAY!$A:$A)</f>
        <v>5712-BAG-219407</v>
      </c>
      <c r="B187" s="3">
        <v>219613</v>
      </c>
      <c r="C187" t="s">
        <v>1089</v>
      </c>
      <c r="D187" t="str">
        <f>_xlfn.XLOOKUP(B187, [1]EFAY!$B:$B,[1]EFAY!$D:$D)</f>
        <v>(WSL19)L:17.6XHT:15cm, RD CYLINDER CORK BAG/BASKET FOR BUFFET/DISPLAY (BEIGE)</v>
      </c>
      <c r="E187" t="str">
        <f>_xlfn.XLOOKUP(B187, [1]EFAY!$B:$B,[1]EFAY!$E:$E)</f>
        <v>WSL WITH STOCK</v>
      </c>
      <c r="G187" t="s">
        <v>1094</v>
      </c>
      <c r="H187">
        <f>_xlfn.XLOOKUP(B187, [1]EFAY!$B:$B,[1]EFAY!$H:$H)</f>
        <v>11.49</v>
      </c>
      <c r="I187" t="str">
        <f>_xlfn.XLOOKUP(B187, [1]EFAY!$B:$B,[1]EFAY!$I:$I)</f>
        <v>JS-Janitorial and Stewarding</v>
      </c>
      <c r="J187" t="str">
        <f>_xlfn.XLOOKUP(B187, [1]EFAY!$B:$B,[1]EFAY!$J:$J)</f>
        <v>SS-Storage Solutions</v>
      </c>
      <c r="K187" t="str">
        <f>_xlfn.XLOOKUP(B187, [1]EFAY!$B:$B,[1]EFAY!$K:$K)</f>
        <v/>
      </c>
      <c r="L187" t="str">
        <f>_xlfn.XLOOKUP(B187, [1]EFAY!$B:$B,[1]EFAY!$L:$L)</f>
        <v>L17.6xH15cm Round Cylinder Cork Bag/Basket Beige for Buffet/Display</v>
      </c>
      <c r="M187" s="3" t="s">
        <v>840</v>
      </c>
    </row>
    <row r="188" spans="1:13" x14ac:dyDescent="0.25">
      <c r="A188" t="str">
        <f>_xlfn.XLOOKUP(B188, [1]EFAY!$B:$B,[1]EFAY!$A:$A)</f>
        <v>5712-BAG-219407</v>
      </c>
      <c r="B188" s="3">
        <v>219613</v>
      </c>
      <c r="C188" t="s">
        <v>1089</v>
      </c>
      <c r="D188" t="str">
        <f>_xlfn.XLOOKUP(B188, [1]EFAY!$B:$B,[1]EFAY!$D:$D)</f>
        <v>(WSL19)L:17.6XHT:15cm, RD CYLINDER CORK BAG/BASKET FOR BUFFET/DISPLAY (BEIGE)</v>
      </c>
      <c r="E188" t="str">
        <f>_xlfn.XLOOKUP(B188, [1]EFAY!$B:$B,[1]EFAY!$E:$E)</f>
        <v>WSL WITH STOCK</v>
      </c>
      <c r="G188" t="s">
        <v>1094</v>
      </c>
      <c r="H188">
        <f>_xlfn.XLOOKUP(B188, [1]EFAY!$B:$B,[1]EFAY!$H:$H)</f>
        <v>11.49</v>
      </c>
      <c r="I188" t="str">
        <f>_xlfn.XLOOKUP(B188, [1]EFAY!$B:$B,[1]EFAY!$I:$I)</f>
        <v>JS-Janitorial and Stewarding</v>
      </c>
      <c r="J188" t="str">
        <f>_xlfn.XLOOKUP(B188, [1]EFAY!$B:$B,[1]EFAY!$J:$J)</f>
        <v>SS-Storage Solutions</v>
      </c>
      <c r="K188" t="str">
        <f>_xlfn.XLOOKUP(B188, [1]EFAY!$B:$B,[1]EFAY!$K:$K)</f>
        <v/>
      </c>
      <c r="L188" t="str">
        <f>_xlfn.XLOOKUP(B188, [1]EFAY!$B:$B,[1]EFAY!$L:$L)</f>
        <v>L17.6xH15cm Round Cylinder Cork Bag/Basket Beige for Buffet/Display</v>
      </c>
      <c r="M188" s="3" t="s">
        <v>840</v>
      </c>
    </row>
    <row r="189" spans="1:13" x14ac:dyDescent="0.25">
      <c r="A189" t="str">
        <f>_xlfn.XLOOKUP(B189, [1]EFAY!$B:$B,[1]EFAY!$A:$A)</f>
        <v>5712-BAG-219407</v>
      </c>
      <c r="B189" s="3">
        <v>219613</v>
      </c>
      <c r="C189" t="s">
        <v>1089</v>
      </c>
      <c r="D189" t="str">
        <f>_xlfn.XLOOKUP(B189, [1]EFAY!$B:$B,[1]EFAY!$D:$D)</f>
        <v>(WSL19)L:17.6XHT:15cm, RD CYLINDER CORK BAG/BASKET FOR BUFFET/DISPLAY (BEIGE)</v>
      </c>
      <c r="E189" t="str">
        <f>_xlfn.XLOOKUP(B189, [1]EFAY!$B:$B,[1]EFAY!$E:$E)</f>
        <v>WSL WITH STOCK</v>
      </c>
      <c r="G189" t="s">
        <v>1094</v>
      </c>
      <c r="H189">
        <f>_xlfn.XLOOKUP(B189, [1]EFAY!$B:$B,[1]EFAY!$H:$H)</f>
        <v>11.49</v>
      </c>
      <c r="I189" t="str">
        <f>_xlfn.XLOOKUP(B189, [1]EFAY!$B:$B,[1]EFAY!$I:$I)</f>
        <v>JS-Janitorial and Stewarding</v>
      </c>
      <c r="J189" t="str">
        <f>_xlfn.XLOOKUP(B189, [1]EFAY!$B:$B,[1]EFAY!$J:$J)</f>
        <v>SS-Storage Solutions</v>
      </c>
      <c r="K189" t="str">
        <f>_xlfn.XLOOKUP(B189, [1]EFAY!$B:$B,[1]EFAY!$K:$K)</f>
        <v/>
      </c>
      <c r="L189" t="str">
        <f>_xlfn.XLOOKUP(B189, [1]EFAY!$B:$B,[1]EFAY!$L:$L)</f>
        <v>L17.6xH15cm Round Cylinder Cork Bag/Basket Beige for Buffet/Display</v>
      </c>
      <c r="M189" s="3" t="s">
        <v>840</v>
      </c>
    </row>
    <row r="190" spans="1:13" x14ac:dyDescent="0.25">
      <c r="A190" t="str">
        <f>_xlfn.XLOOKUP(B190, [1]EFAY!$B:$B,[1]EFAY!$A:$A)</f>
        <v>5712-BAK-407612-BK</v>
      </c>
      <c r="B190" s="3" t="s">
        <v>842</v>
      </c>
      <c r="C190" t="s">
        <v>1089</v>
      </c>
      <c r="D190" t="e">
        <f>_xlfn.XLOOKUP(B190, [1]EFAY!$B:$B,[1]EFAY!$D:$D)</f>
        <v>#VALUE!</v>
      </c>
      <c r="E190" t="str">
        <f>_xlfn.XLOOKUP(B190, [1]EFAY!$B:$B,[1]EFAY!$E:$E)</f>
        <v>NO TAG</v>
      </c>
      <c r="G190" t="s">
        <v>1094</v>
      </c>
      <c r="H190">
        <f>_xlfn.XLOOKUP(B190, [1]EFAY!$B:$B,[1]EFAY!$H:$H)</f>
        <v>11.08</v>
      </c>
      <c r="I190" t="str">
        <f>_xlfn.XLOOKUP(B190, [1]EFAY!$B:$B,[1]EFAY!$I:$I)</f>
        <v>JS-Janitorial and Stewarding</v>
      </c>
      <c r="J190" t="str">
        <f>_xlfn.XLOOKUP(B190, [1]EFAY!$B:$B,[1]EFAY!$J:$J)</f>
        <v>BW-Bakeware</v>
      </c>
      <c r="K190" t="str">
        <f>_xlfn.XLOOKUP(B190, [1]EFAY!$B:$B,[1]EFAY!$K:$K)</f>
        <v>BPT-Baking Pans &amp; Trays</v>
      </c>
      <c r="L190" t="str">
        <f>_xlfn.XLOOKUP(B190, [1]EFAY!$B:$B,[1]EFAY!$L:$L)</f>
        <v>L30xW30cm Square Woody Baker Pastry Tray Black</v>
      </c>
    </row>
    <row r="191" spans="1:13" ht="15.75" x14ac:dyDescent="0.3">
      <c r="A191" t="str">
        <f>_xlfn.XLOOKUP(B191, [1]EFAY!$B:$B,[1]EFAY!$A:$A)</f>
        <v>5712-BAL-902725BK</v>
      </c>
      <c r="B191" s="3" t="s">
        <v>845</v>
      </c>
      <c r="C191" t="s">
        <v>1089</v>
      </c>
      <c r="D191" t="str">
        <f>_xlfn.XLOOKUP(B191, [1]EFAY!$B:$B,[1]EFAY!$D:$D)</f>
        <v>L:12.5xW:10.5xHT 6cm 'BALLET' DESSERT STAND 2.5"HT,BLACK</v>
      </c>
      <c r="E191" t="str">
        <f>_xlfn.XLOOKUP(B191, [1]EFAY!$B:$B,[1]EFAY!$E:$E)</f>
        <v>NO TAG</v>
      </c>
      <c r="G191" t="s">
        <v>1094</v>
      </c>
      <c r="H191">
        <f>_xlfn.XLOOKUP(B191, [1]EFAY!$B:$B,[1]EFAY!$H:$H)</f>
        <v>5.6</v>
      </c>
      <c r="I191" t="str">
        <f>_xlfn.XLOOKUP(B191, [1]EFAY!$B:$B,[1]EFAY!$I:$I)</f>
        <v>JS-Janitorial and Stewarding</v>
      </c>
      <c r="J191" t="str">
        <f>_xlfn.XLOOKUP(B191, [1]EFAY!$B:$B,[1]EFAY!$J:$J)</f>
        <v>SVW-Serveware</v>
      </c>
      <c r="K191" t="str">
        <f>_xlfn.XLOOKUP(B191, [1]EFAY!$B:$B,[1]EFAY!$K:$K)</f>
        <v>DRA-Display Risers, Stands &amp; Accessories</v>
      </c>
      <c r="L191" t="str">
        <f>_xlfn.XLOOKUP(B191, [1]EFAY!$B:$B,[1]EFAY!$L:$L)</f>
        <v>L12.5xW10.5xH6cm H2.5" Ballet Dessert Stand Black</v>
      </c>
      <c r="M191" s="8" t="s">
        <v>847</v>
      </c>
    </row>
    <row r="192" spans="1:13" x14ac:dyDescent="0.25">
      <c r="A192" t="str">
        <f>_xlfn.XLOOKUP(B192, [1]EFAY!$B:$B,[1]EFAY!$A:$A)</f>
        <v>5712-COM-706008CG</v>
      </c>
      <c r="B192" s="3" t="s">
        <v>848</v>
      </c>
      <c r="C192" t="s">
        <v>1089</v>
      </c>
      <c r="D192" t="str">
        <f>_xlfn.XLOOKUP(B192, [1]EFAY!$B:$B,[1]EFAY!$D:$D)</f>
        <v>#706008CG, Ø20.3x4.2cm 8" ROUND DEEP PLATE /W STAND, DARK GREY</v>
      </c>
      <c r="E192" t="str">
        <f>_xlfn.XLOOKUP(B192, [1]EFAY!$B:$B,[1]EFAY!$E:$E)</f>
        <v>NO TAG</v>
      </c>
      <c r="G192" t="s">
        <v>1094</v>
      </c>
      <c r="H192">
        <f>_xlfn.XLOOKUP(B192, [1]EFAY!$B:$B,[1]EFAY!$H:$H)</f>
        <v>8.7200000000000006</v>
      </c>
      <c r="I192" t="str">
        <f>_xlfn.XLOOKUP(B192, [1]EFAY!$B:$B,[1]EFAY!$I:$I)</f>
        <v>JS-Janitorial and Stewarding</v>
      </c>
      <c r="J192" t="str">
        <f>_xlfn.XLOOKUP(B192, [1]EFAY!$B:$B,[1]EFAY!$J:$J)</f>
        <v>DWR-Dinnerware</v>
      </c>
      <c r="K192" t="str">
        <f>_xlfn.XLOOKUP(B192, [1]EFAY!$B:$B,[1]EFAY!$K:$K)</f>
        <v>PLT-Plates</v>
      </c>
      <c r="L192" t="str">
        <f>_xlfn.XLOOKUP(B192, [1]EFAY!$B:$B,[1]EFAY!$L:$L)</f>
        <v>#706008CG Ø20.3x4.2cm 8" Round Deep Plate Dark Grey with Stand</v>
      </c>
      <c r="M192" s="3" t="s">
        <v>1006</v>
      </c>
    </row>
    <row r="193" spans="1:13" x14ac:dyDescent="0.25">
      <c r="A193" t="str">
        <f>_xlfn.XLOOKUP(B193, [1]EFAY!$B:$B,[1]EFAY!$A:$A)</f>
        <v>5712-COM-706010CG</v>
      </c>
      <c r="B193" s="3" t="s">
        <v>849</v>
      </c>
      <c r="C193" t="s">
        <v>1089</v>
      </c>
      <c r="D193" t="str">
        <f>_xlfn.XLOOKUP(B193, [1]EFAY!$B:$B,[1]EFAY!$D:$D)</f>
        <v>#706010CG, Ø25.2x5.1cm 10" ROUND DEEP PLATE /W STAND, DARK GREY</v>
      </c>
      <c r="E193" t="str">
        <f>_xlfn.XLOOKUP(B193, [1]EFAY!$B:$B,[1]EFAY!$E:$E)</f>
        <v>NO TAG</v>
      </c>
      <c r="G193" t="s">
        <v>1094</v>
      </c>
      <c r="H193">
        <f>_xlfn.XLOOKUP(B193, [1]EFAY!$B:$B,[1]EFAY!$H:$H)</f>
        <v>13</v>
      </c>
      <c r="I193" t="str">
        <f>_xlfn.XLOOKUP(B193, [1]EFAY!$B:$B,[1]EFAY!$I:$I)</f>
        <v>JS-Janitorial and Stewarding</v>
      </c>
      <c r="J193" t="str">
        <f>_xlfn.XLOOKUP(B193, [1]EFAY!$B:$B,[1]EFAY!$J:$J)</f>
        <v>DWR-Dinnerware</v>
      </c>
      <c r="K193" t="str">
        <f>_xlfn.XLOOKUP(B193, [1]EFAY!$B:$B,[1]EFAY!$K:$K)</f>
        <v>PLT-Plates</v>
      </c>
      <c r="L193" t="str">
        <f>_xlfn.XLOOKUP(B193, [1]EFAY!$B:$B,[1]EFAY!$L:$L)</f>
        <v>#706010CG Ø25.2x5.1cm 10" Round Deep Plate Dark Grey with Stand</v>
      </c>
      <c r="M193" s="3" t="s">
        <v>1006</v>
      </c>
    </row>
    <row r="194" spans="1:13" x14ac:dyDescent="0.25">
      <c r="A194" t="str">
        <f>_xlfn.XLOOKUP(B194, [1]EFAY!$B:$B,[1]EFAY!$A:$A)</f>
        <v>5712-COM-706012CG</v>
      </c>
      <c r="B194" s="3" t="s">
        <v>850</v>
      </c>
      <c r="C194" t="s">
        <v>1089</v>
      </c>
      <c r="D194" t="str">
        <f>_xlfn.XLOOKUP(B194, [1]EFAY!$B:$B,[1]EFAY!$D:$D)</f>
        <v>(WSL25) #706012CG, Ø30.4x6cm 12" ROUND DEEP PLATE /W STAND, DARK GREY</v>
      </c>
      <c r="E194" t="str">
        <f>_xlfn.XLOOKUP(B194, [1]EFAY!$B:$B,[1]EFAY!$E:$E)</f>
        <v>WSL WITH STOCK</v>
      </c>
      <c r="G194" t="s">
        <v>1094</v>
      </c>
      <c r="H194">
        <f>_xlfn.XLOOKUP(B194, [1]EFAY!$B:$B,[1]EFAY!$H:$H)</f>
        <v>19.34</v>
      </c>
      <c r="I194" t="str">
        <f>_xlfn.XLOOKUP(B194, [1]EFAY!$B:$B,[1]EFAY!$I:$I)</f>
        <v>JS-Janitorial and Stewarding</v>
      </c>
      <c r="J194" t="str">
        <f>_xlfn.XLOOKUP(B194, [1]EFAY!$B:$B,[1]EFAY!$J:$J)</f>
        <v>DWR-Dinnerware</v>
      </c>
      <c r="K194" t="str">
        <f>_xlfn.XLOOKUP(B194, [1]EFAY!$B:$B,[1]EFAY!$K:$K)</f>
        <v>PLT-Plates</v>
      </c>
      <c r="L194" t="str">
        <f>_xlfn.XLOOKUP(B194, [1]EFAY!$B:$B,[1]EFAY!$L:$L)</f>
        <v>#706012CG Ø30.4x6cm 12" Round Deep Plate Dark Grey with Stand</v>
      </c>
      <c r="M194" s="3" t="s">
        <v>1006</v>
      </c>
    </row>
    <row r="195" spans="1:13" x14ac:dyDescent="0.25">
      <c r="A195" t="str">
        <f>_xlfn.XLOOKUP(B195, [1]EFAY!$B:$B,[1]EFAY!$A:$A)</f>
        <v>5712-CYBER-705908</v>
      </c>
      <c r="B195" s="3">
        <v>705908</v>
      </c>
      <c r="C195" t="s">
        <v>1089</v>
      </c>
      <c r="D195" t="str">
        <f>_xlfn.XLOOKUP(B195, [1]EFAY!$B:$B,[1]EFAY!$D:$D)</f>
        <v>#705908, DIAØ:20 x HT:35cm 8" CLEAR PC DISPLAY TUBE /W BLACK BASE</v>
      </c>
      <c r="E195" t="str">
        <f>_xlfn.XLOOKUP(B195, [1]EFAY!$B:$B,[1]EFAY!$E:$E)</f>
        <v>NO TAG</v>
      </c>
      <c r="G195" t="s">
        <v>1094</v>
      </c>
      <c r="H195">
        <f>_xlfn.XLOOKUP(B195, [1]EFAY!$B:$B,[1]EFAY!$H:$H)</f>
        <v>51.64</v>
      </c>
      <c r="I195" t="str">
        <f>_xlfn.XLOOKUP(B195, [1]EFAY!$B:$B,[1]EFAY!$I:$I)</f>
        <v>JS-Janitorial and Stewarding</v>
      </c>
      <c r="J195" t="str">
        <f>_xlfn.XLOOKUP(B195, [1]EFAY!$B:$B,[1]EFAY!$J:$J)</f>
        <v/>
      </c>
      <c r="K195" t="str">
        <f>_xlfn.XLOOKUP(B195, [1]EFAY!$B:$B,[1]EFAY!$K:$K)</f>
        <v/>
      </c>
      <c r="L195" t="str">
        <f>_xlfn.XLOOKUP(B195, [1]EFAY!$B:$B,[1]EFAY!$L:$L)</f>
        <v>#705908 PC Ø20xH35cm Display Tube Clear with Black Base</v>
      </c>
    </row>
    <row r="196" spans="1:13" x14ac:dyDescent="0.25">
      <c r="A196" t="str">
        <f>_xlfn.XLOOKUP(B196, [1]EFAY!$B:$B,[1]EFAY!$A:$A)</f>
        <v>5712-CYBER-705910</v>
      </c>
      <c r="B196" s="3">
        <v>705910</v>
      </c>
      <c r="C196" t="s">
        <v>1089</v>
      </c>
      <c r="D196" t="str">
        <f>_xlfn.XLOOKUP(B196, [1]EFAY!$B:$B,[1]EFAY!$D:$D)</f>
        <v>#705910, DIAØ:25 x HT:45cm 10" CLEAR PC DISPLAY TUBE /W 3-TIER WHITE PLATTER &amp; BLACK BASE</v>
      </c>
      <c r="E196" t="str">
        <f>_xlfn.XLOOKUP(B196, [1]EFAY!$B:$B,[1]EFAY!$E:$E)</f>
        <v>NO TAG</v>
      </c>
      <c r="G196" t="s">
        <v>1094</v>
      </c>
      <c r="H196">
        <f>_xlfn.XLOOKUP(B196, [1]EFAY!$B:$B,[1]EFAY!$H:$H)</f>
        <v>118.83</v>
      </c>
      <c r="I196" t="str">
        <f>_xlfn.XLOOKUP(B196, [1]EFAY!$B:$B,[1]EFAY!$I:$I)</f>
        <v>JS-Janitorial and Stewarding</v>
      </c>
      <c r="J196" t="str">
        <f>_xlfn.XLOOKUP(B196, [1]EFAY!$B:$B,[1]EFAY!$J:$J)</f>
        <v>SVW-Serveware</v>
      </c>
      <c r="K196" t="str">
        <f>_xlfn.XLOOKUP(B196, [1]EFAY!$B:$B,[1]EFAY!$K:$K)</f>
        <v>DRA-Display Risers, Stands &amp; Accessories</v>
      </c>
      <c r="L196" t="str">
        <f>_xlfn.XLOOKUP(B196, [1]EFAY!$B:$B,[1]EFAY!$L:$L)</f>
        <v>#705910 PC Ø25xH45cm 10" Display Tube Clear with 3-Tier White Platter and Black Base</v>
      </c>
    </row>
    <row r="197" spans="1:13" x14ac:dyDescent="0.25">
      <c r="A197" t="str">
        <f>_xlfn.XLOOKUP(B197, [1]EFAY!$B:$B,[1]EFAY!$A:$A)</f>
        <v>5712-EDA-516004IV</v>
      </c>
      <c r="B197" s="3" t="s">
        <v>851</v>
      </c>
      <c r="C197" t="s">
        <v>1089</v>
      </c>
      <c r="D197" t="str">
        <f>_xlfn.XLOOKUP(B197, [1]EFAY!$B:$B,[1]EFAY!$D:$D)</f>
        <v>(WSL19)#516004, 4'' MELAMINE PETIT WAN WAN DISH (IVORY)</v>
      </c>
      <c r="E197" t="str">
        <f>_xlfn.XLOOKUP(B197, [1]EFAY!$B:$B,[1]EFAY!$E:$E)</f>
        <v>WSL WITH STOCK</v>
      </c>
      <c r="G197" t="s">
        <v>1094</v>
      </c>
      <c r="H197">
        <f>_xlfn.XLOOKUP(B197, [1]EFAY!$B:$B,[1]EFAY!$H:$H)</f>
        <v>1.5</v>
      </c>
      <c r="I197" t="str">
        <f>_xlfn.XLOOKUP(B197, [1]EFAY!$B:$B,[1]EFAY!$I:$I)</f>
        <v>JS-Janitorial and Stewarding</v>
      </c>
      <c r="J197" t="str">
        <f>_xlfn.XLOOKUP(B197, [1]EFAY!$B:$B,[1]EFAY!$J:$J)</f>
        <v>DWR-Dinnerware</v>
      </c>
      <c r="K197" t="str">
        <f>_xlfn.XLOOKUP(B197, [1]EFAY!$B:$B,[1]EFAY!$K:$K)</f>
        <v>BWL-Bowls</v>
      </c>
      <c r="L197" t="str">
        <f>_xlfn.XLOOKUP(B197, [1]EFAY!$B:$B,[1]EFAY!$L:$L)</f>
        <v>#516004 Melamine 4" Petit Wan Wan Dish Ivory</v>
      </c>
      <c r="M197" s="3" t="s">
        <v>1011</v>
      </c>
    </row>
    <row r="198" spans="1:13" x14ac:dyDescent="0.25">
      <c r="A198" t="str">
        <f>_xlfn.XLOOKUP(B198, [1]EFAY!$B:$B,[1]EFAY!$A:$A)</f>
        <v>5712-EDB-206131IV</v>
      </c>
      <c r="B198" s="3" t="s">
        <v>852</v>
      </c>
      <c r="C198" t="s">
        <v>1089</v>
      </c>
      <c r="D198" t="str">
        <f>_xlfn.XLOOKUP(B198, [1]EFAY!$B:$B,[1]EFAY!$D:$D)</f>
        <v>(WSL19)(ID ONLY)&lt;4171231&gt; #206131, 31'' MELAMINE MEHNDI OVAL BOWL (IVORY)</v>
      </c>
      <c r="E198" t="str">
        <f>_xlfn.XLOOKUP(B198, [1]EFAY!$B:$B,[1]EFAY!$E:$E)</f>
        <v>WSL WITH STOCK</v>
      </c>
      <c r="G198" t="s">
        <v>1094</v>
      </c>
      <c r="H198">
        <f>_xlfn.XLOOKUP(B198, [1]EFAY!$B:$B,[1]EFAY!$H:$H)</f>
        <v>170.79</v>
      </c>
      <c r="I198" t="str">
        <f>_xlfn.XLOOKUP(B198, [1]EFAY!$B:$B,[1]EFAY!$I:$I)</f>
        <v>JS-Janitorial and Stewarding</v>
      </c>
      <c r="J198" t="str">
        <f>_xlfn.XLOOKUP(B198, [1]EFAY!$B:$B,[1]EFAY!$J:$J)</f>
        <v>SVW-Serveware</v>
      </c>
      <c r="K198" t="str">
        <f>_xlfn.XLOOKUP(B198, [1]EFAY!$B:$B,[1]EFAY!$K:$K)</f>
        <v>MSA-Miscellaneous Serving Accessories</v>
      </c>
      <c r="L198" t="str">
        <f>_xlfn.XLOOKUP(B198, [1]EFAY!$B:$B,[1]EFAY!$L:$L)</f>
        <v>#206131 Melamine 31" Mehndi Oval Bowl Ivory</v>
      </c>
      <c r="M198" s="3" t="s">
        <v>1014</v>
      </c>
    </row>
    <row r="199" spans="1:13" x14ac:dyDescent="0.25">
      <c r="A199" t="str">
        <f>_xlfn.XLOOKUP(B199, [1]EFAY!$B:$B,[1]EFAY!$A:$A)</f>
        <v>5712-EDB-206231IV</v>
      </c>
      <c r="B199" s="3" t="s">
        <v>853</v>
      </c>
      <c r="C199" t="s">
        <v>1089</v>
      </c>
      <c r="D199" t="str">
        <f>_xlfn.XLOOKUP(B199, [1]EFAY!$B:$B,[1]EFAY!$D:$D)</f>
        <v>(WSL19)(ID ONLY)&lt;4171331&gt; #206231, 31'' MELAMINE MEHNDI RD BOWL (IVORY)</v>
      </c>
      <c r="E199" t="str">
        <f>_xlfn.XLOOKUP(B199, [1]EFAY!$B:$B,[1]EFAY!$E:$E)</f>
        <v>WSL WITH STOCK</v>
      </c>
      <c r="G199" t="s">
        <v>1094</v>
      </c>
      <c r="H199">
        <f>_xlfn.XLOOKUP(B199, [1]EFAY!$B:$B,[1]EFAY!$H:$H)</f>
        <v>253.34</v>
      </c>
      <c r="I199" t="str">
        <f>_xlfn.XLOOKUP(B199, [1]EFAY!$B:$B,[1]EFAY!$I:$I)</f>
        <v>JS-Janitorial and Stewarding</v>
      </c>
      <c r="J199" t="str">
        <f>_xlfn.XLOOKUP(B199, [1]EFAY!$B:$B,[1]EFAY!$J:$J)</f>
        <v>SVW-Serveware</v>
      </c>
      <c r="K199" t="str">
        <f>_xlfn.XLOOKUP(B199, [1]EFAY!$B:$B,[1]EFAY!$K:$K)</f>
        <v>MSA-Miscellaneous Serving Accessories</v>
      </c>
      <c r="L199" t="str">
        <f>_xlfn.XLOOKUP(B199, [1]EFAY!$B:$B,[1]EFAY!$L:$L)</f>
        <v>#206231 Melamine 31" Mehndi Round Bowl Ivory</v>
      </c>
      <c r="M199" s="3" t="s">
        <v>1014</v>
      </c>
    </row>
    <row r="200" spans="1:13" x14ac:dyDescent="0.25">
      <c r="A200" t="str">
        <f>_xlfn.XLOOKUP(B200, [1]EFAY!$B:$B,[1]EFAY!$A:$A)</f>
        <v>5712-EDB-207204IV</v>
      </c>
      <c r="B200" s="3" t="s">
        <v>854</v>
      </c>
      <c r="C200" t="s">
        <v>1089</v>
      </c>
      <c r="D200" t="str">
        <f>_xlfn.XLOOKUP(B200, [1]EFAY!$B:$B,[1]EFAY!$D:$D)</f>
        <v>(WSL19)#207204 4''/8.5cm  MELAMINE 'V' SHAPE BOWL (IVORY)</v>
      </c>
      <c r="E200" t="str">
        <f>_xlfn.XLOOKUP(B200, [1]EFAY!$B:$B,[1]EFAY!$E:$E)</f>
        <v>WSL WITH STOCK</v>
      </c>
      <c r="G200" t="s">
        <v>1094</v>
      </c>
      <c r="H200">
        <f>_xlfn.XLOOKUP(B200, [1]EFAY!$B:$B,[1]EFAY!$H:$H)</f>
        <v>1.92</v>
      </c>
      <c r="I200" t="str">
        <f>_xlfn.XLOOKUP(B200, [1]EFAY!$B:$B,[1]EFAY!$I:$I)</f>
        <v>JS-Janitorial and Stewarding</v>
      </c>
      <c r="J200" t="str">
        <f>_xlfn.XLOOKUP(B200, [1]EFAY!$B:$B,[1]EFAY!$J:$J)</f>
        <v>SVW-Serveware</v>
      </c>
      <c r="K200" t="str">
        <f>_xlfn.XLOOKUP(B200, [1]EFAY!$B:$B,[1]EFAY!$K:$K)</f>
        <v>MSA-Miscellaneous Serving Accessories</v>
      </c>
      <c r="L200" t="str">
        <f>_xlfn.XLOOKUP(B200, [1]EFAY!$B:$B,[1]EFAY!$L:$L)</f>
        <v>#207204 Melamine 4"/8.5cm V Shape Bowl Ivory</v>
      </c>
      <c r="M200" s="3" t="s">
        <v>1016</v>
      </c>
    </row>
    <row r="201" spans="1:13" x14ac:dyDescent="0.25">
      <c r="A201" t="str">
        <f>_xlfn.XLOOKUP(B201, [1]EFAY!$B:$B,[1]EFAY!$A:$A)</f>
        <v>5712-EDB-207205IV</v>
      </c>
      <c r="B201" s="3" t="s">
        <v>855</v>
      </c>
      <c r="C201" t="s">
        <v>1089</v>
      </c>
      <c r="D201" t="str">
        <f>_xlfn.XLOOKUP(B201, [1]EFAY!$B:$B,[1]EFAY!$D:$D)</f>
        <v>(WSL19)#207205 5''/13cm  MELAMINE 'V' SHAPE BOWL (IVORY)</v>
      </c>
      <c r="E201" t="str">
        <f>_xlfn.XLOOKUP(B201, [1]EFAY!$B:$B,[1]EFAY!$E:$E)</f>
        <v>WSL WITH STOCK</v>
      </c>
      <c r="G201" t="s">
        <v>1094</v>
      </c>
      <c r="H201">
        <f>_xlfn.XLOOKUP(B201, [1]EFAY!$B:$B,[1]EFAY!$H:$H)</f>
        <v>3.83</v>
      </c>
      <c r="I201" t="str">
        <f>_xlfn.XLOOKUP(B201, [1]EFAY!$B:$B,[1]EFAY!$I:$I)</f>
        <v>JS-Janitorial and Stewarding</v>
      </c>
      <c r="J201" t="str">
        <f>_xlfn.XLOOKUP(B201, [1]EFAY!$B:$B,[1]EFAY!$J:$J)</f>
        <v>SVW-Serveware</v>
      </c>
      <c r="K201" t="str">
        <f>_xlfn.XLOOKUP(B201, [1]EFAY!$B:$B,[1]EFAY!$K:$K)</f>
        <v>MSA-Miscellaneous Serving Accessories</v>
      </c>
      <c r="L201" t="str">
        <f>_xlfn.XLOOKUP(B201, [1]EFAY!$B:$B,[1]EFAY!$L:$L)</f>
        <v>#207205 Melamine 5"/13cm 'V' Shape Bowl Ivory</v>
      </c>
      <c r="M201" s="3" t="s">
        <v>1016</v>
      </c>
    </row>
    <row r="202" spans="1:13" x14ac:dyDescent="0.25">
      <c r="A202" t="str">
        <f>_xlfn.XLOOKUP(B202, [1]EFAY!$B:$B,[1]EFAY!$A:$A)</f>
        <v>5712-EDB-207206IV</v>
      </c>
      <c r="B202" s="3" t="s">
        <v>856</v>
      </c>
      <c r="C202" t="s">
        <v>1089</v>
      </c>
      <c r="D202" t="str">
        <f>_xlfn.XLOOKUP(B202, [1]EFAY!$B:$B,[1]EFAY!$D:$D)</f>
        <v>(WSL19)#207206 6''/16cm  MELAMINE 'V' SHAPE BOWL (IVORY)</v>
      </c>
      <c r="E202" t="str">
        <f>_xlfn.XLOOKUP(B202, [1]EFAY!$B:$B,[1]EFAY!$E:$E)</f>
        <v>WSL WITH STOCK</v>
      </c>
      <c r="G202" t="s">
        <v>1094</v>
      </c>
      <c r="H202">
        <f>_xlfn.XLOOKUP(B202, [1]EFAY!$B:$B,[1]EFAY!$H:$H)</f>
        <v>7.72</v>
      </c>
      <c r="I202" t="str">
        <f>_xlfn.XLOOKUP(B202, [1]EFAY!$B:$B,[1]EFAY!$I:$I)</f>
        <v>JS-Janitorial and Stewarding</v>
      </c>
      <c r="J202" t="str">
        <f>_xlfn.XLOOKUP(B202, [1]EFAY!$B:$B,[1]EFAY!$J:$J)</f>
        <v>SVW-Serveware</v>
      </c>
      <c r="K202" t="str">
        <f>_xlfn.XLOOKUP(B202, [1]EFAY!$B:$B,[1]EFAY!$K:$K)</f>
        <v/>
      </c>
      <c r="L202" t="str">
        <f>_xlfn.XLOOKUP(B202, [1]EFAY!$B:$B,[1]EFAY!$L:$L)</f>
        <v>#207206 Melamine 6"/16cm 'V' Shape Bowl Ivory</v>
      </c>
      <c r="M202" s="3" t="s">
        <v>1016</v>
      </c>
    </row>
    <row r="203" spans="1:13" x14ac:dyDescent="0.25">
      <c r="A203" t="str">
        <f>_xlfn.XLOOKUP(B203, [1]EFAY!$B:$B,[1]EFAY!$A:$A)</f>
        <v>5712-EDB-224310IV</v>
      </c>
      <c r="B203" s="3" t="s">
        <v>857</v>
      </c>
      <c r="C203" t="s">
        <v>1089</v>
      </c>
      <c r="D203" t="str">
        <f>_xlfn.XLOOKUP(B203, [1]EFAY!$B:$B,[1]EFAY!$D:$D)</f>
        <v>(WSL19)&lt;4171410&gt;#224310, 10'' MELAMINE MEHNDI BOWL (IVORY)</v>
      </c>
      <c r="E203" t="str">
        <f>_xlfn.XLOOKUP(B203, [1]EFAY!$B:$B,[1]EFAY!$E:$E)</f>
        <v>WSL WITH STOCK</v>
      </c>
      <c r="G203" t="s">
        <v>1094</v>
      </c>
      <c r="H203">
        <f>_xlfn.XLOOKUP(B203, [1]EFAY!$B:$B,[1]EFAY!$H:$H)</f>
        <v>4.6100000000000003</v>
      </c>
      <c r="I203" t="str">
        <f>_xlfn.XLOOKUP(B203, [1]EFAY!$B:$B,[1]EFAY!$I:$I)</f>
        <v>JS-Janitorial and Stewarding</v>
      </c>
      <c r="J203" t="str">
        <f>_xlfn.XLOOKUP(B203, [1]EFAY!$B:$B,[1]EFAY!$J:$J)</f>
        <v>DWR-Dinnerware</v>
      </c>
      <c r="K203" t="str">
        <f>_xlfn.XLOOKUP(B203, [1]EFAY!$B:$B,[1]EFAY!$K:$K)</f>
        <v>BWL-Bowls</v>
      </c>
      <c r="L203" t="str">
        <f>_xlfn.XLOOKUP(B203, [1]EFAY!$B:$B,[1]EFAY!$L:$L)</f>
        <v>#224310 Melamine 10" Mehndi Bowl Ivory</v>
      </c>
      <c r="M203" s="3" t="s">
        <v>1019</v>
      </c>
    </row>
    <row r="204" spans="1:13" x14ac:dyDescent="0.25">
      <c r="A204" t="str">
        <f>_xlfn.XLOOKUP(B204, [1]EFAY!$B:$B,[1]EFAY!$A:$A)</f>
        <v>5712-EDB-224414IV</v>
      </c>
      <c r="B204" s="3" t="s">
        <v>858</v>
      </c>
      <c r="C204" t="s">
        <v>1089</v>
      </c>
      <c r="D204" t="str">
        <f>_xlfn.XLOOKUP(B204, [1]EFAY!$B:$B,[1]EFAY!$D:$D)</f>
        <v>(WSL19)&lt;4171514&gt;#224414, 14'' MELAMINE MEHNDI BOWL (IVORY)</v>
      </c>
      <c r="E204" t="str">
        <f>_xlfn.XLOOKUP(B204, [1]EFAY!$B:$B,[1]EFAY!$E:$E)</f>
        <v>WSL WITH STOCK</v>
      </c>
      <c r="G204" t="s">
        <v>1094</v>
      </c>
      <c r="H204">
        <f>_xlfn.XLOOKUP(B204, [1]EFAY!$B:$B,[1]EFAY!$H:$H)</f>
        <v>15.43</v>
      </c>
      <c r="I204" t="str">
        <f>_xlfn.XLOOKUP(B204, [1]EFAY!$B:$B,[1]EFAY!$I:$I)</f>
        <v>JS-Janitorial and Stewarding</v>
      </c>
      <c r="J204" t="str">
        <f>_xlfn.XLOOKUP(B204, [1]EFAY!$B:$B,[1]EFAY!$J:$J)</f>
        <v>SVW-Serveware</v>
      </c>
      <c r="K204" t="str">
        <f>_xlfn.XLOOKUP(B204, [1]EFAY!$B:$B,[1]EFAY!$K:$K)</f>
        <v>MSA-Miscellaneous Serving Accessories</v>
      </c>
      <c r="L204" t="str">
        <f>_xlfn.XLOOKUP(B204, [1]EFAY!$B:$B,[1]EFAY!$L:$L)</f>
        <v>#224414 Melamine 14" Mehndi Bowl Ivory</v>
      </c>
      <c r="M204" s="3" t="s">
        <v>1019</v>
      </c>
    </row>
    <row r="205" spans="1:13" x14ac:dyDescent="0.25">
      <c r="A205" t="str">
        <f>_xlfn.XLOOKUP(B205, [1]EFAY!$B:$B,[1]EFAY!$A:$A)</f>
        <v>5712-EDB-224521IV</v>
      </c>
      <c r="B205" s="3" t="s">
        <v>859</v>
      </c>
      <c r="C205" t="s">
        <v>1089</v>
      </c>
      <c r="D205" t="str">
        <f>_xlfn.XLOOKUP(B205, [1]EFAY!$B:$B,[1]EFAY!$D:$D)</f>
        <v>&lt;4171621&gt;#224521, 21" MELAMINE MEHNDI BOWL (IVORY)</v>
      </c>
      <c r="E205" t="str">
        <f>_xlfn.XLOOKUP(B205, [1]EFAY!$B:$B,[1]EFAY!$E:$E)</f>
        <v>NO TAG</v>
      </c>
      <c r="G205" t="s">
        <v>1094</v>
      </c>
      <c r="H205">
        <f>_xlfn.XLOOKUP(B205, [1]EFAY!$B:$B,[1]EFAY!$H:$H)</f>
        <v>26.09</v>
      </c>
      <c r="I205" t="str">
        <f>_xlfn.XLOOKUP(B205, [1]EFAY!$B:$B,[1]EFAY!$I:$I)</f>
        <v>JS-Janitorial and Stewarding</v>
      </c>
      <c r="J205" t="str">
        <f>_xlfn.XLOOKUP(B205, [1]EFAY!$B:$B,[1]EFAY!$J:$J)</f>
        <v>SVW-Serveware</v>
      </c>
      <c r="K205" t="str">
        <f>_xlfn.XLOOKUP(B205, [1]EFAY!$B:$B,[1]EFAY!$K:$K)</f>
        <v>MSA-Miscellaneous Serving Accessories</v>
      </c>
      <c r="L205" t="str">
        <f>_xlfn.XLOOKUP(B205, [1]EFAY!$B:$B,[1]EFAY!$L:$L)</f>
        <v>#224521 Melamine 21" Mehndi Bowl Ivory</v>
      </c>
      <c r="M205" s="3" t="s">
        <v>1019</v>
      </c>
    </row>
    <row r="206" spans="1:13" ht="15.75" x14ac:dyDescent="0.3">
      <c r="A206" t="str">
        <f>_xlfn.XLOOKUP(B206, [1]EFAY!$B:$B,[1]EFAY!$A:$A)</f>
        <v>5712-EDP-100122/BK</v>
      </c>
      <c r="B206" s="3" t="s">
        <v>860</v>
      </c>
      <c r="C206" t="s">
        <v>1089</v>
      </c>
      <c r="D206" t="str">
        <f>_xlfn.XLOOKUP(B206, [1]EFAY!$B:$B,[1]EFAY!$D:$D)</f>
        <v>(ID) #100122 "DIDO" 56cmX32cm RECT. DEEP BUFFET PLATE (BLACK)</v>
      </c>
      <c r="E206" t="str">
        <f>_xlfn.XLOOKUP(B206, [1]EFAY!$B:$B,[1]EFAY!$E:$E)</f>
        <v>ID NO STOCK</v>
      </c>
      <c r="G206" t="s">
        <v>1094</v>
      </c>
      <c r="H206">
        <f>_xlfn.XLOOKUP(B206, [1]EFAY!$B:$B,[1]EFAY!$H:$H)</f>
        <v>30.77</v>
      </c>
      <c r="I206" t="str">
        <f>_xlfn.XLOOKUP(B206, [1]EFAY!$B:$B,[1]EFAY!$I:$I)</f>
        <v>JS-Janitorial and Stewarding</v>
      </c>
      <c r="J206" t="str">
        <f>_xlfn.XLOOKUP(B206, [1]EFAY!$B:$B,[1]EFAY!$J:$J)</f>
        <v>SVW-Serveware</v>
      </c>
      <c r="K206" t="str">
        <f>_xlfn.XLOOKUP(B206, [1]EFAY!$B:$B,[1]EFAY!$K:$K)</f>
        <v>MSA-Miscellaneous Serving Accessories</v>
      </c>
      <c r="L206" t="str">
        <f>_xlfn.XLOOKUP(B206, [1]EFAY!$B:$B,[1]EFAY!$L:$L)</f>
        <v>#10012 56x32cm Dido Rectangular Deep Buffet Plate Black</v>
      </c>
      <c r="M206" s="8" t="s">
        <v>847</v>
      </c>
    </row>
    <row r="207" spans="1:13" x14ac:dyDescent="0.25">
      <c r="A207" t="str">
        <f>_xlfn.XLOOKUP(B207, [1]EFAY!$B:$B,[1]EFAY!$A:$A)</f>
        <v>5712-EDP-2420A-BK</v>
      </c>
      <c r="B207" s="3" t="s">
        <v>861</v>
      </c>
      <c r="C207" t="s">
        <v>1089</v>
      </c>
      <c r="D207" t="str">
        <f>_xlfn.XLOOKUP(B207, [1]EFAY!$B:$B,[1]EFAY!$D:$D)</f>
        <v>(DCWSL22)&lt;4172501&gt; #2420 2/4x20mm/1" (525X160mm) MELAMINE GN FOOD INSERT PAN (BLACK)</v>
      </c>
      <c r="E207" t="str">
        <f>_xlfn.XLOOKUP(B207, [1]EFAY!$B:$B,[1]EFAY!$E:$E)</f>
        <v>WSL WITH STOCK</v>
      </c>
      <c r="G207" t="s">
        <v>1094</v>
      </c>
      <c r="H207">
        <f>_xlfn.XLOOKUP(B207, [1]EFAY!$B:$B,[1]EFAY!$H:$H)</f>
        <v>15.86</v>
      </c>
      <c r="I207" t="str">
        <f>_xlfn.XLOOKUP(B207, [1]EFAY!$B:$B,[1]EFAY!$I:$I)</f>
        <v>JS-Janitorial and Stewarding</v>
      </c>
      <c r="J207" t="str">
        <f>_xlfn.XLOOKUP(B207, [1]EFAY!$B:$B,[1]EFAY!$J:$J)</f>
        <v>SS-Storage Solutions</v>
      </c>
      <c r="K207" t="str">
        <f>_xlfn.XLOOKUP(B207, [1]EFAY!$B:$B,[1]EFAY!$K:$K)</f>
        <v>FP-Food Pans</v>
      </c>
      <c r="L207" t="str">
        <f>_xlfn.XLOOKUP(B207, [1]EFAY!$B:$B,[1]EFAY!$L:$L)</f>
        <v>#2420  Melamine 2/4x20mm/1" 525x160mm GN Food Insert Pan Black</v>
      </c>
      <c r="M207" s="3" t="s">
        <v>1023</v>
      </c>
    </row>
    <row r="208" spans="1:13" x14ac:dyDescent="0.25">
      <c r="A208" t="str">
        <f>_xlfn.XLOOKUP(B208, [1]EFAY!$B:$B,[1]EFAY!$A:$A)</f>
        <v>5712-EDP-2420A-RD</v>
      </c>
      <c r="B208" s="3" t="s">
        <v>862</v>
      </c>
      <c r="C208" t="s">
        <v>1089</v>
      </c>
      <c r="D208" t="str">
        <f>_xlfn.XLOOKUP(B208, [1]EFAY!$B:$B,[1]EFAY!$D:$D)</f>
        <v>(ID-MOQ)&lt;4172501&gt; #2420 2/4x20mm/1" (525X160mm) MELAMINE GN FOOD INSERT PAN (RED)</v>
      </c>
      <c r="E208" t="str">
        <f>_xlfn.XLOOKUP(B208, [1]EFAY!$B:$B,[1]EFAY!$E:$E)</f>
        <v>ID WITH STOCK</v>
      </c>
      <c r="G208" t="s">
        <v>1094</v>
      </c>
      <c r="H208">
        <f>_xlfn.XLOOKUP(B208, [1]EFAY!$B:$B,[1]EFAY!$H:$H)</f>
        <v>16.21</v>
      </c>
      <c r="I208" t="str">
        <f>_xlfn.XLOOKUP(B208, [1]EFAY!$B:$B,[1]EFAY!$I:$I)</f>
        <v>JS-Janitorial and Stewarding</v>
      </c>
      <c r="J208" t="str">
        <f>_xlfn.XLOOKUP(B208, [1]EFAY!$B:$B,[1]EFAY!$J:$J)</f>
        <v>SS-Storage Solutions</v>
      </c>
      <c r="K208" t="str">
        <f>_xlfn.XLOOKUP(B208, [1]EFAY!$B:$B,[1]EFAY!$K:$K)</f>
        <v>FP-Food Pans</v>
      </c>
      <c r="L208" t="str">
        <f>_xlfn.XLOOKUP(B208, [1]EFAY!$B:$B,[1]EFAY!$L:$L)</f>
        <v>#2420 Melamine 2/4x20mm/1" 525x160mm GN Food Insert Pan Red</v>
      </c>
      <c r="M208" s="3" t="s">
        <v>1023</v>
      </c>
    </row>
    <row r="209" spans="1:13" x14ac:dyDescent="0.25">
      <c r="A209" t="str">
        <f>_xlfn.XLOOKUP(B209, [1]EFAY!$B:$B,[1]EFAY!$A:$A)</f>
        <v>5712-EGN-1440LIV</v>
      </c>
      <c r="B209" s="3" t="s">
        <v>863</v>
      </c>
      <c r="C209" t="s">
        <v>1089</v>
      </c>
      <c r="D209" t="str">
        <f>_xlfn.XLOOKUP(B209, [1]EFAY!$B:$B,[1]EFAY!$D:$D)</f>
        <v>(WSL19)#1440L, 40MM MELAMINE LUNA GN 1/4 CURVE PLATE (IVORY)</v>
      </c>
      <c r="E209" t="str">
        <f>_xlfn.XLOOKUP(B209, [1]EFAY!$B:$B,[1]EFAY!$E:$E)</f>
        <v>WSL WITH STOCK</v>
      </c>
      <c r="G209" t="s">
        <v>1094</v>
      </c>
      <c r="H209">
        <f>_xlfn.XLOOKUP(B209, [1]EFAY!$B:$B,[1]EFAY!$H:$H)</f>
        <v>7.69</v>
      </c>
      <c r="I209" t="str">
        <f>_xlfn.XLOOKUP(B209, [1]EFAY!$B:$B,[1]EFAY!$I:$I)</f>
        <v>JS-Janitorial and Stewarding</v>
      </c>
      <c r="J209" t="str">
        <f>_xlfn.XLOOKUP(B209, [1]EFAY!$B:$B,[1]EFAY!$J:$J)</f>
        <v>DWR-Dinnerware</v>
      </c>
      <c r="K209" t="str">
        <f>_xlfn.XLOOKUP(B209, [1]EFAY!$B:$B,[1]EFAY!$K:$K)</f>
        <v>PLT-Plates</v>
      </c>
      <c r="L209" t="str">
        <f>_xlfn.XLOOKUP(B209, [1]EFAY!$B:$B,[1]EFAY!$L:$L)</f>
        <v>#1440L GN 1/4  Melamine 40mm LunaCurve Plate Ivory</v>
      </c>
      <c r="M209" s="3" t="s">
        <v>1025</v>
      </c>
    </row>
    <row r="210" spans="1:13" x14ac:dyDescent="0.25">
      <c r="A210" t="str">
        <f>_xlfn.XLOOKUP(B210, [1]EFAY!$B:$B,[1]EFAY!$A:$A)</f>
        <v>5712-ETS-5316BK1</v>
      </c>
      <c r="B210" s="3" t="s">
        <v>864</v>
      </c>
      <c r="C210" t="s">
        <v>1089</v>
      </c>
      <c r="D210" t="str">
        <f>_xlfn.XLOOKUP(B210, [1]EFAY!$B:$B,[1]EFAY!$D:$D)</f>
        <v>(DCWSL19) #5316BK1 2/4 SIZE 'TAROKO' GRANTIE SLATE,BLACK MARBLE DECAL (520X160mm)</v>
      </c>
      <c r="E210" t="str">
        <f>_xlfn.XLOOKUP(B210, [1]EFAY!$B:$B,[1]EFAY!$E:$E)</f>
        <v>WSL WITH STOCK</v>
      </c>
      <c r="G210" t="s">
        <v>1094</v>
      </c>
      <c r="H210">
        <f>_xlfn.XLOOKUP(B210, [1]EFAY!$B:$B,[1]EFAY!$H:$H)</f>
        <v>23.5</v>
      </c>
      <c r="I210" t="str">
        <f>_xlfn.XLOOKUP(B210, [1]EFAY!$B:$B,[1]EFAY!$I:$I)</f>
        <v>JS-Janitorial and Stewarding</v>
      </c>
      <c r="J210" t="str">
        <f>_xlfn.XLOOKUP(B210, [1]EFAY!$B:$B,[1]EFAY!$J:$J)</f>
        <v>TAL-Table Accessories &amp; Linens</v>
      </c>
      <c r="K210" t="str">
        <f>_xlfn.XLOOKUP(B210, [1]EFAY!$B:$B,[1]EFAY!$K:$K)</f>
        <v>DEC-Decorations</v>
      </c>
      <c r="L210" t="str">
        <f>_xlfn.XLOOKUP(B210, [1]EFAY!$B:$B,[1]EFAY!$L:$L)</f>
        <v>#5316BK1 2/4 Size 520x160mm Taroko Granite Slate Black Marble Decal</v>
      </c>
      <c r="M210" s="3" t="s">
        <v>1028</v>
      </c>
    </row>
    <row r="211" spans="1:13" x14ac:dyDescent="0.25">
      <c r="A211" t="str">
        <f>_xlfn.XLOOKUP(B211, [1]EFAY!$B:$B,[1]EFAY!$A:$A)</f>
        <v>5712-GAM-904611BK</v>
      </c>
      <c r="B211" s="3" t="s">
        <v>865</v>
      </c>
      <c r="C211" t="s">
        <v>1089</v>
      </c>
      <c r="D211" t="str">
        <f>_xlfn.XLOOKUP(B211, [1]EFAY!$B:$B,[1]EFAY!$D:$D)</f>
        <v>1/1 SIZE, 55x34xHT:44cm 3 TIER BREAD CASE, METAL+ACRYLIC, GAMMA</v>
      </c>
      <c r="E211" t="str">
        <f>_xlfn.XLOOKUP(B211, [1]EFAY!$B:$B,[1]EFAY!$E:$E)</f>
        <v>NO TAG</v>
      </c>
      <c r="G211" t="s">
        <v>1094</v>
      </c>
      <c r="H211">
        <f>_xlfn.XLOOKUP(B211, [1]EFAY!$B:$B,[1]EFAY!$H:$H)</f>
        <v>323.8</v>
      </c>
      <c r="I211" t="str">
        <f>_xlfn.XLOOKUP(B211, [1]EFAY!$B:$B,[1]EFAY!$I:$I)</f>
        <v>JS-Janitorial and Stewarding</v>
      </c>
      <c r="J211" t="str">
        <f>_xlfn.XLOOKUP(B211, [1]EFAY!$B:$B,[1]EFAY!$J:$J)</f>
        <v>FW-Food Holding &amp; Warming</v>
      </c>
      <c r="K211" t="str">
        <f>_xlfn.XLOOKUP(B211, [1]EFAY!$B:$B,[1]EFAY!$K:$K)</f>
        <v/>
      </c>
      <c r="L211" t="str">
        <f>_xlfn.XLOOKUP(B211, [1]EFAY!$B:$B,[1]EFAY!$L:$L)</f>
        <v>Gamma 1/1 Size Metal+Acrylic 55x34xH44cm 3 Tier Bread Case</v>
      </c>
    </row>
    <row r="212" spans="1:13" x14ac:dyDescent="0.25">
      <c r="A212" t="str">
        <f>_xlfn.XLOOKUP(B212, [1]EFAY!$B:$B,[1]EFAY!$A:$A)</f>
        <v>5712-GAM-904614BK</v>
      </c>
      <c r="B212" s="3" t="s">
        <v>866</v>
      </c>
      <c r="C212" t="s">
        <v>1089</v>
      </c>
      <c r="D212" t="str">
        <f>_xlfn.XLOOKUP(B212, [1]EFAY!$B:$B,[1]EFAY!$D:$D)</f>
        <v>1/4 SIZE, 27x16xHT:44cm 3 TIER BREAD CASE, DRAWER, METAL+ACRYLIC, GAMMA</v>
      </c>
      <c r="E212" t="str">
        <f>_xlfn.XLOOKUP(B212, [1]EFAY!$B:$B,[1]EFAY!$E:$E)</f>
        <v>NO TAG</v>
      </c>
      <c r="G212" t="s">
        <v>1094</v>
      </c>
      <c r="H212">
        <f>_xlfn.XLOOKUP(B212, [1]EFAY!$B:$B,[1]EFAY!$H:$H)</f>
        <v>210.3</v>
      </c>
      <c r="I212" t="str">
        <f>_xlfn.XLOOKUP(B212, [1]EFAY!$B:$B,[1]EFAY!$I:$I)</f>
        <v>JS-Janitorial and Stewarding</v>
      </c>
      <c r="J212" t="str">
        <f>_xlfn.XLOOKUP(B212, [1]EFAY!$B:$B,[1]EFAY!$J:$J)</f>
        <v>FW-Food Holding &amp; Warming</v>
      </c>
      <c r="K212" t="str">
        <f>_xlfn.XLOOKUP(B212, [1]EFAY!$B:$B,[1]EFAY!$K:$K)</f>
        <v/>
      </c>
      <c r="L212" t="str">
        <f>_xlfn.XLOOKUP(B212, [1]EFAY!$B:$B,[1]EFAY!$L:$L)</f>
        <v>Gamma 1/4 Size Metal + Acrylic 27x16xH44cm 3 Tier Bread Case with Drawer</v>
      </c>
    </row>
    <row r="213" spans="1:13" x14ac:dyDescent="0.25">
      <c r="A213" t="str">
        <f>_xlfn.XLOOKUP(B213, [1]EFAY!$B:$B,[1]EFAY!$A:$A)</f>
        <v>5712-GAM-904912BK</v>
      </c>
      <c r="B213" s="3" t="s">
        <v>867</v>
      </c>
      <c r="C213" t="s">
        <v>1089</v>
      </c>
      <c r="D213" t="str">
        <f>_xlfn.XLOOKUP(B213, [1]EFAY!$B:$B,[1]EFAY!$D:$D)</f>
        <v>1/2 SIZE, 34.3x28.3xHT:43.5cm 3 TIER BREAD CASE, METAL+ACRYLIC, GAMMA</v>
      </c>
      <c r="E213" t="str">
        <f>_xlfn.XLOOKUP(B213, [1]EFAY!$B:$B,[1]EFAY!$E:$E)</f>
        <v>NO TAG</v>
      </c>
      <c r="G213" t="s">
        <v>1094</v>
      </c>
      <c r="H213">
        <f>_xlfn.XLOOKUP(B213, [1]EFAY!$B:$B,[1]EFAY!$H:$H)</f>
        <v>288.8</v>
      </c>
      <c r="I213" t="str">
        <f>_xlfn.XLOOKUP(B213, [1]EFAY!$B:$B,[1]EFAY!$I:$I)</f>
        <v>JS-Janitorial and Stewarding</v>
      </c>
      <c r="J213" t="str">
        <f>_xlfn.XLOOKUP(B213, [1]EFAY!$B:$B,[1]EFAY!$J:$J)</f>
        <v>FW-Food Holding &amp; Warming</v>
      </c>
      <c r="K213" t="str">
        <f>_xlfn.XLOOKUP(B213, [1]EFAY!$B:$B,[1]EFAY!$K:$K)</f>
        <v/>
      </c>
      <c r="L213" t="str">
        <f>_xlfn.XLOOKUP(B213, [1]EFAY!$B:$B,[1]EFAY!$L:$L)</f>
        <v>Gamma 1/2 Size Metal+Acrylic 34.3x28.3xH43.5cm 3 Tier Bread Case</v>
      </c>
    </row>
    <row r="214" spans="1:13" x14ac:dyDescent="0.25">
      <c r="A214" t="str">
        <f>_xlfn.XLOOKUP(B214, [1]EFAY!$B:$B,[1]EFAY!$A:$A)</f>
        <v>5712-GN-407811CG40</v>
      </c>
      <c r="B214" s="3" t="s">
        <v>868</v>
      </c>
      <c r="C214" t="s">
        <v>1089</v>
      </c>
      <c r="D214" t="str">
        <f>_xlfn.XLOOKUP(B214, [1]EFAY!$B:$B,[1]EFAY!$D:$D)</f>
        <v>(ID, MOQ:60) #407811-CG40, 1/1 GN BAKER TRAY, CORRASE TERRAZZO</v>
      </c>
      <c r="E214" t="str">
        <f>_xlfn.XLOOKUP(B214, [1]EFAY!$B:$B,[1]EFAY!$E:$E)</f>
        <v>ID WITH STOCK</v>
      </c>
      <c r="G214" t="s">
        <v>1094</v>
      </c>
      <c r="H214">
        <f>_xlfn.XLOOKUP(B214, [1]EFAY!$B:$B,[1]EFAY!$H:$H)</f>
        <v>25.34</v>
      </c>
      <c r="I214" t="str">
        <f>_xlfn.XLOOKUP(B214, [1]EFAY!$B:$B,[1]EFAY!$I:$I)</f>
        <v>JS-Janitorial and Stewarding</v>
      </c>
      <c r="J214" t="str">
        <f>_xlfn.XLOOKUP(B214, [1]EFAY!$B:$B,[1]EFAY!$J:$J)</f>
        <v>BW-Bakeware</v>
      </c>
      <c r="K214" t="str">
        <f>_xlfn.XLOOKUP(B214, [1]EFAY!$B:$B,[1]EFAY!$K:$K)</f>
        <v>BPT-Baking Pans &amp; Trays</v>
      </c>
      <c r="L214" t="str">
        <f>_xlfn.XLOOKUP(B214, [1]EFAY!$B:$B,[1]EFAY!$L:$L)</f>
        <v>#407811-CG40 1/1 GN Baker Tray   Corrase Terrazzo</v>
      </c>
    </row>
    <row r="215" spans="1:13" x14ac:dyDescent="0.25">
      <c r="A215" t="str">
        <f>_xlfn.XLOOKUP(B215, [1]EFAY!$B:$B,[1]EFAY!$A:$A)</f>
        <v>5712-GN-407811CG46</v>
      </c>
      <c r="B215" s="3" t="s">
        <v>869</v>
      </c>
      <c r="C215" t="s">
        <v>1089</v>
      </c>
      <c r="D215" t="str">
        <f>_xlfn.XLOOKUP(B215, [1]EFAY!$B:$B,[1]EFAY!$D:$D)</f>
        <v>(ID, MOQ:60) #407811-CG46, 1/1 GN BAKER TRAY, RUST</v>
      </c>
      <c r="E215" t="str">
        <f>_xlfn.XLOOKUP(B215, [1]EFAY!$B:$B,[1]EFAY!$E:$E)</f>
        <v>ID WITH STOCK</v>
      </c>
      <c r="G215" t="s">
        <v>1094</v>
      </c>
      <c r="H215">
        <f>_xlfn.XLOOKUP(B215, [1]EFAY!$B:$B,[1]EFAY!$H:$H)</f>
        <v>25.34</v>
      </c>
      <c r="I215" t="str">
        <f>_xlfn.XLOOKUP(B215, [1]EFAY!$B:$B,[1]EFAY!$I:$I)</f>
        <v>JS-Janitorial and Stewarding</v>
      </c>
      <c r="J215" t="str">
        <f>_xlfn.XLOOKUP(B215, [1]EFAY!$B:$B,[1]EFAY!$J:$J)</f>
        <v>BW-Bakeware</v>
      </c>
      <c r="K215" t="str">
        <f>_xlfn.XLOOKUP(B215, [1]EFAY!$B:$B,[1]EFAY!$K:$K)</f>
        <v>BPT-Baking Pans &amp; Trays</v>
      </c>
      <c r="L215" t="str">
        <f>_xlfn.XLOOKUP(B215, [1]EFAY!$B:$B,[1]EFAY!$L:$L)</f>
        <v>#407811-CG46 1/1 GN Baker Tray Rust</v>
      </c>
    </row>
    <row r="216" spans="1:13" x14ac:dyDescent="0.25">
      <c r="A216" t="str">
        <f>_xlfn.XLOOKUP(B216, [1]EFAY!$B:$B,[1]EFAY!$A:$A)</f>
        <v>5712-GN-407811IV47</v>
      </c>
      <c r="B216" s="3" t="s">
        <v>870</v>
      </c>
      <c r="C216" t="s">
        <v>1089</v>
      </c>
      <c r="D216" t="str">
        <f>_xlfn.XLOOKUP(B216, [1]EFAY!$B:$B,[1]EFAY!$D:$D)</f>
        <v>(ID, MOQ:60) #407811-IV47, 1/1 GN BAKER TRAY, JEAN</v>
      </c>
      <c r="E216" t="str">
        <f>_xlfn.XLOOKUP(B216, [1]EFAY!$B:$B,[1]EFAY!$E:$E)</f>
        <v>ID WITH STOCK</v>
      </c>
      <c r="G216" t="s">
        <v>1094</v>
      </c>
      <c r="H216">
        <f>_xlfn.XLOOKUP(B216, [1]EFAY!$B:$B,[1]EFAY!$H:$H)</f>
        <v>25.34</v>
      </c>
      <c r="I216" t="str">
        <f>_xlfn.XLOOKUP(B216, [1]EFAY!$B:$B,[1]EFAY!$I:$I)</f>
        <v>JS-Janitorial and Stewarding</v>
      </c>
      <c r="J216" t="str">
        <f>_xlfn.XLOOKUP(B216, [1]EFAY!$B:$B,[1]EFAY!$J:$J)</f>
        <v>BW-Bakeware</v>
      </c>
      <c r="K216" t="str">
        <f>_xlfn.XLOOKUP(B216, [1]EFAY!$B:$B,[1]EFAY!$K:$K)</f>
        <v>BPT-Baking Pans &amp; Trays</v>
      </c>
      <c r="L216" t="str">
        <f>_xlfn.XLOOKUP(B216, [1]EFAY!$B:$B,[1]EFAY!$L:$L)</f>
        <v>#407811-IV47 1/1 GN Baker Tray Jean</v>
      </c>
    </row>
    <row r="217" spans="1:13" x14ac:dyDescent="0.25">
      <c r="A217" t="str">
        <f>_xlfn.XLOOKUP(B217, [1]EFAY!$B:$B,[1]EFAY!$A:$A)</f>
        <v>5712-GN-407812CG46</v>
      </c>
      <c r="B217" s="3" t="s">
        <v>871</v>
      </c>
      <c r="C217" t="s">
        <v>1089</v>
      </c>
      <c r="D217" t="str">
        <f>_xlfn.XLOOKUP(B217, [1]EFAY!$B:$B,[1]EFAY!$D:$D)</f>
        <v>(ID, MOQ:72) #407812-CG46, 1/2 GN BAKER TRAY, RUST</v>
      </c>
      <c r="E217" t="str">
        <f>_xlfn.XLOOKUP(B217, [1]EFAY!$B:$B,[1]EFAY!$E:$E)</f>
        <v>ID WITH STOCK</v>
      </c>
      <c r="G217" t="s">
        <v>1094</v>
      </c>
      <c r="H217">
        <f>_xlfn.XLOOKUP(B217, [1]EFAY!$B:$B,[1]EFAY!$H:$H)</f>
        <v>11.31</v>
      </c>
      <c r="I217" t="str">
        <f>_xlfn.XLOOKUP(B217, [1]EFAY!$B:$B,[1]EFAY!$I:$I)</f>
        <v>JS-Janitorial and Stewarding</v>
      </c>
      <c r="J217" t="str">
        <f>_xlfn.XLOOKUP(B217, [1]EFAY!$B:$B,[1]EFAY!$J:$J)</f>
        <v>BW-Bakeware</v>
      </c>
      <c r="K217" t="str">
        <f>_xlfn.XLOOKUP(B217, [1]EFAY!$B:$B,[1]EFAY!$K:$K)</f>
        <v>BPT-Baking Pans &amp; Trays</v>
      </c>
      <c r="L217" t="str">
        <f>_xlfn.XLOOKUP(B217, [1]EFAY!$B:$B,[1]EFAY!$L:$L)</f>
        <v>#407812-CG46 1/2 GN Baker Tray Rust</v>
      </c>
    </row>
    <row r="218" spans="1:13" x14ac:dyDescent="0.25">
      <c r="A218" t="str">
        <f>_xlfn.XLOOKUP(B218, [1]EFAY!$B:$B,[1]EFAY!$A:$A)</f>
        <v>5712-GN-407812CP48</v>
      </c>
      <c r="B218" s="3" t="s">
        <v>872</v>
      </c>
      <c r="C218" t="s">
        <v>1089</v>
      </c>
      <c r="D218" t="str">
        <f>_xlfn.XLOOKUP(B218, [1]EFAY!$B:$B,[1]EFAY!$D:$D)</f>
        <v>(ID, MOQ:72) #407812-CP48, 1/2 GN BAKER TRAY, CANDY FLOSS</v>
      </c>
      <c r="E218" t="str">
        <f>_xlfn.XLOOKUP(B218, [1]EFAY!$B:$B,[1]EFAY!$E:$E)</f>
        <v>ID WITH STOCK</v>
      </c>
      <c r="G218" t="s">
        <v>1094</v>
      </c>
      <c r="H218">
        <f>_xlfn.XLOOKUP(B218, [1]EFAY!$B:$B,[1]EFAY!$H:$H)</f>
        <v>11.31</v>
      </c>
      <c r="I218" t="str">
        <f>_xlfn.XLOOKUP(B218, [1]EFAY!$B:$B,[1]EFAY!$I:$I)</f>
        <v>JS-Janitorial and Stewarding</v>
      </c>
      <c r="J218" t="str">
        <f>_xlfn.XLOOKUP(B218, [1]EFAY!$B:$B,[1]EFAY!$J:$J)</f>
        <v>BW-Bakeware</v>
      </c>
      <c r="K218" t="str">
        <f>_xlfn.XLOOKUP(B218, [1]EFAY!$B:$B,[1]EFAY!$K:$K)</f>
        <v>BPT-Baking Pans &amp; Trays</v>
      </c>
      <c r="L218" t="str">
        <f>_xlfn.XLOOKUP(B218, [1]EFAY!$B:$B,[1]EFAY!$L:$L)</f>
        <v>#407812-CP48 1/2 GN Baker Tray Candy Floss</v>
      </c>
    </row>
    <row r="219" spans="1:13" x14ac:dyDescent="0.25">
      <c r="A219" t="str">
        <f>_xlfn.XLOOKUP(B219, [1]EFAY!$B:$B,[1]EFAY!$A:$A)</f>
        <v>5712-GN-CB803202-WHT</v>
      </c>
      <c r="B219" s="3">
        <v>803202</v>
      </c>
      <c r="C219" t="s">
        <v>1089</v>
      </c>
      <c r="D219" t="str">
        <f>_xlfn.XLOOKUP(B219, [1]EFAY!$B:$B,[1]EFAY!$D:$D)</f>
        <v>#803202, 1/2 SIZE, 325X253X50mm GN RECT CLOUD BOX (WHT)</v>
      </c>
      <c r="E219" t="str">
        <f>_xlfn.XLOOKUP(B219, [1]EFAY!$B:$B,[1]EFAY!$E:$E)</f>
        <v>NO TAG</v>
      </c>
      <c r="G219" t="s">
        <v>1094</v>
      </c>
      <c r="H219">
        <f>_xlfn.XLOOKUP(B219, [1]EFAY!$B:$B,[1]EFAY!$H:$H)</f>
        <v>43.27</v>
      </c>
      <c r="I219" t="str">
        <f>_xlfn.XLOOKUP(B219, [1]EFAY!$B:$B,[1]EFAY!$I:$I)</f>
        <v>JS-Janitorial and Stewarding</v>
      </c>
      <c r="J219" t="str">
        <f>_xlfn.XLOOKUP(B219, [1]EFAY!$B:$B,[1]EFAY!$J:$J)</f>
        <v>SS-Storage Solutions</v>
      </c>
      <c r="K219" t="str">
        <f>_xlfn.XLOOKUP(B219, [1]EFAY!$B:$B,[1]EFAY!$K:$K)</f>
        <v>FP-Food Pans</v>
      </c>
      <c r="L219" t="str">
        <f>_xlfn.XLOOKUP(B219, [1]EFAY!$B:$B,[1]EFAY!$L:$L)</f>
        <v>#803202 1/2 Size 325x253x50mm GN Rect Cloud Box White</v>
      </c>
    </row>
    <row r="220" spans="1:13" x14ac:dyDescent="0.25">
      <c r="A220" t="str">
        <f>_xlfn.XLOOKUP(B220, [1]EFAY!$B:$B,[1]EFAY!$A:$A)</f>
        <v>5712-GN-CB803302-WHT</v>
      </c>
      <c r="B220" s="3">
        <v>803302</v>
      </c>
      <c r="C220" t="s">
        <v>1089</v>
      </c>
      <c r="D220" t="str">
        <f>_xlfn.XLOOKUP(B220, [1]EFAY!$B:$B,[1]EFAY!$D:$D)</f>
        <v>#803302,1/3 SIZE, 325X173X50mm GN RECT CLOUD BOX (WHT)</v>
      </c>
      <c r="E220" t="str">
        <f>_xlfn.XLOOKUP(B220, [1]EFAY!$B:$B,[1]EFAY!$E:$E)</f>
        <v>NO TAG</v>
      </c>
      <c r="G220" t="s">
        <v>1094</v>
      </c>
      <c r="H220">
        <f>_xlfn.XLOOKUP(B220, [1]EFAY!$B:$B,[1]EFAY!$H:$H)</f>
        <v>43.27</v>
      </c>
      <c r="I220" t="str">
        <f>_xlfn.XLOOKUP(B220, [1]EFAY!$B:$B,[1]EFAY!$I:$I)</f>
        <v>JS-Janitorial and Stewarding</v>
      </c>
      <c r="J220" t="str">
        <f>_xlfn.XLOOKUP(B220, [1]EFAY!$B:$B,[1]EFAY!$J:$J)</f>
        <v>SS-Storage Solutions</v>
      </c>
      <c r="K220" t="str">
        <f>_xlfn.XLOOKUP(B220, [1]EFAY!$B:$B,[1]EFAY!$K:$K)</f>
        <v>FP-Food Pans</v>
      </c>
      <c r="L220" t="str">
        <f>_xlfn.XLOOKUP(B220, [1]EFAY!$B:$B,[1]EFAY!$L:$L)</f>
        <v>#803302 1/3 Size 325x173x50mm GN Rect Cloud Box White</v>
      </c>
    </row>
    <row r="221" spans="1:13" x14ac:dyDescent="0.25">
      <c r="A221" t="str">
        <f>_xlfn.XLOOKUP(B221, [1]EFAY!$B:$B,[1]EFAY!$A:$A)</f>
        <v>5712-GN-CB803306-WHT</v>
      </c>
      <c r="B221" s="3">
        <v>803306</v>
      </c>
      <c r="C221" t="s">
        <v>1089</v>
      </c>
      <c r="D221" t="str">
        <f>_xlfn.XLOOKUP(B221, [1]EFAY!$B:$B,[1]EFAY!$D:$D)</f>
        <v>#803306,1/3 SIZE,  325X173X150mm GN RECT CLOUD BOX (WHT)</v>
      </c>
      <c r="E221" t="str">
        <f>_xlfn.XLOOKUP(B221, [1]EFAY!$B:$B,[1]EFAY!$E:$E)</f>
        <v>NO TAG</v>
      </c>
      <c r="G221" t="s">
        <v>1094</v>
      </c>
      <c r="H221">
        <f>_xlfn.XLOOKUP(B221, [1]EFAY!$B:$B,[1]EFAY!$H:$H)</f>
        <v>63.87</v>
      </c>
      <c r="I221" t="str">
        <f>_xlfn.XLOOKUP(B221, [1]EFAY!$B:$B,[1]EFAY!$I:$I)</f>
        <v>JS-Janitorial and Stewarding</v>
      </c>
      <c r="J221" t="str">
        <f>_xlfn.XLOOKUP(B221, [1]EFAY!$B:$B,[1]EFAY!$J:$J)</f>
        <v>SS-Storage Solutions</v>
      </c>
      <c r="K221" t="str">
        <f>_xlfn.XLOOKUP(B221, [1]EFAY!$B:$B,[1]EFAY!$K:$K)</f>
        <v>FP-Food Pans</v>
      </c>
      <c r="L221" t="str">
        <f>_xlfn.XLOOKUP(B221, [1]EFAY!$B:$B,[1]EFAY!$L:$L)</f>
        <v>#803306 1/3 Size 325x173x150mm GN Rect Cloud Box White</v>
      </c>
    </row>
    <row r="222" spans="1:13" x14ac:dyDescent="0.25">
      <c r="A222" t="str">
        <f>_xlfn.XLOOKUP(B222, [1]EFAY!$B:$B,[1]EFAY!$A:$A)</f>
        <v>5712-GN-CB803402-WHT</v>
      </c>
      <c r="B222" s="3">
        <v>803402</v>
      </c>
      <c r="C222" t="s">
        <v>1089</v>
      </c>
      <c r="D222" t="str">
        <f>_xlfn.XLOOKUP(B222, [1]EFAY!$B:$B,[1]EFAY!$D:$D)</f>
        <v>#803402, 2/4 SIZE, 530X150X50mm GN RECT CLOUD BOX (WHT)</v>
      </c>
      <c r="E222" t="str">
        <f>_xlfn.XLOOKUP(B222, [1]EFAY!$B:$B,[1]EFAY!$E:$E)</f>
        <v>NO TAG</v>
      </c>
      <c r="G222" t="s">
        <v>1094</v>
      </c>
      <c r="H222">
        <f>_xlfn.XLOOKUP(B222, [1]EFAY!$B:$B,[1]EFAY!$H:$H)</f>
        <v>43.27</v>
      </c>
      <c r="I222" t="str">
        <f>_xlfn.XLOOKUP(B222, [1]EFAY!$B:$B,[1]EFAY!$I:$I)</f>
        <v>JS-Janitorial and Stewarding</v>
      </c>
      <c r="J222" t="str">
        <f>_xlfn.XLOOKUP(B222, [1]EFAY!$B:$B,[1]EFAY!$J:$J)</f>
        <v>SS-Storage Solutions</v>
      </c>
      <c r="K222" t="str">
        <f>_xlfn.XLOOKUP(B222, [1]EFAY!$B:$B,[1]EFAY!$K:$K)</f>
        <v>FP-Food Pans</v>
      </c>
      <c r="L222" t="str">
        <f>_xlfn.XLOOKUP(B222, [1]EFAY!$B:$B,[1]EFAY!$L:$L)</f>
        <v>#803402 2/4 Size 530x150x50mm GN Rect Cloud Box White</v>
      </c>
    </row>
    <row r="223" spans="1:13" x14ac:dyDescent="0.25">
      <c r="A223" t="str">
        <f>_xlfn.XLOOKUP(B223, [1]EFAY!$B:$B,[1]EFAY!$A:$A)</f>
        <v>5712-GN-CB803404-WHT</v>
      </c>
      <c r="B223" s="3">
        <v>803404</v>
      </c>
      <c r="C223" t="s">
        <v>1089</v>
      </c>
      <c r="D223" t="str">
        <f>_xlfn.XLOOKUP(B223, [1]EFAY!$B:$B,[1]EFAY!$D:$D)</f>
        <v>#803404,2/4 SIZE, 530X150X100mm GN RECT CLOUD BOX (WHT)</v>
      </c>
      <c r="E223" t="str">
        <f>_xlfn.XLOOKUP(B223, [1]EFAY!$B:$B,[1]EFAY!$E:$E)</f>
        <v>NO TAG</v>
      </c>
      <c r="G223" t="s">
        <v>1094</v>
      </c>
      <c r="H223">
        <f>_xlfn.XLOOKUP(B223, [1]EFAY!$B:$B,[1]EFAY!$H:$H)</f>
        <v>56.32</v>
      </c>
      <c r="I223" t="str">
        <f>_xlfn.XLOOKUP(B223, [1]EFAY!$B:$B,[1]EFAY!$I:$I)</f>
        <v>JS-Janitorial and Stewarding</v>
      </c>
      <c r="J223" t="str">
        <f>_xlfn.XLOOKUP(B223, [1]EFAY!$B:$B,[1]EFAY!$J:$J)</f>
        <v>SS-Storage Solutions</v>
      </c>
      <c r="K223" t="str">
        <f>_xlfn.XLOOKUP(B223, [1]EFAY!$B:$B,[1]EFAY!$K:$K)</f>
        <v>FP-Food Pans</v>
      </c>
      <c r="L223" t="str">
        <f>_xlfn.XLOOKUP(B223, [1]EFAY!$B:$B,[1]EFAY!$L:$L)</f>
        <v>#803404 2/4 Size 530x150x100mm GN Rect Cloud Box White</v>
      </c>
    </row>
    <row r="224" spans="1:13" x14ac:dyDescent="0.25">
      <c r="A224" t="str">
        <f>_xlfn.XLOOKUP(B224, [1]EFAY!$B:$B,[1]EFAY!$A:$A)</f>
        <v>5712-GNHP-903411SL</v>
      </c>
      <c r="B224" s="3" t="s">
        <v>873</v>
      </c>
      <c r="C224" t="s">
        <v>1089</v>
      </c>
      <c r="D224" t="str">
        <f>_xlfn.XLOOKUP(B224, [1]EFAY!$B:$B,[1]EFAY!$D:$D)</f>
        <v>#903411SL, 53x32.5x15cm 1/1 SIZE GN NON SLIP BUFFET DISPLAY RISER, SILVER</v>
      </c>
      <c r="E224" t="str">
        <f>_xlfn.XLOOKUP(B224, [1]EFAY!$B:$B,[1]EFAY!$E:$E)</f>
        <v>NO TAG</v>
      </c>
      <c r="G224" t="s">
        <v>1094</v>
      </c>
      <c r="H224">
        <f>_xlfn.XLOOKUP(B224, [1]EFAY!$B:$B,[1]EFAY!$H:$H)</f>
        <v>17.04</v>
      </c>
      <c r="I224" t="str">
        <f>_xlfn.XLOOKUP(B224, [1]EFAY!$B:$B,[1]EFAY!$I:$I)</f>
        <v>JS-Janitorial and Stewarding</v>
      </c>
      <c r="J224" t="str">
        <f>_xlfn.XLOOKUP(B224, [1]EFAY!$B:$B,[1]EFAY!$J:$J)</f>
        <v>SVW-Serveware</v>
      </c>
      <c r="K224" t="str">
        <f>_xlfn.XLOOKUP(B224, [1]EFAY!$B:$B,[1]EFAY!$K:$K)</f>
        <v>DRA-Display Risers, Stands &amp; Accessories</v>
      </c>
      <c r="L224" t="str">
        <f>_xlfn.XLOOKUP(B224, [1]EFAY!$B:$B,[1]EFAY!$L:$L)</f>
        <v>#903411SL 53x32.5x15cm 1/1 Size GN Non-Slip Buffet Display Riser Silver</v>
      </c>
    </row>
    <row r="225" spans="1:13" x14ac:dyDescent="0.25">
      <c r="A225" t="str">
        <f>_xlfn.XLOOKUP(B225, [1]EFAY!$B:$B,[1]EFAY!$A:$A)</f>
        <v>5712-GNHP-903412SL</v>
      </c>
      <c r="B225" s="3" t="s">
        <v>874</v>
      </c>
      <c r="C225" t="s">
        <v>1089</v>
      </c>
      <c r="D225" t="str">
        <f>_xlfn.XLOOKUP(B225, [1]EFAY!$B:$B,[1]EFAY!$D:$D)</f>
        <v>#903412SL, 32.5x26.5x15cm 1/2 SIZE GN NON SLIP BUFFET DISPLAY RISER, SILVER</v>
      </c>
      <c r="E225" t="str">
        <f>_xlfn.XLOOKUP(B225, [1]EFAY!$B:$B,[1]EFAY!$E:$E)</f>
        <v>NO TAG</v>
      </c>
      <c r="G225" t="s">
        <v>1094</v>
      </c>
      <c r="H225">
        <f>_xlfn.XLOOKUP(B225, [1]EFAY!$B:$B,[1]EFAY!$H:$H)</f>
        <v>13.12</v>
      </c>
      <c r="I225" t="str">
        <f>_xlfn.XLOOKUP(B225, [1]EFAY!$B:$B,[1]EFAY!$I:$I)</f>
        <v>JS-Janitorial and Stewarding</v>
      </c>
      <c r="J225" t="str">
        <f>_xlfn.XLOOKUP(B225, [1]EFAY!$B:$B,[1]EFAY!$J:$J)</f>
        <v>SVW-Serveware</v>
      </c>
      <c r="K225" t="str">
        <f>_xlfn.XLOOKUP(B225, [1]EFAY!$B:$B,[1]EFAY!$K:$K)</f>
        <v>DRA-Display Risers, Stands &amp; Accessories</v>
      </c>
      <c r="L225" t="str">
        <f>_xlfn.XLOOKUP(B225, [1]EFAY!$B:$B,[1]EFAY!$L:$L)</f>
        <v>#903412SL 32.5x26.5x15cm 1/2 Size GN Non-Slip Buffet Display Riser Silver</v>
      </c>
    </row>
    <row r="226" spans="1:13" x14ac:dyDescent="0.25">
      <c r="A226" t="str">
        <f>_xlfn.XLOOKUP(B226, [1]EFAY!$B:$B,[1]EFAY!$A:$A)</f>
        <v>5712-IDS-9002BK</v>
      </c>
      <c r="B226" s="3" t="s">
        <v>875</v>
      </c>
      <c r="C226" t="s">
        <v>1089</v>
      </c>
      <c r="D226" t="str">
        <f>_xlfn.XLOOKUP(B226, [1]EFAY!$B:$B,[1]EFAY!$D:$D)</f>
        <v>(DCWSL19)&lt;4170910&gt;(CONE CUP SOLD SEPARATELY) #9002,  10'' GEOMETRY CONE CUP STAND (BLACK</v>
      </c>
      <c r="E226" t="str">
        <f>_xlfn.XLOOKUP(B226, [1]EFAY!$B:$B,[1]EFAY!$E:$E)</f>
        <v>WSL WITH STOCK</v>
      </c>
      <c r="G226" t="s">
        <v>1094</v>
      </c>
      <c r="H226">
        <f>_xlfn.XLOOKUP(B226, [1]EFAY!$B:$B,[1]EFAY!$H:$H)</f>
        <v>4.0999999999999996</v>
      </c>
      <c r="I226" t="str">
        <f>_xlfn.XLOOKUP(B226, [1]EFAY!$B:$B,[1]EFAY!$I:$I)</f>
        <v>JS-Janitorial and Stewarding</v>
      </c>
      <c r="J226" t="str">
        <f>_xlfn.XLOOKUP(B226, [1]EFAY!$B:$B,[1]EFAY!$J:$J)</f>
        <v>DTW-Disposable Tableware</v>
      </c>
      <c r="K226" t="str">
        <f>_xlfn.XLOOKUP(B226, [1]EFAY!$B:$B,[1]EFAY!$K:$K)</f>
        <v/>
      </c>
      <c r="L226" t="str">
        <f>_xlfn.XLOOKUP(B226, [1]EFAY!$B:$B,[1]EFAY!$L:$L)</f>
        <v>#9002 10" Geometry Cone Cup Stand Black</v>
      </c>
      <c r="M226" s="3" t="s">
        <v>1043</v>
      </c>
    </row>
    <row r="227" spans="1:13" x14ac:dyDescent="0.25">
      <c r="A227" t="str">
        <f>_xlfn.XLOOKUP(B227, [1]EFAY!$B:$B,[1]EFAY!$A:$A)</f>
        <v>5712-PC-GN-541111</v>
      </c>
      <c r="B227" s="3">
        <v>541111</v>
      </c>
      <c r="C227" t="s">
        <v>1089</v>
      </c>
      <c r="D227" t="str">
        <f>_xlfn.XLOOKUP(B227, [1]EFAY!$B:$B,[1]EFAY!$D:$D)</f>
        <v>1/1, 53X33XHT:10cm ROLL TOP TRANSPARENT PC COVER ONLY (*NO BASE)</v>
      </c>
      <c r="E227" t="str">
        <f>_xlfn.XLOOKUP(B227, [1]EFAY!$B:$B,[1]EFAY!$E:$E)</f>
        <v>NO TAG</v>
      </c>
      <c r="G227" t="s">
        <v>1094</v>
      </c>
      <c r="H227">
        <f>_xlfn.XLOOKUP(B227, [1]EFAY!$B:$B,[1]EFAY!$H:$H)</f>
        <v>37.299999999999997</v>
      </c>
      <c r="I227" t="str">
        <f>_xlfn.XLOOKUP(B227, [1]EFAY!$B:$B,[1]EFAY!$I:$I)</f>
        <v>JS-Janitorial and Stewarding</v>
      </c>
      <c r="J227" t="str">
        <f>_xlfn.XLOOKUP(B227, [1]EFAY!$B:$B,[1]EFAY!$J:$J)</f>
        <v/>
      </c>
      <c r="K227" t="str">
        <f>_xlfn.XLOOKUP(B227, [1]EFAY!$B:$B,[1]EFAY!$K:$K)</f>
        <v/>
      </c>
      <c r="L227" t="str">
        <f>_xlfn.XLOOKUP(B227, [1]EFAY!$B:$B,[1]EFAY!$L:$L)</f>
        <v>1/1 PC 53x33xH10cm Roll Top Cover Transparent</v>
      </c>
      <c r="M227" s="3" t="s">
        <v>1043</v>
      </c>
    </row>
    <row r="228" spans="1:13" x14ac:dyDescent="0.25">
      <c r="A228" t="str">
        <f>_xlfn.XLOOKUP(B228, [1]EFAY!$B:$B,[1]EFAY!$A:$A)</f>
        <v>5712-R-222414WS-WHT</v>
      </c>
      <c r="B228" s="3" t="s">
        <v>876</v>
      </c>
      <c r="C228" t="s">
        <v>1089</v>
      </c>
      <c r="D228" t="str">
        <f>_xlfn.XLOOKUP(B228, [1]EFAY!$B:$B,[1]EFAY!$D:$D)</f>
        <v>(WSL22) 222414WS, D:34.5cm  7 LTR MELAMINE "ROCKY" TRIANGLE BOWL (WHITE)</v>
      </c>
      <c r="E228" t="str">
        <f>_xlfn.XLOOKUP(B228, [1]EFAY!$B:$B,[1]EFAY!$E:$E)</f>
        <v>WSL WITH STOCK</v>
      </c>
      <c r="G228" t="s">
        <v>1094</v>
      </c>
      <c r="H228">
        <f>_xlfn.XLOOKUP(B228, [1]EFAY!$B:$B,[1]EFAY!$H:$H)</f>
        <v>31.26</v>
      </c>
      <c r="I228" t="str">
        <f>_xlfn.XLOOKUP(B228, [1]EFAY!$B:$B,[1]EFAY!$I:$I)</f>
        <v>JS-Janitorial and Stewarding</v>
      </c>
      <c r="J228" t="str">
        <f>_xlfn.XLOOKUP(B228, [1]EFAY!$B:$B,[1]EFAY!$J:$J)</f>
        <v>SVW-Serveware</v>
      </c>
      <c r="K228" t="str">
        <f>_xlfn.XLOOKUP(B228, [1]EFAY!$B:$B,[1]EFAY!$K:$K)</f>
        <v>MSA-Miscellaneous Serving Accessories</v>
      </c>
      <c r="L228" t="str">
        <f>_xlfn.XLOOKUP(B228, [1]EFAY!$B:$B,[1]EFAY!$L:$L)</f>
        <v>222414WS Melamine Ø34.5cm 7L Rocky Triangle Bowl White</v>
      </c>
      <c r="M228" s="3" t="s">
        <v>1046</v>
      </c>
    </row>
    <row r="229" spans="1:13" x14ac:dyDescent="0.25">
      <c r="A229" t="str">
        <f>_xlfn.XLOOKUP(B229, [1]EFAY!$B:$B,[1]EFAY!$A:$A)</f>
        <v>5712-RIP-226003ST</v>
      </c>
      <c r="B229" s="3" t="s">
        <v>877</v>
      </c>
      <c r="C229" t="s">
        <v>1089</v>
      </c>
      <c r="D229" t="str">
        <f>_xlfn.XLOOKUP(B229, [1]EFAY!$B:$B,[1]EFAY!$D:$D)</f>
        <v>#226003ST, Ø7.8x4.3cm 4oz ROUND MELAMINE RAMEKIN, TERRACOTA SAND</v>
      </c>
      <c r="E229" t="str">
        <f>_xlfn.XLOOKUP(B229, [1]EFAY!$B:$B,[1]EFAY!$E:$E)</f>
        <v>NO TAG</v>
      </c>
      <c r="G229" t="s">
        <v>1094</v>
      </c>
      <c r="H229">
        <f>_xlfn.XLOOKUP(B229, [1]EFAY!$B:$B,[1]EFAY!$H:$H)</f>
        <v>1.34</v>
      </c>
      <c r="I229" t="str">
        <f>_xlfn.XLOOKUP(B229, [1]EFAY!$B:$B,[1]EFAY!$I:$I)</f>
        <v>JS-Janitorial and Stewarding</v>
      </c>
      <c r="J229" t="str">
        <f>_xlfn.XLOOKUP(B229, [1]EFAY!$B:$B,[1]EFAY!$J:$J)</f>
        <v>SVW-Serveware</v>
      </c>
      <c r="K229" t="str">
        <f>_xlfn.XLOOKUP(B229, [1]EFAY!$B:$B,[1]EFAY!$K:$K)</f>
        <v>MSA-Miscellaneous Serving Accessories</v>
      </c>
      <c r="L229" t="str">
        <f>_xlfn.XLOOKUP(B229, [1]EFAY!$B:$B,[1]EFAY!$L:$L)</f>
        <v>#226003ST Melamine Ø7.8x4.3cm 4oz Round Ramekin Terracotta Sand</v>
      </c>
      <c r="M229" s="3" t="s">
        <v>1046</v>
      </c>
    </row>
    <row r="230" spans="1:13" x14ac:dyDescent="0.25">
      <c r="A230" t="str">
        <f>_xlfn.XLOOKUP(B230, [1]EFAY!$B:$B,[1]EFAY!$A:$A)</f>
        <v>5712-RIP-226008ST</v>
      </c>
      <c r="B230" s="3" t="s">
        <v>878</v>
      </c>
      <c r="C230" t="s">
        <v>1089</v>
      </c>
      <c r="D230" t="str">
        <f>_xlfn.XLOOKUP(B230, [1]EFAY!$B:$B,[1]EFAY!$D:$D)</f>
        <v>#226008ST, Ø20x7cm 8" ROUND LOW BOWL, TERRACOTA SAND</v>
      </c>
      <c r="E230" t="str">
        <f>_xlfn.XLOOKUP(B230, [1]EFAY!$B:$B,[1]EFAY!$E:$E)</f>
        <v>NO TAG</v>
      </c>
      <c r="G230" t="s">
        <v>1094</v>
      </c>
      <c r="H230">
        <f>_xlfn.XLOOKUP(B230, [1]EFAY!$B:$B,[1]EFAY!$H:$H)</f>
        <v>6.89</v>
      </c>
      <c r="I230" t="str">
        <f>_xlfn.XLOOKUP(B230, [1]EFAY!$B:$B,[1]EFAY!$I:$I)</f>
        <v>JS-Janitorial and Stewarding</v>
      </c>
      <c r="J230" t="str">
        <f>_xlfn.XLOOKUP(B230, [1]EFAY!$B:$B,[1]EFAY!$J:$J)</f>
        <v>DWR-Dinnerware</v>
      </c>
      <c r="K230" t="str">
        <f>_xlfn.XLOOKUP(B230, [1]EFAY!$B:$B,[1]EFAY!$K:$K)</f>
        <v>BWL-Bowls</v>
      </c>
      <c r="L230" t="str">
        <f>_xlfn.XLOOKUP(B230, [1]EFAY!$B:$B,[1]EFAY!$L:$L)</f>
        <v>#226008ST Ø20x7cm 8" Round Low Bowl Terracota Sand</v>
      </c>
      <c r="M230" s="3" t="s">
        <v>1049</v>
      </c>
    </row>
    <row r="231" spans="1:13" x14ac:dyDescent="0.25">
      <c r="A231" t="str">
        <f>_xlfn.XLOOKUP(B231, [1]EFAY!$B:$B,[1]EFAY!$A:$A)</f>
        <v>5712-RIP-226010ST</v>
      </c>
      <c r="B231" s="3" t="s">
        <v>879</v>
      </c>
      <c r="C231" t="s">
        <v>1089</v>
      </c>
      <c r="D231" t="str">
        <f>_xlfn.XLOOKUP(B231, [1]EFAY!$B:$B,[1]EFAY!$D:$D)</f>
        <v>#226010ST, Ø25x15cm 10" ROUND RIPPLE DEEP BOWL, TERRACOTA SAND</v>
      </c>
      <c r="E231" t="str">
        <f>_xlfn.XLOOKUP(B231, [1]EFAY!$B:$B,[1]EFAY!$E:$E)</f>
        <v>NO TAG</v>
      </c>
      <c r="G231" t="s">
        <v>1094</v>
      </c>
      <c r="H231">
        <f>_xlfn.XLOOKUP(B231, [1]EFAY!$B:$B,[1]EFAY!$H:$H)</f>
        <v>15.01</v>
      </c>
      <c r="I231" t="str">
        <f>_xlfn.XLOOKUP(B231, [1]EFAY!$B:$B,[1]EFAY!$I:$I)</f>
        <v>JS-Janitorial and Stewarding</v>
      </c>
      <c r="J231" t="str">
        <f>_xlfn.XLOOKUP(B231, [1]EFAY!$B:$B,[1]EFAY!$J:$J)</f>
        <v>DWR-Dinnerware</v>
      </c>
      <c r="K231" t="str">
        <f>_xlfn.XLOOKUP(B231, [1]EFAY!$B:$B,[1]EFAY!$K:$K)</f>
        <v>BWL-Bowls</v>
      </c>
      <c r="L231" t="str">
        <f>_xlfn.XLOOKUP(B231, [1]EFAY!$B:$B,[1]EFAY!$L:$L)</f>
        <v>#226010ST Ø25x15cm 10" Round Ripple Deep Bowl Terracota Sand</v>
      </c>
      <c r="M231" s="3" t="s">
        <v>1049</v>
      </c>
    </row>
    <row r="232" spans="1:13" x14ac:dyDescent="0.25">
      <c r="A232" t="str">
        <f>_xlfn.XLOOKUP(B232, [1]EFAY!$B:$B,[1]EFAY!$A:$A)</f>
        <v>5712-RIP-226012ST</v>
      </c>
      <c r="B232" s="3" t="s">
        <v>880</v>
      </c>
      <c r="C232" t="s">
        <v>1089</v>
      </c>
      <c r="D232" t="str">
        <f>_xlfn.XLOOKUP(B232, [1]EFAY!$B:$B,[1]EFAY!$D:$D)</f>
        <v>#226012ST, Ø30.5x13cm 12" ROUND RIPPLE SALAD BOWL, TERRACOTA SAND</v>
      </c>
      <c r="E232" t="str">
        <f>_xlfn.XLOOKUP(B232, [1]EFAY!$B:$B,[1]EFAY!$E:$E)</f>
        <v>NO TAG</v>
      </c>
      <c r="G232" t="s">
        <v>1094</v>
      </c>
      <c r="H232">
        <f>_xlfn.XLOOKUP(B232, [1]EFAY!$B:$B,[1]EFAY!$H:$H)</f>
        <v>18.32</v>
      </c>
      <c r="I232" t="str">
        <f>_xlfn.XLOOKUP(B232, [1]EFAY!$B:$B,[1]EFAY!$I:$I)</f>
        <v>JS-Janitorial and Stewarding</v>
      </c>
      <c r="J232" t="str">
        <f>_xlfn.XLOOKUP(B232, [1]EFAY!$B:$B,[1]EFAY!$J:$J)</f>
        <v>SVW-Serveware</v>
      </c>
      <c r="K232" t="str">
        <f>_xlfn.XLOOKUP(B232, [1]EFAY!$B:$B,[1]EFAY!$K:$K)</f>
        <v>MSA-Miscellaneous Serving Accessories</v>
      </c>
      <c r="L232" t="str">
        <f>_xlfn.XLOOKUP(B232, [1]EFAY!$B:$B,[1]EFAY!$L:$L)</f>
        <v>#226012ST Ø30.5x13cm 12" Round Ripple Salad Bowl Terracota Sand</v>
      </c>
      <c r="M232" s="3" t="s">
        <v>1049</v>
      </c>
    </row>
    <row r="233" spans="1:13" x14ac:dyDescent="0.25">
      <c r="A233" t="str">
        <f>_xlfn.XLOOKUP(B233, [1]EFAY!$B:$B,[1]EFAY!$A:$A)</f>
        <v>5712-RIP-226025ST</v>
      </c>
      <c r="B233" s="3" t="s">
        <v>881</v>
      </c>
      <c r="C233" t="s">
        <v>1089</v>
      </c>
      <c r="D233" t="str">
        <f>_xlfn.XLOOKUP(B233, [1]EFAY!$B:$B,[1]EFAY!$D:$D)</f>
        <v>#226025ST, Ø6.2x3.5cm 2oz ROUND MELAMINE RAMEKIN, TERRACOTA SAND</v>
      </c>
      <c r="E233" t="str">
        <f>_xlfn.XLOOKUP(B233, [1]EFAY!$B:$B,[1]EFAY!$E:$E)</f>
        <v>NO TAG</v>
      </c>
      <c r="G233" t="s">
        <v>1094</v>
      </c>
      <c r="H233">
        <f>_xlfn.XLOOKUP(B233, [1]EFAY!$B:$B,[1]EFAY!$H:$H)</f>
        <v>0.95</v>
      </c>
      <c r="I233" t="str">
        <f>_xlfn.XLOOKUP(B233, [1]EFAY!$B:$B,[1]EFAY!$I:$I)</f>
        <v>JS-Janitorial and Stewarding</v>
      </c>
      <c r="J233" t="str">
        <f>_xlfn.XLOOKUP(B233, [1]EFAY!$B:$B,[1]EFAY!$J:$J)</f>
        <v>SVW-Serveware</v>
      </c>
      <c r="K233" t="str">
        <f>_xlfn.XLOOKUP(B233, [1]EFAY!$B:$B,[1]EFAY!$K:$K)</f>
        <v>MSA-Miscellaneous Serving Accessories</v>
      </c>
      <c r="L233" t="str">
        <f>_xlfn.XLOOKUP(B233, [1]EFAY!$B:$B,[1]EFAY!$L:$L)</f>
        <v>#226025ST Melamine Ø6.2x3.5cm 2oz Round Ramekin Terracotta Sand</v>
      </c>
      <c r="M233" s="3" t="s">
        <v>1052</v>
      </c>
    </row>
    <row r="234" spans="1:13" x14ac:dyDescent="0.25">
      <c r="A234" t="str">
        <f>_xlfn.XLOOKUP(B234, [1]EFAY!$B:$B,[1]EFAY!$A:$A)</f>
        <v>5712-RIP-226028ST</v>
      </c>
      <c r="B234" s="3" t="s">
        <v>882</v>
      </c>
      <c r="C234" t="s">
        <v>1089</v>
      </c>
      <c r="D234" t="str">
        <f>_xlfn.XLOOKUP(B234, [1]EFAY!$B:$B,[1]EFAY!$D:$D)</f>
        <v>#226028ST, Ø6.7x3.6cm 2.4oz ROUND MELAMINE RAMEKIN, TERRACOTA SAND</v>
      </c>
      <c r="E234" t="str">
        <f>_xlfn.XLOOKUP(B234, [1]EFAY!$B:$B,[1]EFAY!$E:$E)</f>
        <v>NO TAG</v>
      </c>
      <c r="G234" t="s">
        <v>1094</v>
      </c>
      <c r="H234">
        <f>_xlfn.XLOOKUP(B234, [1]EFAY!$B:$B,[1]EFAY!$H:$H)</f>
        <v>1.02</v>
      </c>
      <c r="I234" t="str">
        <f>_xlfn.XLOOKUP(B234, [1]EFAY!$B:$B,[1]EFAY!$I:$I)</f>
        <v>JS-Janitorial and Stewarding</v>
      </c>
      <c r="J234" t="str">
        <f>_xlfn.XLOOKUP(B234, [1]EFAY!$B:$B,[1]EFAY!$J:$J)</f>
        <v>SVW-Serveware</v>
      </c>
      <c r="K234" t="str">
        <f>_xlfn.XLOOKUP(B234, [1]EFAY!$B:$B,[1]EFAY!$K:$K)</f>
        <v>MSA-Miscellaneous Serving Accessories</v>
      </c>
      <c r="L234" t="str">
        <f>_xlfn.XLOOKUP(B234, [1]EFAY!$B:$B,[1]EFAY!$L:$L)</f>
        <v>#226028ST Melamine Ø6.7xH3.6cm 2.4oz Round Ramekin Terracotta Sand</v>
      </c>
      <c r="M234" s="3" t="s">
        <v>1052</v>
      </c>
    </row>
    <row r="235" spans="1:13" x14ac:dyDescent="0.25">
      <c r="A235" t="str">
        <f>_xlfn.XLOOKUP(B235, [1]EFAY!$B:$B,[1]EFAY!$A:$A)</f>
        <v>5712-RIP-226055ST</v>
      </c>
      <c r="B235" s="3" t="s">
        <v>883</v>
      </c>
      <c r="C235" t="s">
        <v>1089</v>
      </c>
      <c r="D235" t="str">
        <f>_xlfn.XLOOKUP(B235, [1]EFAY!$B:$B,[1]EFAY!$D:$D)</f>
        <v>#226055ST, Ø14x9cm 5.5" ROUND DEEP BOWL, TERRACOTA SAND</v>
      </c>
      <c r="E235" t="str">
        <f>_xlfn.XLOOKUP(B235, [1]EFAY!$B:$B,[1]EFAY!$E:$E)</f>
        <v>NO TAG</v>
      </c>
      <c r="G235" t="s">
        <v>1094</v>
      </c>
      <c r="H235">
        <f>_xlfn.XLOOKUP(B235, [1]EFAY!$B:$B,[1]EFAY!$H:$H)</f>
        <v>4.3899999999999997</v>
      </c>
      <c r="I235" t="str">
        <f>_xlfn.XLOOKUP(B235, [1]EFAY!$B:$B,[1]EFAY!$I:$I)</f>
        <v>JS-Janitorial and Stewarding</v>
      </c>
      <c r="J235" t="str">
        <f>_xlfn.XLOOKUP(B235, [1]EFAY!$B:$B,[1]EFAY!$J:$J)</f>
        <v>DWR-Dinnerware</v>
      </c>
      <c r="K235" t="str">
        <f>_xlfn.XLOOKUP(B235, [1]EFAY!$B:$B,[1]EFAY!$K:$K)</f>
        <v>BWL-Bowls</v>
      </c>
      <c r="L235" t="str">
        <f>_xlfn.XLOOKUP(B235, [1]EFAY!$B:$B,[1]EFAY!$L:$L)</f>
        <v>#226055ST Ø14x9cm 5.5" Round Deep Bowl Terracota Sand</v>
      </c>
      <c r="M235" s="3" t="s">
        <v>1052</v>
      </c>
    </row>
    <row r="236" spans="1:13" x14ac:dyDescent="0.25">
      <c r="A236" t="str">
        <f>_xlfn.XLOOKUP(B236, [1]EFAY!$B:$B,[1]EFAY!$A:$A)</f>
        <v>5712-ROC-525901-GS</v>
      </c>
      <c r="B236" s="3" t="s">
        <v>884</v>
      </c>
      <c r="C236" t="s">
        <v>1089</v>
      </c>
      <c r="D236" t="str">
        <f>_xlfn.XLOOKUP(B236, [1]EFAY!$B:$B,[1]EFAY!$D:$D)</f>
        <v>#525901-GS, 1 oz MELAMINE "ROCKY" TRI. RAMEKIN (STONE GREY)</v>
      </c>
      <c r="E236" t="str">
        <f>_xlfn.XLOOKUP(B236, [1]EFAY!$B:$B,[1]EFAY!$E:$E)</f>
        <v>NO TAG</v>
      </c>
      <c r="G236" t="s">
        <v>1094</v>
      </c>
      <c r="H236">
        <f>_xlfn.XLOOKUP(B236, [1]EFAY!$B:$B,[1]EFAY!$H:$H)</f>
        <v>0.7</v>
      </c>
      <c r="I236" t="str">
        <f>_xlfn.XLOOKUP(B236, [1]EFAY!$B:$B,[1]EFAY!$I:$I)</f>
        <v>JS-Janitorial and Stewarding</v>
      </c>
      <c r="J236" t="str">
        <f>_xlfn.XLOOKUP(B236, [1]EFAY!$B:$B,[1]EFAY!$J:$J)</f>
        <v>SVW-Serveware</v>
      </c>
      <c r="K236" t="str">
        <f>_xlfn.XLOOKUP(B236, [1]EFAY!$B:$B,[1]EFAY!$K:$K)</f>
        <v>MSA-Miscellaneous Serving Accessories</v>
      </c>
      <c r="L236" t="str">
        <f>_xlfn.XLOOKUP(B236, [1]EFAY!$B:$B,[1]EFAY!$L:$L)</f>
        <v>#525901-GS Melamine 1 oz Rocky Triangular Ramekin Stone Grey</v>
      </c>
    </row>
    <row r="237" spans="1:13" x14ac:dyDescent="0.25">
      <c r="A237" t="str">
        <f>_xlfn.XLOOKUP(B237, [1]EFAY!$B:$B,[1]EFAY!$A:$A)</f>
        <v>5712-ROC-525901-WS</v>
      </c>
      <c r="B237" s="3" t="s">
        <v>885</v>
      </c>
      <c r="C237" t="s">
        <v>1089</v>
      </c>
      <c r="D237" t="str">
        <f>_xlfn.XLOOKUP(B237, [1]EFAY!$B:$B,[1]EFAY!$D:$D)</f>
        <v>#525901-WS, 1 oz MELAMINE "ROCKY" TRI. RAMEKIN (WHITE STONE)</v>
      </c>
      <c r="E237" t="str">
        <f>_xlfn.XLOOKUP(B237, [1]EFAY!$B:$B,[1]EFAY!$E:$E)</f>
        <v>NO TAG</v>
      </c>
      <c r="G237" t="s">
        <v>1094</v>
      </c>
      <c r="H237">
        <f>_xlfn.XLOOKUP(B237, [1]EFAY!$B:$B,[1]EFAY!$H:$H)</f>
        <v>0.7</v>
      </c>
      <c r="I237" t="str">
        <f>_xlfn.XLOOKUP(B237, [1]EFAY!$B:$B,[1]EFAY!$I:$I)</f>
        <v>JS-Janitorial and Stewarding</v>
      </c>
      <c r="J237" t="str">
        <f>_xlfn.XLOOKUP(B237, [1]EFAY!$B:$B,[1]EFAY!$J:$J)</f>
        <v>DWR-Dinnerware</v>
      </c>
      <c r="K237" t="str">
        <f>_xlfn.XLOOKUP(B237, [1]EFAY!$B:$B,[1]EFAY!$K:$K)</f>
        <v/>
      </c>
      <c r="L237" t="str">
        <f>_xlfn.XLOOKUP(B237, [1]EFAY!$B:$B,[1]EFAY!$L:$L)</f>
        <v>#525901-WS Melamine 1 oz Rocky Triangular Ramekin White Stone</v>
      </c>
    </row>
    <row r="238" spans="1:13" x14ac:dyDescent="0.25">
      <c r="A238" t="str">
        <f>_xlfn.XLOOKUP(B238, [1]EFAY!$B:$B,[1]EFAY!$A:$A)</f>
        <v>5712-ROC-526002-WS</v>
      </c>
      <c r="B238" s="3" t="s">
        <v>886</v>
      </c>
      <c r="C238" t="s">
        <v>1089</v>
      </c>
      <c r="D238" t="str">
        <f>_xlfn.XLOOKUP(B238, [1]EFAY!$B:$B,[1]EFAY!$D:$D)</f>
        <v>(WSL25)#526002-WS, 2 oz MELAMINE "ROCKY" TRI. RAMEKIN (WHITE STONE)</v>
      </c>
      <c r="E238" t="str">
        <f>_xlfn.XLOOKUP(B238, [1]EFAY!$B:$B,[1]EFAY!$E:$E)</f>
        <v>WSL WITH STOCK</v>
      </c>
      <c r="G238" t="s">
        <v>1094</v>
      </c>
      <c r="H238">
        <f>_xlfn.XLOOKUP(B238, [1]EFAY!$B:$B,[1]EFAY!$H:$H)</f>
        <v>1.02</v>
      </c>
      <c r="I238" t="str">
        <f>_xlfn.XLOOKUP(B238, [1]EFAY!$B:$B,[1]EFAY!$I:$I)</f>
        <v>JS-Janitorial and Stewarding</v>
      </c>
      <c r="J238" t="str">
        <f>_xlfn.XLOOKUP(B238, [1]EFAY!$B:$B,[1]EFAY!$J:$J)</f>
        <v>SVW-Serveware</v>
      </c>
      <c r="K238" t="str">
        <f>_xlfn.XLOOKUP(B238, [1]EFAY!$B:$B,[1]EFAY!$K:$K)</f>
        <v>MSA-Miscellaneous Serving Accessories</v>
      </c>
      <c r="L238" t="str">
        <f>_xlfn.XLOOKUP(B238, [1]EFAY!$B:$B,[1]EFAY!$L:$L)</f>
        <v>#526002-W Melamine 2 oz Rocky Triangular Ramekin White Stone</v>
      </c>
    </row>
    <row r="239" spans="1:13" x14ac:dyDescent="0.25">
      <c r="A239" t="str">
        <f>_xlfn.XLOOKUP(B239, [1]EFAY!$B:$B,[1]EFAY!$A:$A)</f>
        <v>5712-ROC-526103-GS</v>
      </c>
      <c r="B239" s="3" t="s">
        <v>887</v>
      </c>
      <c r="C239" t="s">
        <v>1089</v>
      </c>
      <c r="D239" t="str">
        <f>_xlfn.XLOOKUP(B239, [1]EFAY!$B:$B,[1]EFAY!$D:$D)</f>
        <v>#526103-GS, 3 oz MELAMINE "ROCKY" TRI. RAMEKIN (STONE GREY)</v>
      </c>
      <c r="E239" t="str">
        <f>_xlfn.XLOOKUP(B239, [1]EFAY!$B:$B,[1]EFAY!$E:$E)</f>
        <v>NO TAG</v>
      </c>
      <c r="G239" t="s">
        <v>1094</v>
      </c>
      <c r="H239">
        <f>_xlfn.XLOOKUP(B239, [1]EFAY!$B:$B,[1]EFAY!$H:$H)</f>
        <v>1.66</v>
      </c>
      <c r="I239" t="str">
        <f>_xlfn.XLOOKUP(B239, [1]EFAY!$B:$B,[1]EFAY!$I:$I)</f>
        <v>JS-Janitorial and Stewarding</v>
      </c>
      <c r="J239" t="str">
        <f>_xlfn.XLOOKUP(B239, [1]EFAY!$B:$B,[1]EFAY!$J:$J)</f>
        <v>DWR-Dinnerware</v>
      </c>
      <c r="K239" t="str">
        <f>_xlfn.XLOOKUP(B239, [1]EFAY!$B:$B,[1]EFAY!$K:$K)</f>
        <v/>
      </c>
      <c r="L239" t="str">
        <f>_xlfn.XLOOKUP(B239, [1]EFAY!$B:$B,[1]EFAY!$L:$L)</f>
        <v>#526103-GS Melamine 3 oz Rocky Triangular Ramekin Stone Grey</v>
      </c>
    </row>
    <row r="240" spans="1:13" x14ac:dyDescent="0.25">
      <c r="A240" t="str">
        <f>_xlfn.XLOOKUP(B240, [1]EFAY!$B:$B,[1]EFAY!$A:$A)</f>
        <v>5712-ROC-526104-GS</v>
      </c>
      <c r="B240" s="3" t="s">
        <v>888</v>
      </c>
      <c r="C240" t="s">
        <v>1089</v>
      </c>
      <c r="D240" t="str">
        <f>_xlfn.XLOOKUP(B240, [1]EFAY!$B:$B,[1]EFAY!$D:$D)</f>
        <v>#526104-GS, 4 oz MELAMINE "ROCKY" TRI. RAMEKIN (STONE GREY)</v>
      </c>
      <c r="E240" t="str">
        <f>_xlfn.XLOOKUP(B240, [1]EFAY!$B:$B,[1]EFAY!$E:$E)</f>
        <v>NO TAG</v>
      </c>
      <c r="G240" t="s">
        <v>1094</v>
      </c>
      <c r="H240">
        <f>_xlfn.XLOOKUP(B240, [1]EFAY!$B:$B,[1]EFAY!$H:$H)</f>
        <v>2.57</v>
      </c>
      <c r="I240" t="str">
        <f>_xlfn.XLOOKUP(B240, [1]EFAY!$B:$B,[1]EFAY!$I:$I)</f>
        <v>JS-Janitorial and Stewarding</v>
      </c>
      <c r="J240" t="str">
        <f>_xlfn.XLOOKUP(B240, [1]EFAY!$B:$B,[1]EFAY!$J:$J)</f>
        <v>SVW-Serveware</v>
      </c>
      <c r="K240" t="str">
        <f>_xlfn.XLOOKUP(B240, [1]EFAY!$B:$B,[1]EFAY!$K:$K)</f>
        <v>MSA-Miscellaneous Serving Accessories</v>
      </c>
      <c r="L240" t="str">
        <f>_xlfn.XLOOKUP(B240, [1]EFAY!$B:$B,[1]EFAY!$L:$L)</f>
        <v>#526104-G Melamine 4 oz Rocky Triangular Ramekin Stone Grey</v>
      </c>
    </row>
    <row r="241" spans="1:12" x14ac:dyDescent="0.25">
      <c r="A241" t="str">
        <f>_xlfn.XLOOKUP(B241, [1]EFAY!$B:$B,[1]EFAY!$A:$A)</f>
        <v>5712-SOL-224606/CH</v>
      </c>
      <c r="B241" s="3" t="s">
        <v>889</v>
      </c>
      <c r="C241" t="s">
        <v>1089</v>
      </c>
      <c r="D241" t="str">
        <f>_xlfn.XLOOKUP(B241, [1]EFAY!$B:$B,[1]EFAY!$D:$D)</f>
        <v>L:16.9xW:10.3cm SOLAR 6.5" SWING BOWL (CHAMPAGNE)</v>
      </c>
      <c r="E241" t="str">
        <f>_xlfn.XLOOKUP(B241, [1]EFAY!$B:$B,[1]EFAY!$E:$E)</f>
        <v>NO TAG</v>
      </c>
      <c r="G241" t="s">
        <v>1094</v>
      </c>
      <c r="H241">
        <f>_xlfn.XLOOKUP(B241, [1]EFAY!$B:$B,[1]EFAY!$H:$H)</f>
        <v>3.16</v>
      </c>
      <c r="I241" t="str">
        <f>_xlfn.XLOOKUP(B241, [1]EFAY!$B:$B,[1]EFAY!$I:$I)</f>
        <v>JS-Janitorial and Stewarding</v>
      </c>
      <c r="J241" t="str">
        <f>_xlfn.XLOOKUP(B241, [1]EFAY!$B:$B,[1]EFAY!$J:$J)</f>
        <v>SVW-Serveware</v>
      </c>
      <c r="K241" t="str">
        <f>_xlfn.XLOOKUP(B241, [1]EFAY!$B:$B,[1]EFAY!$K:$K)</f>
        <v>MSA-Miscellaneous Serving Accessories</v>
      </c>
      <c r="L241" t="str">
        <f>_xlfn.XLOOKUP(B241, [1]EFAY!$B:$B,[1]EFAY!$L:$L)</f>
        <v>Solar 16.9x10.3cm 6.5" Swing Bowl Champagne</v>
      </c>
    </row>
    <row r="242" spans="1:12" x14ac:dyDescent="0.25">
      <c r="A242" t="str">
        <f>_xlfn.XLOOKUP(B242, [1]EFAY!$B:$B,[1]EFAY!$A:$A)</f>
        <v>5712-SOL-224606/PO</v>
      </c>
      <c r="B242" s="3" t="s">
        <v>890</v>
      </c>
      <c r="C242" t="s">
        <v>1089</v>
      </c>
      <c r="D242" t="str">
        <f>_xlfn.XLOOKUP(B242, [1]EFAY!$B:$B,[1]EFAY!$D:$D)</f>
        <v>L:16.9xW:10.3cm SOLAR 6.5" SWING BOWL (P.ORANGE)</v>
      </c>
      <c r="E242" t="str">
        <f>_xlfn.XLOOKUP(B242, [1]EFAY!$B:$B,[1]EFAY!$E:$E)</f>
        <v>NO TAG</v>
      </c>
      <c r="G242" t="s">
        <v>1094</v>
      </c>
      <c r="H242">
        <f>_xlfn.XLOOKUP(B242, [1]EFAY!$B:$B,[1]EFAY!$H:$H)</f>
        <v>3.16</v>
      </c>
      <c r="I242" t="str">
        <f>_xlfn.XLOOKUP(B242, [1]EFAY!$B:$B,[1]EFAY!$I:$I)</f>
        <v>JS-Janitorial and Stewarding</v>
      </c>
      <c r="J242" t="str">
        <f>_xlfn.XLOOKUP(B242, [1]EFAY!$B:$B,[1]EFAY!$J:$J)</f>
        <v>SVW-Serveware</v>
      </c>
      <c r="K242" t="str">
        <f>_xlfn.XLOOKUP(B242, [1]EFAY!$B:$B,[1]EFAY!$K:$K)</f>
        <v>MSA-Miscellaneous Serving Accessories</v>
      </c>
      <c r="L242" t="str">
        <f>_xlfn.XLOOKUP(B242, [1]EFAY!$B:$B,[1]EFAY!$L:$L)</f>
        <v>Solar 16.9x10.3cm 6.5" Swing Bowl P.Orange</v>
      </c>
    </row>
    <row r="243" spans="1:12" x14ac:dyDescent="0.25">
      <c r="A243" t="str">
        <f>_xlfn.XLOOKUP(B243, [1]EFAY!$B:$B,[1]EFAY!$A:$A)</f>
        <v>5712-SOL-224607/CH</v>
      </c>
      <c r="B243" s="3" t="s">
        <v>891</v>
      </c>
      <c r="C243" t="s">
        <v>1089</v>
      </c>
      <c r="D243" t="str">
        <f>_xlfn.XLOOKUP(B243, [1]EFAY!$B:$B,[1]EFAY!$D:$D)</f>
        <v>L:17.9xW:13.3cm SOLAR 7" SWING BOWL (CHAMPAGNE)</v>
      </c>
      <c r="E243" t="str">
        <f>_xlfn.XLOOKUP(B243, [1]EFAY!$B:$B,[1]EFAY!$E:$E)</f>
        <v>NO TAG</v>
      </c>
      <c r="G243" t="s">
        <v>1094</v>
      </c>
      <c r="H243">
        <f>_xlfn.XLOOKUP(B243, [1]EFAY!$B:$B,[1]EFAY!$H:$H)</f>
        <v>3.41</v>
      </c>
      <c r="I243" t="str">
        <f>_xlfn.XLOOKUP(B243, [1]EFAY!$B:$B,[1]EFAY!$I:$I)</f>
        <v>JS-Janitorial and Stewarding</v>
      </c>
      <c r="J243" t="str">
        <f>_xlfn.XLOOKUP(B243, [1]EFAY!$B:$B,[1]EFAY!$J:$J)</f>
        <v>SVW-Serveware</v>
      </c>
      <c r="K243" t="str">
        <f>_xlfn.XLOOKUP(B243, [1]EFAY!$B:$B,[1]EFAY!$K:$K)</f>
        <v>MSA-Miscellaneous Serving Accessories</v>
      </c>
      <c r="L243" t="str">
        <f>_xlfn.XLOOKUP(B243, [1]EFAY!$B:$B,[1]EFAY!$L:$L)</f>
        <v>Solar L17.9xW13.3cm 7" Swing Bowl Champagne</v>
      </c>
    </row>
    <row r="244" spans="1:12" x14ac:dyDescent="0.25">
      <c r="A244" t="str">
        <f>_xlfn.XLOOKUP(B244, [1]EFAY!$B:$B,[1]EFAY!$A:$A)</f>
        <v>5712-SOL-224607/PO</v>
      </c>
      <c r="B244" s="3" t="s">
        <v>892</v>
      </c>
      <c r="C244" t="s">
        <v>1089</v>
      </c>
      <c r="D244" t="str">
        <f>_xlfn.XLOOKUP(B244, [1]EFAY!$B:$B,[1]EFAY!$D:$D)</f>
        <v>L:17.9xW:13.3cm SOLAR 7" SWING BOWL (P.ORANGE)</v>
      </c>
      <c r="E244" t="str">
        <f>_xlfn.XLOOKUP(B244, [1]EFAY!$B:$B,[1]EFAY!$E:$E)</f>
        <v>NO TAG</v>
      </c>
      <c r="G244" t="s">
        <v>1094</v>
      </c>
      <c r="H244">
        <f>_xlfn.XLOOKUP(B244, [1]EFAY!$B:$B,[1]EFAY!$H:$H)</f>
        <v>3.41</v>
      </c>
      <c r="I244" t="str">
        <f>_xlfn.XLOOKUP(B244, [1]EFAY!$B:$B,[1]EFAY!$I:$I)</f>
        <v>JS-Janitorial and Stewarding</v>
      </c>
      <c r="J244" t="str">
        <f>_xlfn.XLOOKUP(B244, [1]EFAY!$B:$B,[1]EFAY!$J:$J)</f>
        <v>SVW-Serveware</v>
      </c>
      <c r="K244" t="str">
        <f>_xlfn.XLOOKUP(B244, [1]EFAY!$B:$B,[1]EFAY!$K:$K)</f>
        <v>MSA-Miscellaneous Serving Accessories</v>
      </c>
      <c r="L244" t="str">
        <f>_xlfn.XLOOKUP(B244, [1]EFAY!$B:$B,[1]EFAY!$L:$L)</f>
        <v>Solar L17.9xW13.3cm 7" Swing Bowl P.Orange</v>
      </c>
    </row>
    <row r="245" spans="1:12" x14ac:dyDescent="0.25">
      <c r="A245" t="str">
        <f>_xlfn.XLOOKUP(B245, [1]EFAY!$B:$B,[1]EFAY!$A:$A)</f>
        <v>5712-SOL-224608/CH</v>
      </c>
      <c r="B245" s="3" t="s">
        <v>893</v>
      </c>
      <c r="C245" t="s">
        <v>1089</v>
      </c>
      <c r="D245" t="str">
        <f>_xlfn.XLOOKUP(B245, [1]EFAY!$B:$B,[1]EFAY!$D:$D)</f>
        <v>L:21.5xW:11.3cm SOLAR 8.5" SWING PLATE ( CHAMPAGNE)</v>
      </c>
      <c r="E245" t="str">
        <f>_xlfn.XLOOKUP(B245, [1]EFAY!$B:$B,[1]EFAY!$E:$E)</f>
        <v>NO TAG</v>
      </c>
      <c r="G245" t="s">
        <v>1094</v>
      </c>
      <c r="H245">
        <f>_xlfn.XLOOKUP(B245, [1]EFAY!$B:$B,[1]EFAY!$H:$H)</f>
        <v>3.7</v>
      </c>
      <c r="I245" t="str">
        <f>_xlfn.XLOOKUP(B245, [1]EFAY!$B:$B,[1]EFAY!$I:$I)</f>
        <v>JS-Janitorial and Stewarding</v>
      </c>
      <c r="J245" t="str">
        <f>_xlfn.XLOOKUP(B245, [1]EFAY!$B:$B,[1]EFAY!$J:$J)</f>
        <v>DWR-Dinnerware</v>
      </c>
      <c r="K245" t="str">
        <f>_xlfn.XLOOKUP(B245, [1]EFAY!$B:$B,[1]EFAY!$K:$K)</f>
        <v>PLT-Plates</v>
      </c>
      <c r="L245" t="str">
        <f>_xlfn.XLOOKUP(B245, [1]EFAY!$B:$B,[1]EFAY!$L:$L)</f>
        <v>Solar 21.5x11.3cm 8.5" Swing Plate Champagne</v>
      </c>
    </row>
    <row r="246" spans="1:12" x14ac:dyDescent="0.25">
      <c r="A246" t="str">
        <f>_xlfn.XLOOKUP(B246, [1]EFAY!$B:$B,[1]EFAY!$A:$A)</f>
        <v>5712-SOL-224608/PO</v>
      </c>
      <c r="B246" s="3" t="s">
        <v>894</v>
      </c>
      <c r="C246" t="s">
        <v>1089</v>
      </c>
      <c r="D246" t="str">
        <f>_xlfn.XLOOKUP(B246, [1]EFAY!$B:$B,[1]EFAY!$D:$D)</f>
        <v>L:21.5xW:11.3cm SOLAR 8.5" SWING PLATE ( P. ORANGE)</v>
      </c>
      <c r="E246" t="str">
        <f>_xlfn.XLOOKUP(B246, [1]EFAY!$B:$B,[1]EFAY!$E:$E)</f>
        <v>NO TAG</v>
      </c>
      <c r="G246" t="s">
        <v>1094</v>
      </c>
      <c r="H246">
        <f>_xlfn.XLOOKUP(B246, [1]EFAY!$B:$B,[1]EFAY!$H:$H)</f>
        <v>3.7</v>
      </c>
      <c r="I246" t="str">
        <f>_xlfn.XLOOKUP(B246, [1]EFAY!$B:$B,[1]EFAY!$I:$I)</f>
        <v>JS-Janitorial and Stewarding</v>
      </c>
      <c r="J246" t="str">
        <f>_xlfn.XLOOKUP(B246, [1]EFAY!$B:$B,[1]EFAY!$J:$J)</f>
        <v>DWR-Dinnerware</v>
      </c>
      <c r="K246" t="str">
        <f>_xlfn.XLOOKUP(B246, [1]EFAY!$B:$B,[1]EFAY!$K:$K)</f>
        <v>PLT-Plates</v>
      </c>
      <c r="L246" t="str">
        <f>_xlfn.XLOOKUP(B246, [1]EFAY!$B:$B,[1]EFAY!$L:$L)</f>
        <v>Solar L21.5xW11.3cm 8.5" Swing Plate P. Orange</v>
      </c>
    </row>
    <row r="247" spans="1:12" x14ac:dyDescent="0.25">
      <c r="A247" t="str">
        <f>_xlfn.XLOOKUP(B247, [1]EFAY!$B:$B,[1]EFAY!$A:$A)</f>
        <v>5712-SOL-226108/CH</v>
      </c>
      <c r="B247" s="3" t="s">
        <v>895</v>
      </c>
      <c r="C247" t="s">
        <v>1089</v>
      </c>
      <c r="D247" t="str">
        <f>_xlfn.XLOOKUP(B247, [1]EFAY!$B:$B,[1]EFAY!$D:$D)</f>
        <v>L:20xW:15.5cm SOLAR 8" SWING BOWL (CHAMPAGNE)</v>
      </c>
      <c r="E247" t="str">
        <f>_xlfn.XLOOKUP(B247, [1]EFAY!$B:$B,[1]EFAY!$E:$E)</f>
        <v>NO TAG</v>
      </c>
      <c r="G247" t="s">
        <v>1094</v>
      </c>
      <c r="H247">
        <f>_xlfn.XLOOKUP(B247, [1]EFAY!$B:$B,[1]EFAY!$H:$H)</f>
        <v>11.02</v>
      </c>
      <c r="I247" t="str">
        <f>_xlfn.XLOOKUP(B247, [1]EFAY!$B:$B,[1]EFAY!$I:$I)</f>
        <v>JS-Janitorial and Stewarding</v>
      </c>
      <c r="J247" t="str">
        <f>_xlfn.XLOOKUP(B247, [1]EFAY!$B:$B,[1]EFAY!$J:$J)</f>
        <v>SVW-Serveware</v>
      </c>
      <c r="K247" t="str">
        <f>_xlfn.XLOOKUP(B247, [1]EFAY!$B:$B,[1]EFAY!$K:$K)</f>
        <v>MSA-Miscellaneous Serving Accessories</v>
      </c>
      <c r="L247" t="str">
        <f>_xlfn.XLOOKUP(B247, [1]EFAY!$B:$B,[1]EFAY!$L:$L)</f>
        <v>Solar L20xW15.5cm 8" Swing Bowl Champagne</v>
      </c>
    </row>
    <row r="248" spans="1:12" x14ac:dyDescent="0.25">
      <c r="A248" t="str">
        <f>_xlfn.XLOOKUP(B248, [1]EFAY!$B:$B,[1]EFAY!$A:$A)</f>
        <v>5712-SOL-226108/PO</v>
      </c>
      <c r="B248" s="3" t="s">
        <v>896</v>
      </c>
      <c r="C248" t="s">
        <v>1089</v>
      </c>
      <c r="D248" t="str">
        <f>_xlfn.XLOOKUP(B248, [1]EFAY!$B:$B,[1]EFAY!$D:$D)</f>
        <v>L:20xW:15.5cm SOLAR 8" SWING BOWL (P.ORANGE)</v>
      </c>
      <c r="E248" t="str">
        <f>_xlfn.XLOOKUP(B248, [1]EFAY!$B:$B,[1]EFAY!$E:$E)</f>
        <v>NO TAG</v>
      </c>
      <c r="G248" t="s">
        <v>1094</v>
      </c>
      <c r="H248">
        <f>_xlfn.XLOOKUP(B248, [1]EFAY!$B:$B,[1]EFAY!$H:$H)</f>
        <v>11.02</v>
      </c>
      <c r="I248" t="str">
        <f>_xlfn.XLOOKUP(B248, [1]EFAY!$B:$B,[1]EFAY!$I:$I)</f>
        <v>JS-Janitorial and Stewarding</v>
      </c>
      <c r="J248" t="str">
        <f>_xlfn.XLOOKUP(B248, [1]EFAY!$B:$B,[1]EFAY!$J:$J)</f>
        <v>SVW-Serveware</v>
      </c>
      <c r="K248" t="str">
        <f>_xlfn.XLOOKUP(B248, [1]EFAY!$B:$B,[1]EFAY!$K:$K)</f>
        <v>MSA-Miscellaneous Serving Accessories</v>
      </c>
      <c r="L248" t="str">
        <f>_xlfn.XLOOKUP(B248, [1]EFAY!$B:$B,[1]EFAY!$L:$L)</f>
        <v>Solar L20xW15.5cm 8" Swing Bowl P.Orange</v>
      </c>
    </row>
    <row r="249" spans="1:12" x14ac:dyDescent="0.25">
      <c r="A249" t="str">
        <f>_xlfn.XLOOKUP(B249, [1]EFAY!$B:$B,[1]EFAY!$A:$A)</f>
        <v>5712-SOL-226112/CH</v>
      </c>
      <c r="B249" s="3" t="s">
        <v>897</v>
      </c>
      <c r="C249" t="s">
        <v>1089</v>
      </c>
      <c r="D249" t="str">
        <f>_xlfn.XLOOKUP(B249, [1]EFAY!$B:$B,[1]EFAY!$D:$D)</f>
        <v>L:32.5xW:26.5cm SOLAR 13" SWING BOWL (CHAMPAGNE)</v>
      </c>
      <c r="E249" t="str">
        <f>_xlfn.XLOOKUP(B249, [1]EFAY!$B:$B,[1]EFAY!$E:$E)</f>
        <v>NO TAG</v>
      </c>
      <c r="G249" t="s">
        <v>1094</v>
      </c>
      <c r="H249">
        <f>_xlfn.XLOOKUP(B249, [1]EFAY!$B:$B,[1]EFAY!$H:$H)</f>
        <v>32.630000000000003</v>
      </c>
      <c r="I249" t="str">
        <f>_xlfn.XLOOKUP(B249, [1]EFAY!$B:$B,[1]EFAY!$I:$I)</f>
        <v>JS-Janitorial and Stewarding</v>
      </c>
      <c r="J249" t="str">
        <f>_xlfn.XLOOKUP(B249, [1]EFAY!$B:$B,[1]EFAY!$J:$J)</f>
        <v>SVW-Serveware</v>
      </c>
      <c r="K249" t="str">
        <f>_xlfn.XLOOKUP(B249, [1]EFAY!$B:$B,[1]EFAY!$K:$K)</f>
        <v>MSA-Miscellaneous Serving Accessories</v>
      </c>
      <c r="L249" t="str">
        <f>_xlfn.XLOOKUP(B249, [1]EFAY!$B:$B,[1]EFAY!$L:$L)</f>
        <v>Solar L32.5xW26.5cm 13" Swing Bowl Champagne</v>
      </c>
    </row>
    <row r="250" spans="1:12" x14ac:dyDescent="0.25">
      <c r="A250" t="str">
        <f>_xlfn.XLOOKUP(B250, [1]EFAY!$B:$B,[1]EFAY!$A:$A)</f>
        <v>5712-SOL-226112/PO</v>
      </c>
      <c r="B250" s="3" t="s">
        <v>898</v>
      </c>
      <c r="C250" t="s">
        <v>1089</v>
      </c>
      <c r="D250" t="str">
        <f>_xlfn.XLOOKUP(B250, [1]EFAY!$B:$B,[1]EFAY!$D:$D)</f>
        <v>L:32.5xW:26.5cm SOLAR 13" SWING BOWL (P.ORANGE)</v>
      </c>
      <c r="E250" t="str">
        <f>_xlfn.XLOOKUP(B250, [1]EFAY!$B:$B,[1]EFAY!$E:$E)</f>
        <v>NO TAG</v>
      </c>
      <c r="G250" t="s">
        <v>1094</v>
      </c>
      <c r="H250">
        <f>_xlfn.XLOOKUP(B250, [1]EFAY!$B:$B,[1]EFAY!$H:$H)</f>
        <v>32.630000000000003</v>
      </c>
      <c r="I250" t="str">
        <f>_xlfn.XLOOKUP(B250, [1]EFAY!$B:$B,[1]EFAY!$I:$I)</f>
        <v>JS-Janitorial and Stewarding</v>
      </c>
      <c r="J250" t="str">
        <f>_xlfn.XLOOKUP(B250, [1]EFAY!$B:$B,[1]EFAY!$J:$J)</f>
        <v>SVW-Serveware</v>
      </c>
      <c r="K250" t="str">
        <f>_xlfn.XLOOKUP(B250, [1]EFAY!$B:$B,[1]EFAY!$K:$K)</f>
        <v>MSA-Miscellaneous Serving Accessories</v>
      </c>
      <c r="L250" t="str">
        <f>_xlfn.XLOOKUP(B250, [1]EFAY!$B:$B,[1]EFAY!$L:$L)</f>
        <v>Solar L32.5xW26.5cm 13" Swing Bowl Pink Orange</v>
      </c>
    </row>
    <row r="251" spans="1:12" x14ac:dyDescent="0.25">
      <c r="A251" t="str">
        <f>_xlfn.XLOOKUP(B251, [1]EFAY!$B:$B,[1]EFAY!$A:$A)</f>
        <v>5712-SOL-226204/CH</v>
      </c>
      <c r="B251" s="3" t="s">
        <v>899</v>
      </c>
      <c r="C251" t="s">
        <v>1089</v>
      </c>
      <c r="D251" t="str">
        <f>_xlfn.XLOOKUP(B251, [1]EFAY!$B:$B,[1]EFAY!$D:$D)</f>
        <v>DIA:10xH:10cm SOLAR 4" ROUND SNACK BOWL (CHAMPAGNE)</v>
      </c>
      <c r="E251" t="str">
        <f>_xlfn.XLOOKUP(B251, [1]EFAY!$B:$B,[1]EFAY!$E:$E)</f>
        <v>NO TAG</v>
      </c>
      <c r="G251" t="s">
        <v>1094</v>
      </c>
      <c r="H251">
        <f>_xlfn.XLOOKUP(B251, [1]EFAY!$B:$B,[1]EFAY!$H:$H)</f>
        <v>3.55</v>
      </c>
      <c r="I251" t="str">
        <f>_xlfn.XLOOKUP(B251, [1]EFAY!$B:$B,[1]EFAY!$I:$I)</f>
        <v>JS-Janitorial and Stewarding</v>
      </c>
      <c r="J251" t="str">
        <f>_xlfn.XLOOKUP(B251, [1]EFAY!$B:$B,[1]EFAY!$J:$J)</f>
        <v>SVW-Serveware</v>
      </c>
      <c r="K251" t="str">
        <f>_xlfn.XLOOKUP(B251, [1]EFAY!$B:$B,[1]EFAY!$K:$K)</f>
        <v>MSA-Miscellaneous Serving Accessories</v>
      </c>
      <c r="L251" t="str">
        <f>_xlfn.XLOOKUP(B251, [1]EFAY!$B:$B,[1]EFAY!$L:$L)</f>
        <v>Solar 10xH10cm Round Snack Bowl Champagne</v>
      </c>
    </row>
    <row r="252" spans="1:12" x14ac:dyDescent="0.25">
      <c r="A252" t="str">
        <f>_xlfn.XLOOKUP(B252, [1]EFAY!$B:$B,[1]EFAY!$A:$A)</f>
        <v>5712-SOL-226204/DP</v>
      </c>
      <c r="B252" s="3" t="s">
        <v>900</v>
      </c>
      <c r="C252" t="s">
        <v>1089</v>
      </c>
      <c r="D252" t="str">
        <f>_xlfn.XLOOKUP(B252, [1]EFAY!$B:$B,[1]EFAY!$D:$D)</f>
        <v>DIA:10xH:10cm SOLAR 4" ROUND SNACK BOWL (DUSTY PINK)</v>
      </c>
      <c r="E252" t="str">
        <f>_xlfn.XLOOKUP(B252, [1]EFAY!$B:$B,[1]EFAY!$E:$E)</f>
        <v>NO TAG</v>
      </c>
      <c r="G252" t="s">
        <v>1094</v>
      </c>
      <c r="H252">
        <f>_xlfn.XLOOKUP(B252, [1]EFAY!$B:$B,[1]EFAY!$H:$H)</f>
        <v>3.55</v>
      </c>
      <c r="I252" t="str">
        <f>_xlfn.XLOOKUP(B252, [1]EFAY!$B:$B,[1]EFAY!$I:$I)</f>
        <v>JS-Janitorial and Stewarding</v>
      </c>
      <c r="J252" t="str">
        <f>_xlfn.XLOOKUP(B252, [1]EFAY!$B:$B,[1]EFAY!$J:$J)</f>
        <v>SVW-Serveware</v>
      </c>
      <c r="K252" t="str">
        <f>_xlfn.XLOOKUP(B252, [1]EFAY!$B:$B,[1]EFAY!$K:$K)</f>
        <v>MSA-Miscellaneous Serving Accessories</v>
      </c>
      <c r="L252" t="str">
        <f>_xlfn.XLOOKUP(B252, [1]EFAY!$B:$B,[1]EFAY!$L:$L)</f>
        <v>Solar 10xH10cm 4" Round Snack Bowl Dusty Pink</v>
      </c>
    </row>
    <row r="253" spans="1:12" x14ac:dyDescent="0.25">
      <c r="A253" t="str">
        <f>_xlfn.XLOOKUP(B253, [1]EFAY!$B:$B,[1]EFAY!$A:$A)</f>
        <v>5712-SOL-226204/LV</v>
      </c>
      <c r="B253" s="3" t="s">
        <v>901</v>
      </c>
      <c r="C253" t="s">
        <v>1089</v>
      </c>
      <c r="D253" t="str">
        <f>_xlfn.XLOOKUP(B253, [1]EFAY!$B:$B,[1]EFAY!$D:$D)</f>
        <v>DIA:10xH:10cm SOLAR 4" ROUND SNACK BOWL (LAVA GRAY)</v>
      </c>
      <c r="E253" t="str">
        <f>_xlfn.XLOOKUP(B253, [1]EFAY!$B:$B,[1]EFAY!$E:$E)</f>
        <v>NO TAG</v>
      </c>
      <c r="G253" t="s">
        <v>1094</v>
      </c>
      <c r="H253">
        <f>_xlfn.XLOOKUP(B253, [1]EFAY!$B:$B,[1]EFAY!$H:$H)</f>
        <v>3.55</v>
      </c>
      <c r="I253" t="str">
        <f>_xlfn.XLOOKUP(B253, [1]EFAY!$B:$B,[1]EFAY!$I:$I)</f>
        <v>JS-Janitorial and Stewarding</v>
      </c>
      <c r="J253" t="str">
        <f>_xlfn.XLOOKUP(B253, [1]EFAY!$B:$B,[1]EFAY!$J:$J)</f>
        <v>SVW-Serveware</v>
      </c>
      <c r="K253" t="str">
        <f>_xlfn.XLOOKUP(B253, [1]EFAY!$B:$B,[1]EFAY!$K:$K)</f>
        <v>MSA-Miscellaneous Serving Accessories</v>
      </c>
      <c r="L253" t="str">
        <f>_xlfn.XLOOKUP(B253, [1]EFAY!$B:$B,[1]EFAY!$L:$L)</f>
        <v>Solar 10xH10cm Round Snack Bowl Lava Grey</v>
      </c>
    </row>
    <row r="254" spans="1:12" x14ac:dyDescent="0.25">
      <c r="A254" t="str">
        <f>_xlfn.XLOOKUP(B254, [1]EFAY!$B:$B,[1]EFAY!$A:$A)</f>
        <v>5712-SOL-226212/CH</v>
      </c>
      <c r="B254" s="3" t="s">
        <v>902</v>
      </c>
      <c r="C254" t="s">
        <v>1089</v>
      </c>
      <c r="D254" t="str">
        <f>_xlfn.XLOOKUP(B254, [1]EFAY!$B:$B,[1]EFAY!$D:$D)</f>
        <v>DIA:29xH:10cm SOLAR 11.5" SALAD BOWL (CHAMPAGNE)</v>
      </c>
      <c r="E254" t="str">
        <f>_xlfn.XLOOKUP(B254, [1]EFAY!$B:$B,[1]EFAY!$E:$E)</f>
        <v>NO TAG</v>
      </c>
      <c r="G254" t="s">
        <v>1094</v>
      </c>
      <c r="H254">
        <f>_xlfn.XLOOKUP(B254, [1]EFAY!$B:$B,[1]EFAY!$H:$H)</f>
        <v>15.35</v>
      </c>
      <c r="I254" t="str">
        <f>_xlfn.XLOOKUP(B254, [1]EFAY!$B:$B,[1]EFAY!$I:$I)</f>
        <v>JS-Janitorial and Stewarding</v>
      </c>
      <c r="J254" t="str">
        <f>_xlfn.XLOOKUP(B254, [1]EFAY!$B:$B,[1]EFAY!$J:$J)</f>
        <v>SVW-Serveware</v>
      </c>
      <c r="K254" t="str">
        <f>_xlfn.XLOOKUP(B254, [1]EFAY!$B:$B,[1]EFAY!$K:$K)</f>
        <v>MSA-Miscellaneous Serving Accessories</v>
      </c>
      <c r="L254" t="str">
        <f>_xlfn.XLOOKUP(B254, [1]EFAY!$B:$B,[1]EFAY!$L:$L)</f>
        <v>Solar 29xH10cm 11.5" Salad Bowl Champagne</v>
      </c>
    </row>
    <row r="255" spans="1:12" x14ac:dyDescent="0.25">
      <c r="A255" t="str">
        <f>_xlfn.XLOOKUP(B255, [1]EFAY!$B:$B,[1]EFAY!$A:$A)</f>
        <v>5712-SOL-226212/LV</v>
      </c>
      <c r="B255" s="3" t="s">
        <v>903</v>
      </c>
      <c r="C255" t="s">
        <v>1089</v>
      </c>
      <c r="D255" t="str">
        <f>_xlfn.XLOOKUP(B255, [1]EFAY!$B:$B,[1]EFAY!$D:$D)</f>
        <v>DIA:29xH:10cm SOLAR 11.5" SALAD BOWL (LAVA GRAY)</v>
      </c>
      <c r="E255" t="str">
        <f>_xlfn.XLOOKUP(B255, [1]EFAY!$B:$B,[1]EFAY!$E:$E)</f>
        <v>NO TAG</v>
      </c>
      <c r="G255" t="s">
        <v>1094</v>
      </c>
      <c r="H255">
        <f>_xlfn.XLOOKUP(B255, [1]EFAY!$B:$B,[1]EFAY!$H:$H)</f>
        <v>15.35</v>
      </c>
      <c r="I255" t="str">
        <f>_xlfn.XLOOKUP(B255, [1]EFAY!$B:$B,[1]EFAY!$I:$I)</f>
        <v>JS-Janitorial and Stewarding</v>
      </c>
      <c r="J255" t="str">
        <f>_xlfn.XLOOKUP(B255, [1]EFAY!$B:$B,[1]EFAY!$J:$J)</f>
        <v>SVW-Serveware</v>
      </c>
      <c r="K255" t="str">
        <f>_xlfn.XLOOKUP(B255, [1]EFAY!$B:$B,[1]EFAY!$K:$K)</f>
        <v>MSA-Miscellaneous Serving Accessories</v>
      </c>
      <c r="L255" t="str">
        <f>_xlfn.XLOOKUP(B255, [1]EFAY!$B:$B,[1]EFAY!$L:$L)</f>
        <v>Solar 29xH10cm 11.5" Salad Bowl Lava Grey</v>
      </c>
    </row>
    <row r="256" spans="1:12" x14ac:dyDescent="0.25">
      <c r="A256" t="str">
        <f>_xlfn.XLOOKUP(B256, [1]EFAY!$B:$B,[1]EFAY!$A:$A)</f>
        <v>5712-SOL-226214/CH</v>
      </c>
      <c r="B256" s="3" t="s">
        <v>904</v>
      </c>
      <c r="C256" t="s">
        <v>1089</v>
      </c>
      <c r="D256" t="str">
        <f>_xlfn.XLOOKUP(B256, [1]EFAY!$B:$B,[1]EFAY!$D:$D)</f>
        <v>DIA:35xH:7cm SOLAR 14" SALAD BOWL (CHAMPAGNE)</v>
      </c>
      <c r="E256" t="str">
        <f>_xlfn.XLOOKUP(B256, [1]EFAY!$B:$B,[1]EFAY!$E:$E)</f>
        <v>NO TAG</v>
      </c>
      <c r="G256" t="s">
        <v>1094</v>
      </c>
      <c r="H256">
        <f>_xlfn.XLOOKUP(B256, [1]EFAY!$B:$B,[1]EFAY!$H:$H)</f>
        <v>17.45</v>
      </c>
      <c r="I256" t="str">
        <f>_xlfn.XLOOKUP(B256, [1]EFAY!$B:$B,[1]EFAY!$I:$I)</f>
        <v>JS-Janitorial and Stewarding</v>
      </c>
      <c r="J256" t="str">
        <f>_xlfn.XLOOKUP(B256, [1]EFAY!$B:$B,[1]EFAY!$J:$J)</f>
        <v>SVW-Serveware</v>
      </c>
      <c r="K256" t="str">
        <f>_xlfn.XLOOKUP(B256, [1]EFAY!$B:$B,[1]EFAY!$K:$K)</f>
        <v>MSA-Miscellaneous Serving Accessories</v>
      </c>
      <c r="L256" t="str">
        <f>_xlfn.XLOOKUP(B256, [1]EFAY!$B:$B,[1]EFAY!$L:$L)</f>
        <v>Solar 35xH7cm 14" Salad Bowl Champagne</v>
      </c>
    </row>
    <row r="257" spans="1:13" x14ac:dyDescent="0.25">
      <c r="A257" t="str">
        <f>_xlfn.XLOOKUP(B257, [1]EFAY!$B:$B,[1]EFAY!$A:$A)</f>
        <v>5712-SOL-226214/LV</v>
      </c>
      <c r="B257" s="3" t="s">
        <v>905</v>
      </c>
      <c r="C257" t="s">
        <v>1089</v>
      </c>
      <c r="D257" t="str">
        <f>_xlfn.XLOOKUP(B257, [1]EFAY!$B:$B,[1]EFAY!$D:$D)</f>
        <v>DIA:35xH:7cm SOLAR 14" SALAD BOWL (LAVA GRAY)</v>
      </c>
      <c r="E257" t="str">
        <f>_xlfn.XLOOKUP(B257, [1]EFAY!$B:$B,[1]EFAY!$E:$E)</f>
        <v>NO TAG</v>
      </c>
      <c r="G257" t="s">
        <v>1094</v>
      </c>
      <c r="H257">
        <f>_xlfn.XLOOKUP(B257, [1]EFAY!$B:$B,[1]EFAY!$H:$H)</f>
        <v>17.45</v>
      </c>
      <c r="I257" t="str">
        <f>_xlfn.XLOOKUP(B257, [1]EFAY!$B:$B,[1]EFAY!$I:$I)</f>
        <v>JS-Janitorial and Stewarding</v>
      </c>
      <c r="J257" t="str">
        <f>_xlfn.XLOOKUP(B257, [1]EFAY!$B:$B,[1]EFAY!$J:$J)</f>
        <v>SVW-Serveware</v>
      </c>
      <c r="K257" t="str">
        <f>_xlfn.XLOOKUP(B257, [1]EFAY!$B:$B,[1]EFAY!$K:$K)</f>
        <v>MSA-Miscellaneous Serving Accessories</v>
      </c>
      <c r="L257" t="str">
        <f>_xlfn.XLOOKUP(B257, [1]EFAY!$B:$B,[1]EFAY!$L:$L)</f>
        <v>Solar Ø35xH7cm 14" Lava Gray Salad Bowl</v>
      </c>
    </row>
    <row r="258" spans="1:13" x14ac:dyDescent="0.25">
      <c r="A258" t="str">
        <f>_xlfn.XLOOKUP(B258, [1]EFAY!$B:$B,[1]EFAY!$A:$A)</f>
        <v>5712-SOL-226222/CH</v>
      </c>
      <c r="B258" s="3" t="s">
        <v>906</v>
      </c>
      <c r="C258" t="s">
        <v>1089</v>
      </c>
      <c r="D258" t="str">
        <f>_xlfn.XLOOKUP(B258, [1]EFAY!$B:$B,[1]EFAY!$D:$D)</f>
        <v>DIA:5.5xH:5.5cm SOLAR 2.2" ROUND SAUCE BOWL (CHAMPAGNE)</v>
      </c>
      <c r="E258" t="str">
        <f>_xlfn.XLOOKUP(B258, [1]EFAY!$B:$B,[1]EFAY!$E:$E)</f>
        <v>NO TAG</v>
      </c>
      <c r="G258" t="s">
        <v>1094</v>
      </c>
      <c r="H258">
        <f>_xlfn.XLOOKUP(B258, [1]EFAY!$B:$B,[1]EFAY!$H:$H)</f>
        <v>1.21</v>
      </c>
      <c r="I258" t="str">
        <f>_xlfn.XLOOKUP(B258, [1]EFAY!$B:$B,[1]EFAY!$I:$I)</f>
        <v>JS-Janitorial and Stewarding</v>
      </c>
      <c r="J258" t="str">
        <f>_xlfn.XLOOKUP(B258, [1]EFAY!$B:$B,[1]EFAY!$J:$J)</f>
        <v>SVW-Serveware</v>
      </c>
      <c r="K258" t="str">
        <f>_xlfn.XLOOKUP(B258, [1]EFAY!$B:$B,[1]EFAY!$K:$K)</f>
        <v>CHD-Condiment Holders</v>
      </c>
      <c r="L258" t="str">
        <f>_xlfn.XLOOKUP(B258, [1]EFAY!$B:$B,[1]EFAY!$L:$L)</f>
        <v>Solar Ø5.5xH5.5cm 2.2" Round Sauce Bowl Champagne</v>
      </c>
    </row>
    <row r="259" spans="1:13" x14ac:dyDescent="0.25">
      <c r="A259" t="str">
        <f>_xlfn.XLOOKUP(B259, [1]EFAY!$B:$B,[1]EFAY!$A:$A)</f>
        <v>5712-SOL-226222/DP</v>
      </c>
      <c r="B259" s="3" t="s">
        <v>907</v>
      </c>
      <c r="C259" t="s">
        <v>1089</v>
      </c>
      <c r="D259" t="str">
        <f>_xlfn.XLOOKUP(B259, [1]EFAY!$B:$B,[1]EFAY!$D:$D)</f>
        <v>DIA:5.5xH:5.5cm SOLAR 2.2" ROUND SAUCE BOWL (DUSTY PINK)</v>
      </c>
      <c r="E259" t="str">
        <f>_xlfn.XLOOKUP(B259, [1]EFAY!$B:$B,[1]EFAY!$E:$E)</f>
        <v>NO TAG</v>
      </c>
      <c r="G259" t="s">
        <v>1094</v>
      </c>
      <c r="H259">
        <f>_xlfn.XLOOKUP(B259, [1]EFAY!$B:$B,[1]EFAY!$H:$H)</f>
        <v>1.21</v>
      </c>
      <c r="I259" t="str">
        <f>_xlfn.XLOOKUP(B259, [1]EFAY!$B:$B,[1]EFAY!$I:$I)</f>
        <v>JS-Janitorial and Stewarding</v>
      </c>
      <c r="J259" t="str">
        <f>_xlfn.XLOOKUP(B259, [1]EFAY!$B:$B,[1]EFAY!$J:$J)</f>
        <v>SVW-Serveware</v>
      </c>
      <c r="K259" t="str">
        <f>_xlfn.XLOOKUP(B259, [1]EFAY!$B:$B,[1]EFAY!$K:$K)</f>
        <v>CHD-Condiment Holders</v>
      </c>
      <c r="L259" t="str">
        <f>_xlfn.XLOOKUP(B259, [1]EFAY!$B:$B,[1]EFAY!$L:$L)</f>
        <v>Solar Ø5.5xH5.5cm 2.2" Round Sauce Bowl Dusty Pink</v>
      </c>
    </row>
    <row r="260" spans="1:13" x14ac:dyDescent="0.25">
      <c r="A260" t="str">
        <f>_xlfn.XLOOKUP(B260, [1]EFAY!$B:$B,[1]EFAY!$A:$A)</f>
        <v>5712-SOL-226222/LV</v>
      </c>
      <c r="B260" s="3" t="s">
        <v>908</v>
      </c>
      <c r="C260" t="s">
        <v>1089</v>
      </c>
      <c r="D260" t="str">
        <f>_xlfn.XLOOKUP(B260, [1]EFAY!$B:$B,[1]EFAY!$D:$D)</f>
        <v>DIA:5.5xH:5.5cm SOLAR 2.2" ROUND SAUCE BOWL (LAVA GRAY)</v>
      </c>
      <c r="E260" t="str">
        <f>_xlfn.XLOOKUP(B260, [1]EFAY!$B:$B,[1]EFAY!$E:$E)</f>
        <v>NO TAG</v>
      </c>
      <c r="G260" t="s">
        <v>1094</v>
      </c>
      <c r="H260">
        <f>_xlfn.XLOOKUP(B260, [1]EFAY!$B:$B,[1]EFAY!$H:$H)</f>
        <v>1.21</v>
      </c>
      <c r="I260" t="str">
        <f>_xlfn.XLOOKUP(B260, [1]EFAY!$B:$B,[1]EFAY!$I:$I)</f>
        <v>JS-Janitorial and Stewarding</v>
      </c>
      <c r="J260" t="str">
        <f>_xlfn.XLOOKUP(B260, [1]EFAY!$B:$B,[1]EFAY!$J:$J)</f>
        <v>SVW-Serveware</v>
      </c>
      <c r="K260" t="str">
        <f>_xlfn.XLOOKUP(B260, [1]EFAY!$B:$B,[1]EFAY!$K:$K)</f>
        <v>CHD-Condiment Holders</v>
      </c>
      <c r="L260" t="str">
        <f>_xlfn.XLOOKUP(B260, [1]EFAY!$B:$B,[1]EFAY!$L:$L)</f>
        <v>Solar Ø5.5xH5.5cm 2.2"  Round Sauce Bowl Lava Grey</v>
      </c>
    </row>
    <row r="261" spans="1:13" x14ac:dyDescent="0.25">
      <c r="A261" t="str">
        <f>_xlfn.XLOOKUP(B261, [1]EFAY!$B:$B,[1]EFAY!$A:$A)</f>
        <v>5712-SOL-226228/CH</v>
      </c>
      <c r="B261" s="3" t="s">
        <v>909</v>
      </c>
      <c r="C261" t="s">
        <v>1089</v>
      </c>
      <c r="D261" t="str">
        <f>_xlfn.XLOOKUP(B261, [1]EFAY!$B:$B,[1]EFAY!$D:$D)</f>
        <v>DIA:7xH:7cm SOLAR 2.8" ROUND SNACK BOWL (CHAMPAGNE)</v>
      </c>
      <c r="E261" t="str">
        <f>_xlfn.XLOOKUP(B261, [1]EFAY!$B:$B,[1]EFAY!$E:$E)</f>
        <v>NO TAG</v>
      </c>
      <c r="G261" t="s">
        <v>1094</v>
      </c>
      <c r="H261">
        <f>_xlfn.XLOOKUP(B261, [1]EFAY!$B:$B,[1]EFAY!$H:$H)</f>
        <v>1.89</v>
      </c>
      <c r="I261" t="str">
        <f>_xlfn.XLOOKUP(B261, [1]EFAY!$B:$B,[1]EFAY!$I:$I)</f>
        <v>JS-Janitorial and Stewarding</v>
      </c>
      <c r="J261" t="str">
        <f>_xlfn.XLOOKUP(B261, [1]EFAY!$B:$B,[1]EFAY!$J:$J)</f>
        <v>SVW-Serveware</v>
      </c>
      <c r="K261" t="str">
        <f>_xlfn.XLOOKUP(B261, [1]EFAY!$B:$B,[1]EFAY!$K:$K)</f>
        <v>MSA-Miscellaneous Serving Accessories</v>
      </c>
      <c r="L261" t="str">
        <f>_xlfn.XLOOKUP(B261, [1]EFAY!$B:$B,[1]EFAY!$L:$L)</f>
        <v>Solar Ø7xH7cm 2.8" Round Snack Bowl Champagne</v>
      </c>
    </row>
    <row r="262" spans="1:13" x14ac:dyDescent="0.25">
      <c r="A262" t="str">
        <f>_xlfn.XLOOKUP(B262, [1]EFAY!$B:$B,[1]EFAY!$A:$A)</f>
        <v>5712-SOL-226228/DP</v>
      </c>
      <c r="B262" s="3" t="s">
        <v>910</v>
      </c>
      <c r="C262" t="s">
        <v>1089</v>
      </c>
      <c r="D262" t="str">
        <f>_xlfn.XLOOKUP(B262, [1]EFAY!$B:$B,[1]EFAY!$D:$D)</f>
        <v>DIA:7xH:7cm SOLAR 2.8" ROUND SNACK BOWL (DUSTY PINK)</v>
      </c>
      <c r="E262" t="str">
        <f>_xlfn.XLOOKUP(B262, [1]EFAY!$B:$B,[1]EFAY!$E:$E)</f>
        <v>NO TAG</v>
      </c>
      <c r="G262" t="s">
        <v>1094</v>
      </c>
      <c r="H262">
        <f>_xlfn.XLOOKUP(B262, [1]EFAY!$B:$B,[1]EFAY!$H:$H)</f>
        <v>1.89</v>
      </c>
      <c r="I262" t="str">
        <f>_xlfn.XLOOKUP(B262, [1]EFAY!$B:$B,[1]EFAY!$I:$I)</f>
        <v>JS-Janitorial and Stewarding</v>
      </c>
      <c r="J262" t="str">
        <f>_xlfn.XLOOKUP(B262, [1]EFAY!$B:$B,[1]EFAY!$J:$J)</f>
        <v>SVW-Serveware</v>
      </c>
      <c r="K262" t="str">
        <f>_xlfn.XLOOKUP(B262, [1]EFAY!$B:$B,[1]EFAY!$K:$K)</f>
        <v>MSA-Miscellaneous Serving Accessories</v>
      </c>
      <c r="L262" t="str">
        <f>_xlfn.XLOOKUP(B262, [1]EFAY!$B:$B,[1]EFAY!$L:$L)</f>
        <v>Solar Ø7xH7cm 2.8" Round Snack Bowl Dusty Pink</v>
      </c>
    </row>
    <row r="263" spans="1:13" x14ac:dyDescent="0.25">
      <c r="A263" t="str">
        <f>_xlfn.XLOOKUP(B263, [1]EFAY!$B:$B,[1]EFAY!$A:$A)</f>
        <v>5712-SOL-226228/LV</v>
      </c>
      <c r="B263" s="3" t="s">
        <v>911</v>
      </c>
      <c r="C263" t="s">
        <v>1089</v>
      </c>
      <c r="D263" t="str">
        <f>_xlfn.XLOOKUP(B263, [1]EFAY!$B:$B,[1]EFAY!$D:$D)</f>
        <v>DIA:7xH:7cm SOLAR 2.8" ROUND SNACK BOWL (LAVA GRAY)</v>
      </c>
      <c r="E263" t="str">
        <f>_xlfn.XLOOKUP(B263, [1]EFAY!$B:$B,[1]EFAY!$E:$E)</f>
        <v>NO TAG</v>
      </c>
      <c r="G263" t="s">
        <v>1094</v>
      </c>
      <c r="H263">
        <f>_xlfn.XLOOKUP(B263, [1]EFAY!$B:$B,[1]EFAY!$H:$H)</f>
        <v>1.89</v>
      </c>
      <c r="I263" t="str">
        <f>_xlfn.XLOOKUP(B263, [1]EFAY!$B:$B,[1]EFAY!$I:$I)</f>
        <v>JS-Janitorial and Stewarding</v>
      </c>
      <c r="J263" t="str">
        <f>_xlfn.XLOOKUP(B263, [1]EFAY!$B:$B,[1]EFAY!$J:$J)</f>
        <v>SVW-Serveware</v>
      </c>
      <c r="K263" t="str">
        <f>_xlfn.XLOOKUP(B263, [1]EFAY!$B:$B,[1]EFAY!$K:$K)</f>
        <v>MSA-Miscellaneous Serving Accessories</v>
      </c>
      <c r="L263" t="str">
        <f>_xlfn.XLOOKUP(B263, [1]EFAY!$B:$B,[1]EFAY!$L:$L)</f>
        <v>Solar Ø7xH7cm 2.8" Round Snack Bowl Lava Grey</v>
      </c>
    </row>
    <row r="264" spans="1:13" x14ac:dyDescent="0.25">
      <c r="A264" t="str">
        <f>_xlfn.XLOOKUP(B264, [1]EFAY!$B:$B,[1]EFAY!$A:$A)</f>
        <v>5712-SOL-226235/CH</v>
      </c>
      <c r="B264" s="3" t="s">
        <v>912</v>
      </c>
      <c r="C264" t="s">
        <v>1089</v>
      </c>
      <c r="D264" t="str">
        <f>_xlfn.XLOOKUP(B264, [1]EFAY!$B:$B,[1]EFAY!$D:$D)</f>
        <v>DIA:8.5xH:8.5cm SOLAR 3.5" ROUND SNACK BOWL (CHAMPAGNE)</v>
      </c>
      <c r="E264" t="str">
        <f>_xlfn.XLOOKUP(B264, [1]EFAY!$B:$B,[1]EFAY!$E:$E)</f>
        <v>NO TAG</v>
      </c>
      <c r="G264" t="s">
        <v>1094</v>
      </c>
      <c r="H264">
        <f>_xlfn.XLOOKUP(B264, [1]EFAY!$B:$B,[1]EFAY!$H:$H)</f>
        <v>2.4700000000000002</v>
      </c>
      <c r="I264" t="str">
        <f>_xlfn.XLOOKUP(B264, [1]EFAY!$B:$B,[1]EFAY!$I:$I)</f>
        <v>JS-Janitorial and Stewarding</v>
      </c>
      <c r="J264" t="str">
        <f>_xlfn.XLOOKUP(B264, [1]EFAY!$B:$B,[1]EFAY!$J:$J)</f>
        <v>SVW-Serveware</v>
      </c>
      <c r="K264" t="str">
        <f>_xlfn.XLOOKUP(B264, [1]EFAY!$B:$B,[1]EFAY!$K:$K)</f>
        <v>MSA-Miscellaneous Serving Accessories</v>
      </c>
      <c r="L264" t="str">
        <f>_xlfn.XLOOKUP(B264, [1]EFAY!$B:$B,[1]EFAY!$L:$L)</f>
        <v>Solar Ø8.5xH8.5cm 3.5" Round Snack Bowl Champagne</v>
      </c>
    </row>
    <row r="265" spans="1:13" x14ac:dyDescent="0.25">
      <c r="A265" t="str">
        <f>_xlfn.XLOOKUP(B265, [1]EFAY!$B:$B,[1]EFAY!$A:$A)</f>
        <v>5712-SOL-226235/DP</v>
      </c>
      <c r="B265" s="3" t="s">
        <v>913</v>
      </c>
      <c r="C265" t="s">
        <v>1089</v>
      </c>
      <c r="D265" t="str">
        <f>_xlfn.XLOOKUP(B265, [1]EFAY!$B:$B,[1]EFAY!$D:$D)</f>
        <v>DIA:8.5xH:8.5cm SOLAR 3.5" ROUND SNACK BOWL (DUSTY PINK)</v>
      </c>
      <c r="E265" t="str">
        <f>_xlfn.XLOOKUP(B265, [1]EFAY!$B:$B,[1]EFAY!$E:$E)</f>
        <v>NO TAG</v>
      </c>
      <c r="G265" t="s">
        <v>1094</v>
      </c>
      <c r="H265">
        <f>_xlfn.XLOOKUP(B265, [1]EFAY!$B:$B,[1]EFAY!$H:$H)</f>
        <v>2.4700000000000002</v>
      </c>
      <c r="I265" t="str">
        <f>_xlfn.XLOOKUP(B265, [1]EFAY!$B:$B,[1]EFAY!$I:$I)</f>
        <v>JS-Janitorial and Stewarding</v>
      </c>
      <c r="J265" t="str">
        <f>_xlfn.XLOOKUP(B265, [1]EFAY!$B:$B,[1]EFAY!$J:$J)</f>
        <v>SVW-Serveware</v>
      </c>
      <c r="K265" t="str">
        <f>_xlfn.XLOOKUP(B265, [1]EFAY!$B:$B,[1]EFAY!$K:$K)</f>
        <v>MSA-Miscellaneous Serving Accessories</v>
      </c>
      <c r="L265" t="str">
        <f>_xlfn.XLOOKUP(B265, [1]EFAY!$B:$B,[1]EFAY!$L:$L)</f>
        <v>Solar Ø8.5xH8.5cm 3.5" Round Snack Bowl Dusty Pink</v>
      </c>
    </row>
    <row r="266" spans="1:13" x14ac:dyDescent="0.25">
      <c r="A266" t="str">
        <f>_xlfn.XLOOKUP(B266, [1]EFAY!$B:$B,[1]EFAY!$A:$A)</f>
        <v>5712-SOL-226235/LV</v>
      </c>
      <c r="B266" s="3" t="s">
        <v>914</v>
      </c>
      <c r="C266" t="s">
        <v>1089</v>
      </c>
      <c r="D266" t="str">
        <f>_xlfn.XLOOKUP(B266, [1]EFAY!$B:$B,[1]EFAY!$D:$D)</f>
        <v>DIA:8.5xH:8.5cm SOLAR 3.5" ROUND SNACK BOWL (LAVA GRAY)</v>
      </c>
      <c r="E266" t="str">
        <f>_xlfn.XLOOKUP(B266, [1]EFAY!$B:$B,[1]EFAY!$E:$E)</f>
        <v>NO TAG</v>
      </c>
      <c r="G266" t="s">
        <v>1094</v>
      </c>
      <c r="H266">
        <f>_xlfn.XLOOKUP(B266, [1]EFAY!$B:$B,[1]EFAY!$H:$H)</f>
        <v>2.4700000000000002</v>
      </c>
      <c r="I266" t="str">
        <f>_xlfn.XLOOKUP(B266, [1]EFAY!$B:$B,[1]EFAY!$I:$I)</f>
        <v>JS-Janitorial and Stewarding</v>
      </c>
      <c r="J266" t="str">
        <f>_xlfn.XLOOKUP(B266, [1]EFAY!$B:$B,[1]EFAY!$J:$J)</f>
        <v>SVW-Serveware</v>
      </c>
      <c r="K266" t="str">
        <f>_xlfn.XLOOKUP(B266, [1]EFAY!$B:$B,[1]EFAY!$K:$K)</f>
        <v>MSA-Miscellaneous Serving Accessories</v>
      </c>
      <c r="L266" t="str">
        <f>_xlfn.XLOOKUP(B266, [1]EFAY!$B:$B,[1]EFAY!$L:$L)</f>
        <v>Solar Ø8.5xH8.5cm 3.5" Round Snack Bowl Lava Grey</v>
      </c>
    </row>
    <row r="267" spans="1:13" x14ac:dyDescent="0.25">
      <c r="A267" t="str">
        <f>_xlfn.XLOOKUP(B267, [1]EFAY!$B:$B,[1]EFAY!$A:$A)</f>
        <v>5712-SOL-226285/CH</v>
      </c>
      <c r="B267" s="3" t="s">
        <v>915</v>
      </c>
      <c r="C267" t="s">
        <v>1089</v>
      </c>
      <c r="D267" t="str">
        <f>_xlfn.XLOOKUP(B267, [1]EFAY!$B:$B,[1]EFAY!$D:$D)</f>
        <v>DIA:22.5xH:7.1cm SOLAR 8.5" SALAD BOWL (CHAMPAGNE)</v>
      </c>
      <c r="E267" t="str">
        <f>_xlfn.XLOOKUP(B267, [1]EFAY!$B:$B,[1]EFAY!$E:$E)</f>
        <v>NO TAG</v>
      </c>
      <c r="G267" t="s">
        <v>1094</v>
      </c>
      <c r="H267">
        <f>_xlfn.XLOOKUP(B267, [1]EFAY!$B:$B,[1]EFAY!$H:$H)</f>
        <v>9.52</v>
      </c>
      <c r="I267" t="str">
        <f>_xlfn.XLOOKUP(B267, [1]EFAY!$B:$B,[1]EFAY!$I:$I)</f>
        <v>JS-Janitorial and Stewarding</v>
      </c>
      <c r="J267" t="str">
        <f>_xlfn.XLOOKUP(B267, [1]EFAY!$B:$B,[1]EFAY!$J:$J)</f>
        <v>DWR-Dinnerware</v>
      </c>
      <c r="K267" t="str">
        <f>_xlfn.XLOOKUP(B267, [1]EFAY!$B:$B,[1]EFAY!$K:$K)</f>
        <v>BWL-Bowls</v>
      </c>
      <c r="L267" t="str">
        <f>_xlfn.XLOOKUP(B267, [1]EFAY!$B:$B,[1]EFAY!$L:$L)</f>
        <v>Solar Ø22.5xH7.1cm 8.5" Salad Bowl Champagne</v>
      </c>
    </row>
    <row r="268" spans="1:13" x14ac:dyDescent="0.25">
      <c r="A268" t="str">
        <f>_xlfn.XLOOKUP(B268, [1]EFAY!$B:$B,[1]EFAY!$A:$A)</f>
        <v>5712-SOL-226285/LV</v>
      </c>
      <c r="B268" s="3" t="s">
        <v>916</v>
      </c>
      <c r="C268" t="s">
        <v>1089</v>
      </c>
      <c r="D268" t="str">
        <f>_xlfn.XLOOKUP(B268, [1]EFAY!$B:$B,[1]EFAY!$D:$D)</f>
        <v>DIA:22.5xH:7.1cm SOLAR 8.5" SALAD BOWL (LAVA GRAY)</v>
      </c>
      <c r="E268" t="str">
        <f>_xlfn.XLOOKUP(B268, [1]EFAY!$B:$B,[1]EFAY!$E:$E)</f>
        <v>NO TAG</v>
      </c>
      <c r="G268" t="s">
        <v>1094</v>
      </c>
      <c r="H268">
        <f>_xlfn.XLOOKUP(B268, [1]EFAY!$B:$B,[1]EFAY!$H:$H)</f>
        <v>9.52</v>
      </c>
      <c r="I268" t="str">
        <f>_xlfn.XLOOKUP(B268, [1]EFAY!$B:$B,[1]EFAY!$I:$I)</f>
        <v>JS-Janitorial and Stewarding</v>
      </c>
      <c r="J268" t="str">
        <f>_xlfn.XLOOKUP(B268, [1]EFAY!$B:$B,[1]EFAY!$J:$J)</f>
        <v>SVW-Serveware</v>
      </c>
      <c r="K268" t="str">
        <f>_xlfn.XLOOKUP(B268, [1]EFAY!$B:$B,[1]EFAY!$K:$K)</f>
        <v/>
      </c>
      <c r="L268" t="str">
        <f>_xlfn.XLOOKUP(B268, [1]EFAY!$B:$B,[1]EFAY!$L:$L)</f>
        <v>Solar Ø22.5xH7.1cm 8.5" Salad Bowl Lava Grey</v>
      </c>
    </row>
    <row r="269" spans="1:13" x14ac:dyDescent="0.25">
      <c r="A269" t="str">
        <f>_xlfn.XLOOKUP(B269, [1]EFAY!$B:$B,[1]EFAY!$A:$A)</f>
        <v>5712-SOL-532304/DP</v>
      </c>
      <c r="B269" s="3" t="s">
        <v>917</v>
      </c>
      <c r="C269" t="s">
        <v>1089</v>
      </c>
      <c r="D269" t="str">
        <f>_xlfn.XLOOKUP(B269, [1]EFAY!$B:$B,[1]EFAY!$D:$D)</f>
        <v>DIA:16.5xH:10cm SOLAR ROUND TALL BASE STAND (DUSTY PINK)</v>
      </c>
      <c r="E269" t="str">
        <f>_xlfn.XLOOKUP(B269, [1]EFAY!$B:$B,[1]EFAY!$E:$E)</f>
        <v>NO TAG</v>
      </c>
      <c r="G269" t="s">
        <v>1094</v>
      </c>
      <c r="H269">
        <f>_xlfn.XLOOKUP(B269, [1]EFAY!$B:$B,[1]EFAY!$H:$H)</f>
        <v>8.56</v>
      </c>
      <c r="I269" t="str">
        <f>_xlfn.XLOOKUP(B269, [1]EFAY!$B:$B,[1]EFAY!$I:$I)</f>
        <v>JS-Janitorial and Stewarding</v>
      </c>
      <c r="J269" t="str">
        <f>_xlfn.XLOOKUP(B269, [1]EFAY!$B:$B,[1]EFAY!$J:$J)</f>
        <v/>
      </c>
      <c r="K269" t="str">
        <f>_xlfn.XLOOKUP(B269, [1]EFAY!$B:$B,[1]EFAY!$K:$K)</f>
        <v/>
      </c>
      <c r="L269" t="str">
        <f>_xlfn.XLOOKUP(B269, [1]EFAY!$B:$B,[1]EFAY!$L:$L)</f>
        <v>Solar Ø16.5xH10cm Round Tall Base Stand Dusty Pink</v>
      </c>
    </row>
    <row r="270" spans="1:13" x14ac:dyDescent="0.25">
      <c r="A270" t="str">
        <f>_xlfn.XLOOKUP(B270, [1]EFAY!$B:$B,[1]EFAY!$A:$A)</f>
        <v>5712-SOL-532304/LV</v>
      </c>
      <c r="B270" s="3" t="s">
        <v>918</v>
      </c>
      <c r="C270" t="s">
        <v>1089</v>
      </c>
      <c r="D270" t="str">
        <f>_xlfn.XLOOKUP(B270, [1]EFAY!$B:$B,[1]EFAY!$D:$D)</f>
        <v>DIA:16.5xH:10cm SOLAR ROUND TALL BASE STAND (LAVA GRAY)</v>
      </c>
      <c r="E270" t="str">
        <f>_xlfn.XLOOKUP(B270, [1]EFAY!$B:$B,[1]EFAY!$E:$E)</f>
        <v>NO TAG</v>
      </c>
      <c r="G270" t="s">
        <v>1094</v>
      </c>
      <c r="H270">
        <f>_xlfn.XLOOKUP(B270, [1]EFAY!$B:$B,[1]EFAY!$H:$H)</f>
        <v>8.56</v>
      </c>
      <c r="I270" t="str">
        <f>_xlfn.XLOOKUP(B270, [1]EFAY!$B:$B,[1]EFAY!$I:$I)</f>
        <v>JS-Janitorial and Stewarding</v>
      </c>
      <c r="J270" t="str">
        <f>_xlfn.XLOOKUP(B270, [1]EFAY!$B:$B,[1]EFAY!$J:$J)</f>
        <v/>
      </c>
      <c r="K270" t="str">
        <f>_xlfn.XLOOKUP(B270, [1]EFAY!$B:$B,[1]EFAY!$K:$K)</f>
        <v/>
      </c>
      <c r="L270" t="str">
        <f>_xlfn.XLOOKUP(B270, [1]EFAY!$B:$B,[1]EFAY!$L:$L)</f>
        <v>Solar Ø16.5xH10cm Round Tall Base Stand Lava Grey</v>
      </c>
    </row>
    <row r="271" spans="1:13" x14ac:dyDescent="0.25">
      <c r="A271" t="str">
        <f>_xlfn.XLOOKUP(B271, [1]EFAY!$B:$B,[1]EFAY!$A:$A)</f>
        <v>5712-SOL-532307/LV</v>
      </c>
      <c r="B271" s="3" t="s">
        <v>919</v>
      </c>
      <c r="C271" t="s">
        <v>1089</v>
      </c>
      <c r="D271" t="str">
        <f>_xlfn.XLOOKUP(B271, [1]EFAY!$B:$B,[1]EFAY!$D:$D)</f>
        <v>DIA:16.5xH:18cm SOLAR ROUND TALL BASE STAND (LAVA GRAY)</v>
      </c>
      <c r="E271" t="str">
        <f>_xlfn.XLOOKUP(B271, [1]EFAY!$B:$B,[1]EFAY!$E:$E)</f>
        <v>NO TAG</v>
      </c>
      <c r="G271" t="s">
        <v>1094</v>
      </c>
      <c r="H271">
        <f>_xlfn.XLOOKUP(B271, [1]EFAY!$B:$B,[1]EFAY!$H:$H)</f>
        <v>11.74</v>
      </c>
      <c r="I271" t="str">
        <f>_xlfn.XLOOKUP(B271, [1]EFAY!$B:$B,[1]EFAY!$I:$I)</f>
        <v>JS-Janitorial and Stewarding</v>
      </c>
      <c r="J271" t="str">
        <f>_xlfn.XLOOKUP(B271, [1]EFAY!$B:$B,[1]EFAY!$J:$J)</f>
        <v/>
      </c>
      <c r="K271" t="str">
        <f>_xlfn.XLOOKUP(B271, [1]EFAY!$B:$B,[1]EFAY!$K:$K)</f>
        <v/>
      </c>
      <c r="L271" t="str">
        <f>_xlfn.XLOOKUP(B271, [1]EFAY!$B:$B,[1]EFAY!$L:$L)</f>
        <v>Solar Ø16.5xH18cm Round Tall Base Stand Lava Grey</v>
      </c>
    </row>
    <row r="272" spans="1:13" x14ac:dyDescent="0.25">
      <c r="A272" t="str">
        <f>_xlfn.XLOOKUP(B272, [1]EFAY!$B:$B,[1]EFAY!$A:$A)</f>
        <v>5712-TERRA-520504TI</v>
      </c>
      <c r="B272" s="3" t="s">
        <v>920</v>
      </c>
      <c r="C272" t="s">
        <v>1089</v>
      </c>
      <c r="D272" t="str">
        <f>_xlfn.XLOOKUP(B272, [1]EFAY!$B:$B,[1]EFAY!$D:$D)</f>
        <v>10X10X3cm ROUND TERRACOTTA DISH  (TILES RED)</v>
      </c>
      <c r="E272" t="str">
        <f>_xlfn.XLOOKUP(B272, [1]EFAY!$B:$B,[1]EFAY!$E:$E)</f>
        <v>NO TAG</v>
      </c>
      <c r="G272" t="s">
        <v>1094</v>
      </c>
      <c r="H272">
        <f>_xlfn.XLOOKUP(B272, [1]EFAY!$B:$B,[1]EFAY!$H:$H)</f>
        <v>1.82</v>
      </c>
      <c r="I272" t="str">
        <f>_xlfn.XLOOKUP(B272, [1]EFAY!$B:$B,[1]EFAY!$I:$I)</f>
        <v>JS-Janitorial and Stewarding</v>
      </c>
      <c r="J272" t="str">
        <f>_xlfn.XLOOKUP(B272, [1]EFAY!$B:$B,[1]EFAY!$J:$J)</f>
        <v>DWR-Dinnerware</v>
      </c>
      <c r="K272" t="str">
        <f>_xlfn.XLOOKUP(B272, [1]EFAY!$B:$B,[1]EFAY!$K:$K)</f>
        <v/>
      </c>
      <c r="L272" t="str">
        <f>_xlfn.XLOOKUP(B272, [1]EFAY!$B:$B,[1]EFAY!$L:$L)</f>
        <v>Terracotta 10x10x3cm Round Dish Red</v>
      </c>
      <c r="M272" s="3" t="s">
        <v>1049</v>
      </c>
    </row>
    <row r="273" spans="1:13" x14ac:dyDescent="0.25">
      <c r="A273" t="str">
        <f>_xlfn.XLOOKUP(B273, [1]EFAY!$B:$B,[1]EFAY!$A:$A)</f>
        <v>5712-WOOD-407612ER5</v>
      </c>
      <c r="B273" s="3" t="s">
        <v>921</v>
      </c>
      <c r="C273" t="s">
        <v>1089</v>
      </c>
      <c r="D273" t="str">
        <f>_xlfn.XLOOKUP(B273, [1]EFAY!$B:$B,[1]EFAY!$D:$D)</f>
        <v>#407612, L:30xW:30cm SQUARE WOODY BAKER PASTRY TRAY</v>
      </c>
      <c r="E273" t="str">
        <f>_xlfn.XLOOKUP(B273, [1]EFAY!$B:$B,[1]EFAY!$E:$E)</f>
        <v>NO TAG</v>
      </c>
      <c r="G273" t="s">
        <v>1094</v>
      </c>
      <c r="H273">
        <f>_xlfn.XLOOKUP(B273, [1]EFAY!$B:$B,[1]EFAY!$H:$H)</f>
        <v>11.09</v>
      </c>
      <c r="I273" t="str">
        <f>_xlfn.XLOOKUP(B273, [1]EFAY!$B:$B,[1]EFAY!$I:$I)</f>
        <v>JS-Janitorial and Stewarding</v>
      </c>
      <c r="J273" t="str">
        <f>_xlfn.XLOOKUP(B273, [1]EFAY!$B:$B,[1]EFAY!$J:$J)</f>
        <v>BW-Bakeware</v>
      </c>
      <c r="K273" t="str">
        <f>_xlfn.XLOOKUP(B273, [1]EFAY!$B:$B,[1]EFAY!$K:$K)</f>
        <v>BPT-Baking Pans &amp; Trays</v>
      </c>
      <c r="L273" t="str">
        <f>_xlfn.XLOOKUP(B273, [1]EFAY!$B:$B,[1]EFAY!$L:$L)</f>
        <v>#407612 L30xW30cm Woody Square Pastry Tray</v>
      </c>
      <c r="M273" s="3" t="s">
        <v>295</v>
      </c>
    </row>
  </sheetData>
  <conditionalFormatting sqref="B1:B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Image URL</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2026-04-02T08:03:11Z</dcterms:created>
  <dcterms:modified xsi:type="dcterms:W3CDTF">2026-04-02T18:00:59Z</dcterms:modified>
</cp:coreProperties>
</file>