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13_ncr:1_{562DE7CA-06E9-48F3-A378-852856E18BD8}" xr6:coauthVersionLast="47" xr6:coauthVersionMax="47" xr10:uidLastSave="{00000000-0000-0000-0000-000000000000}"/>
  <bookViews>
    <workbookView minimized="1" xWindow="9660" yWindow="8385" windowWidth="10140" windowHeight="7275" xr2:uid="{00000000-000D-0000-FFFF-FFFF00000000}"/>
  </bookViews>
  <sheets>
    <sheet name="Sheet1" sheetId="1" r:id="rId1"/>
  </sheets>
  <externalReferences>
    <externalReference r:id="rId2"/>
  </externalReferences>
  <definedNames>
    <definedName name="_xlnm._FilterDatabase" localSheetId="0" hidden="1">Sheet1!$B$1:$B$1189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2" i="1"/>
</calcChain>
</file>

<file path=xl/sharedStrings.xml><?xml version="1.0" encoding="utf-8"?>
<sst xmlns="http://schemas.openxmlformats.org/spreadsheetml/2006/main" count="23583" uniqueCount="5166">
  <si>
    <t>Product URL</t>
  </si>
  <si>
    <t>MFR Code</t>
  </si>
  <si>
    <t>Image URL</t>
  </si>
  <si>
    <t>Overview</t>
  </si>
  <si>
    <t>Length</t>
  </si>
  <si>
    <t>Width</t>
  </si>
  <si>
    <t>Height</t>
  </si>
  <si>
    <t>Min Temperature</t>
  </si>
  <si>
    <t>Max Temperature</t>
  </si>
  <si>
    <t>Cut Out Length</t>
  </si>
  <si>
    <t>Cut Out Width</t>
  </si>
  <si>
    <t>Flush Fill Capacity</t>
  </si>
  <si>
    <t>Inside Height</t>
  </si>
  <si>
    <t>Inside Length</t>
  </si>
  <si>
    <t>Inside Width</t>
  </si>
  <si>
    <t>Outside Height</t>
  </si>
  <si>
    <t>Outside Length</t>
  </si>
  <si>
    <t>Outside Width</t>
  </si>
  <si>
    <t>Practical Fill Capacity</t>
  </si>
  <si>
    <t>Material</t>
  </si>
  <si>
    <t>Country of Origin</t>
  </si>
  <si>
    <t>Each  UPC</t>
  </si>
  <si>
    <t>Case GTIN</t>
  </si>
  <si>
    <t>Case Weight</t>
  </si>
  <si>
    <t>Case Cube</t>
  </si>
  <si>
    <t>Case Length</t>
  </si>
  <si>
    <t>Case Width</t>
  </si>
  <si>
    <t>Case Height</t>
  </si>
  <si>
    <t>Pallet Case Qty</t>
  </si>
  <si>
    <t>Pallet Tier</t>
  </si>
  <si>
    <t>Pallet High</t>
  </si>
  <si>
    <t>Harmonized Code</t>
  </si>
  <si>
    <t>Freight Class</t>
  </si>
  <si>
    <t>Cut Out Corner Radius</t>
  </si>
  <si>
    <t>Insert Width</t>
  </si>
  <si>
    <t>Total Height</t>
  </si>
  <si>
    <t>Weight</t>
  </si>
  <si>
    <t>Capacity</t>
  </si>
  <si>
    <t>Diameter</t>
  </si>
  <si>
    <t>Inside Diameter</t>
  </si>
  <si>
    <t>Outside Diameter</t>
  </si>
  <si>
    <t>Top Lip Diameter</t>
  </si>
  <si>
    <t>Under Rim Diameter</t>
  </si>
  <si>
    <t>Material - Lid</t>
  </si>
  <si>
    <t>Depth</t>
  </si>
  <si>
    <t>Counter To Back Height</t>
  </si>
  <si>
    <t>Counter To Shield Height</t>
  </si>
  <si>
    <t>Length Exterior</t>
  </si>
  <si>
    <t>Length Interior</t>
  </si>
  <si>
    <t>Material - Frame</t>
  </si>
  <si>
    <t>Compartment Depth</t>
  </si>
  <si>
    <t>Height With Base</t>
  </si>
  <si>
    <t>Overall Height</t>
  </si>
  <si>
    <t>Overall Length</t>
  </si>
  <si>
    <t>Overall Width</t>
  </si>
  <si>
    <t>Shelf Height</t>
  </si>
  <si>
    <t>Total Width</t>
  </si>
  <si>
    <t>Spout Clearance</t>
  </si>
  <si>
    <t>Diameter Max</t>
  </si>
  <si>
    <t>Diameter Minimum</t>
  </si>
  <si>
    <t>Width Exterior</t>
  </si>
  <si>
    <t>Width Interior</t>
  </si>
  <si>
    <t>Bowl Depth</t>
  </si>
  <si>
    <t>Bowl Diameter</t>
  </si>
  <si>
    <t>Handle Diameter</t>
  </si>
  <si>
    <t>Handle Length</t>
  </si>
  <si>
    <t>Thickness</t>
  </si>
  <si>
    <t>Capacity  Practical Fill</t>
  </si>
  <si>
    <t>Capacity Flush Fill</t>
  </si>
  <si>
    <t>Diameter Inside</t>
  </si>
  <si>
    <t>Diameter Outside</t>
  </si>
  <si>
    <t>Height Inside</t>
  </si>
  <si>
    <t>Height Outside</t>
  </si>
  <si>
    <t>Overall Diameter</t>
  </si>
  <si>
    <t>Lip Diameter</t>
  </si>
  <si>
    <t>Under Lip Diameter</t>
  </si>
  <si>
    <t>Compartment Length</t>
  </si>
  <si>
    <t>Compartment Width</t>
  </si>
  <si>
    <t>Hole Diameter</t>
  </si>
  <si>
    <t>Top Diameter</t>
  </si>
  <si>
    <t>Bottom Width</t>
  </si>
  <si>
    <t>Top Width</t>
  </si>
  <si>
    <t>Individual Well Capacity</t>
  </si>
  <si>
    <t>Individual Well Height</t>
  </si>
  <si>
    <t>Individual Well Length</t>
  </si>
  <si>
    <t>Individual Well Width</t>
  </si>
  <si>
    <t>Total Length</t>
  </si>
  <si>
    <t>Total Well Capacity</t>
  </si>
  <si>
    <t>Total Well Height</t>
  </si>
  <si>
    <t>Total Well Length</t>
  </si>
  <si>
    <t>Total Well Width</t>
  </si>
  <si>
    <t>Width (widest point)</t>
  </si>
  <si>
    <t>Inside Depth</t>
  </si>
  <si>
    <t>Base Diameter</t>
  </si>
  <si>
    <t>Inside Diameter Base</t>
  </si>
  <si>
    <t>Base Diameter Length</t>
  </si>
  <si>
    <t>Base Diameter Width</t>
  </si>
  <si>
    <t>Top Diameter Length</t>
  </si>
  <si>
    <t>Top Diameter Width</t>
  </si>
  <si>
    <t>Rim</t>
  </si>
  <si>
    <t>Bottom Diameter</t>
  </si>
  <si>
    <t>Head Diameter</t>
  </si>
  <si>
    <t>Diameter Bottom</t>
  </si>
  <si>
    <t>Diameter Top</t>
  </si>
  <si>
    <t>Bottom Length</t>
  </si>
  <si>
    <t>Inside Base Diameter</t>
  </si>
  <si>
    <t>Wall Thickness</t>
  </si>
  <si>
    <t>Cup Depth</t>
  </si>
  <si>
    <t>Capacity Per Compartment</t>
  </si>
  <si>
    <t>Capacity (Weight)</t>
  </si>
  <si>
    <t>Mouth Diameter</t>
  </si>
  <si>
    <t>Top Length</t>
  </si>
  <si>
    <t>Base Length</t>
  </si>
  <si>
    <t>Base Width</t>
  </si>
  <si>
    <t>Height With Handle</t>
  </si>
  <si>
    <t>Width Diameter</t>
  </si>
  <si>
    <t>Gauge</t>
  </si>
  <si>
    <t>Open Diameter</t>
  </si>
  <si>
    <t>Material - Shell</t>
  </si>
  <si>
    <t>Tray Bottom Length</t>
  </si>
  <si>
    <t>Tray Bottom Width</t>
  </si>
  <si>
    <t>Interior Length</t>
  </si>
  <si>
    <t>Interior Width</t>
  </si>
  <si>
    <t>Internal Height</t>
  </si>
  <si>
    <t>Cup Height</t>
  </si>
  <si>
    <t>Exterior Length</t>
  </si>
  <si>
    <t>Exterior Width</t>
  </si>
  <si>
    <t>Usable Space Max Length</t>
  </si>
  <si>
    <t>Usable Space Max Width</t>
  </si>
  <si>
    <t>Usable Space Min Length</t>
  </si>
  <si>
    <t>Usable Space Min Width</t>
  </si>
  <si>
    <t>With Casters Height</t>
  </si>
  <si>
    <t>Material - Insulation</t>
  </si>
  <si>
    <t>With Handle Length</t>
  </si>
  <si>
    <t>With Handle Width</t>
  </si>
  <si>
    <t>Interior Mouth Length</t>
  </si>
  <si>
    <t>Exterior Height</t>
  </si>
  <si>
    <t>Dolly Depth</t>
  </si>
  <si>
    <t>Wire Thickness</t>
  </si>
  <si>
    <t>Material - Handle</t>
  </si>
  <si>
    <t>https://www.carlislefsp.com/food-bars-and-accessories/coldmaster-cool-check/CM1104C1402</t>
  </si>
  <si>
    <t>CM1104C1402</t>
  </si>
  <si>
    <t>https://catalog.carlislefsp.com/images/1600x1600/296557.jpg</t>
  </si>
  <si>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</si>
  <si>
    <t>6.84 in | 17.37 cm</t>
  </si>
  <si>
    <t>6.25 in | 15.88 cm</t>
  </si>
  <si>
    <t>5.91 in | 15.01 cm</t>
  </si>
  <si>
    <t>32.00 °F | 0.00 °C</t>
  </si>
  <si>
    <t>150.00 °F | 65.56 °C</t>
  </si>
  <si>
    <t>5.88 in | 14.94 cm</t>
  </si>
  <si>
    <t>5.32 in | 13.51 cm</t>
  </si>
  <si>
    <t>1.25 qt | 1.18 l</t>
  </si>
  <si>
    <t>5.50 in | 13.97 cm</t>
  </si>
  <si>
    <t>4.19 in | 10.64 cm</t>
  </si>
  <si>
    <t>3.63 in | 9.22 cm</t>
  </si>
  <si>
    <t>1.00 qt | 0.95 l</t>
  </si>
  <si>
    <t>ABS</t>
  </si>
  <si>
    <t>Mexico</t>
  </si>
  <si>
    <t>2.45 lb | 1.11 kg</t>
  </si>
  <si>
    <t>0.33 ft3 | 0.01 m3</t>
  </si>
  <si>
    <t>8.10 in | 20.57 cm</t>
  </si>
  <si>
    <t>8.70 in | 22.10 cm</t>
  </si>
  <si>
    <t xml:space="preserve">150 | </t>
  </si>
  <si>
    <t xml:space="preserve">30 | </t>
  </si>
  <si>
    <t xml:space="preserve">5 | </t>
  </si>
  <si>
    <t>https://www.carlislefsp.com/food-bars-and-accessories/coldmaster-standard-food-pans-and-lids/CM110102</t>
  </si>
  <si>
    <t>CM110102</t>
  </si>
  <si>
    <t>https://catalog.carlislefsp.com/images/1600x1600/296529.jpg</t>
  </si>
  <si>
    <t>• Insulated – Non-toxic, gel-filled walls keep food cold for up to 8 hours
• Mess-Free – Eliminates the need for messy, unsanitary ice baths
• 6-Quart Capacity – Ideal for serving sides, condiments, toppings and sauces
• Smooth Corners – Decrease food waste and facilitate deeper cleaning
• NSF Listed as NCM1101</t>
  </si>
  <si>
    <t>11.50 in | 29.21 cm</t>
  </si>
  <si>
    <t>9.13 in | 23.19 cm</t>
  </si>
  <si>
    <t>7.00 qt | 6.62 l</t>
  </si>
  <si>
    <t>5.59 in | 14.20 cm</t>
  </si>
  <si>
    <t>9.85 in | 25.02 cm</t>
  </si>
  <si>
    <t>6.01 in | 15.27 cm</t>
  </si>
  <si>
    <t>12.73 in | 32.33 cm</t>
  </si>
  <si>
    <t>10.36 in | 26.31 cm</t>
  </si>
  <si>
    <t>6.00 qt | 5.68 l</t>
  </si>
  <si>
    <t>5.45 lb | 2.47 kg</t>
  </si>
  <si>
    <t>0.57 ft3 | 0.02 m3</t>
  </si>
  <si>
    <t>13.40 in | 34.04 cm</t>
  </si>
  <si>
    <t>10.80 in | 27.43 cm</t>
  </si>
  <si>
    <t>6.80 in | 17.27 cm</t>
  </si>
  <si>
    <t xml:space="preserve">84 | </t>
  </si>
  <si>
    <t xml:space="preserve">12 | </t>
  </si>
  <si>
    <t xml:space="preserve">7 | </t>
  </si>
  <si>
    <t>1.50 in | 3.81 cm</t>
  </si>
  <si>
    <t>7.46 in | 18.95 cm</t>
  </si>
  <si>
    <t>6.00 in | 15.24 cm</t>
  </si>
  <si>
    <t>https://www.carlislefsp.com/food-bars-and-accessories/polycarbonate-spoons/446005</t>
  </si>
  <si>
    <t>https://catalog.carlislefsp.com/images/1600x1600/267540.jpg</t>
  </si>
  <si>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</si>
  <si>
    <t>9.00 in | 22.86 cm</t>
  </si>
  <si>
    <t>1.00 in | 2.54 cm</t>
  </si>
  <si>
    <t>-40.00 °F | -40.00 °C</t>
  </si>
  <si>
    <t>212.00 °F | 100.00 °C</t>
  </si>
  <si>
    <t>Polycarbonate (PC)</t>
  </si>
  <si>
    <t>1.00 lb | 0.45 kg</t>
  </si>
  <si>
    <t>0.05 ft3 | 0.00 m3</t>
  </si>
  <si>
    <t>9.81 in | 24.92 cm</t>
  </si>
  <si>
    <t>4.25 in | 10.79 cm</t>
  </si>
  <si>
    <t>2.00 in | 5.08 cm</t>
  </si>
  <si>
    <t xml:space="preserve">720 | </t>
  </si>
  <si>
    <t xml:space="preserve">36 | </t>
  </si>
  <si>
    <t xml:space="preserve">20 | </t>
  </si>
  <si>
    <t>0.08 lb | 0.04 kg</t>
  </si>
  <si>
    <t>0.50 fl oz | 0.01 l</t>
  </si>
  <si>
    <t>https://www.carlislefsp.com/food-bars-and-accessories/coldmaster-crocks/CM103003</t>
  </si>
  <si>
    <t>CM103003</t>
  </si>
  <si>
    <t>https://catalog.carlislefsp.com/images/1600x1600/355022.jpg</t>
  </si>
  <si>
    <t>• Insulated – Non-toxic, gel-filled walls keep food cold for up to 8 hours
• Mess-Free – Eliminates the need for messy, unsanitary ice baths
• Raised Coaster – Elevates crock to conserve cold temperatures
• 2-Quart Capacity – Ideal for serving sides, condiments, toppings and sauces
• Smooth Corners – Decrease food waste and facilitate deeper cleaning
• NSF Listed as NCM 1030</t>
  </si>
  <si>
    <t>7.25 in | 18.41 cm</t>
  </si>
  <si>
    <t>180.00 °F | 82.22 °C</t>
  </si>
  <si>
    <t>2.22 qt | 2.10 l</t>
  </si>
  <si>
    <t>6.31 in | 16.03 cm</t>
  </si>
  <si>
    <t>7.12 in | 18.08 cm</t>
  </si>
  <si>
    <t>2.00 qt | 1.89 l</t>
  </si>
  <si>
    <t>Polypropylene (PP)</t>
  </si>
  <si>
    <t>3.50 lb | 1.59 kg</t>
  </si>
  <si>
    <t>0.34 ft3 | 0.01 m3</t>
  </si>
  <si>
    <t>8.20 in | 20.83 cm</t>
  </si>
  <si>
    <t>7.80 in | 19.81 cm</t>
  </si>
  <si>
    <t>9.10 in | 23.11 cm</t>
  </si>
  <si>
    <t>5.25 in | 13.34 cm</t>
  </si>
  <si>
    <t>7.31 in | 18.57 cm</t>
  </si>
  <si>
    <t>https://www.carlislefsp.com/food-bars-and-accessories/coldmaster-cool-check/CM1105C1402</t>
  </si>
  <si>
    <t>CM1105C1402</t>
  </si>
  <si>
    <t>https://catalog.carlislefsp.com/images/1600x1600/296445.jpg</t>
  </si>
  <si>
    <t>6.88 in | 17.48 cm</t>
  </si>
  <si>
    <t>6.38 in | 16.21 cm</t>
  </si>
  <si>
    <t>1.80 qt | 1.70 l</t>
  </si>
  <si>
    <t>1.70 qt | 1.61 l</t>
  </si>
  <si>
    <t>2.40 lb | 1.09 kg</t>
  </si>
  <si>
    <t>8.60 in | 21.84 cm</t>
  </si>
  <si>
    <t xml:space="preserve">180 | </t>
  </si>
  <si>
    <t xml:space="preserve">6 | </t>
  </si>
  <si>
    <t>https://www.carlislefsp.com/food-bars-and-accessories/gourmet-crocks/703907</t>
  </si>
  <si>
    <t>https://catalog.carlislefsp.com/images/1600x1600/301423.jpg</t>
  </si>
  <si>
    <t>• translucent snap-on lids included
• unique bowl shaped rim with deep crock base
• stylish frosted pattern on rim helps hide scratches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N7039</t>
  </si>
  <si>
    <t>4.12 in | 10.46 cm</t>
  </si>
  <si>
    <t>4.00 lb | 1.81 kg</t>
  </si>
  <si>
    <t>0.66 ft3 | 0.02 m3</t>
  </si>
  <si>
    <t>9.25 in | 23.50 cm</t>
  </si>
  <si>
    <t>7.66 in | 19.46 cm</t>
  </si>
  <si>
    <t>16.12 in | 40.96 cm</t>
  </si>
  <si>
    <t xml:space="preserve">70 | </t>
  </si>
  <si>
    <t xml:space="preserve">14 | </t>
  </si>
  <si>
    <t>0.67 lb | 0.30 kg</t>
  </si>
  <si>
    <t>1.90 qt | 1.80 l</t>
  </si>
  <si>
    <t>6.12 in | 15.54 cm</t>
  </si>
  <si>
    <t>https://www.carlislefsp.com/food-bars-and-accessories/coldmaster-standard-food-pans-and-lids/CM110502</t>
  </si>
  <si>
    <t>CM110502</t>
  </si>
  <si>
    <t>https://catalog.carlislefsp.com/images/1600x1600/296450.jpg</t>
  </si>
  <si>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NCM1105</t>
  </si>
  <si>
    <t>5.63 in | 14.30 cm</t>
  </si>
  <si>
    <t>4.69 in | 11.91 cm</t>
  </si>
  <si>
    <t>https://www.carlislefsp.com/food-bars-and-accessories/sneeze-guards/916003</t>
  </si>
  <si>
    <t>https://catalog.carlislefsp.com/images/1600x1600/21595.jpg</t>
  </si>
  <si>
    <t>• Designed to fit Five Star™ Buffet Bars
• Diswasher Safe and for use in temperatures from 32° to 16°F
• The shield total width is 18” and the depth when mounted to the frame (at an angle) is 12”.</t>
  </si>
  <si>
    <t>60.00 in | 152.40 cm</t>
  </si>
  <si>
    <t>12.19 in | 30.96 cm</t>
  </si>
  <si>
    <t>25.50 in | 64.77 cm</t>
  </si>
  <si>
    <t>Acrylic</t>
  </si>
  <si>
    <t>32.50 lb | 14.74 kg</t>
  </si>
  <si>
    <t>7.66 ft3 | 0.22 m3</t>
  </si>
  <si>
    <t>27.50 in | 69.85 cm</t>
  </si>
  <si>
    <t>6.12 in | 15.56 cm</t>
  </si>
  <si>
    <t>78.62 in | 199.71 cm</t>
  </si>
  <si>
    <t xml:space="preserve">8 | </t>
  </si>
  <si>
    <t xml:space="preserve">1 | </t>
  </si>
  <si>
    <t>25.00 lb | 11.34 kg</t>
  </si>
  <si>
    <t>15.50 in | 39.37 cm</t>
  </si>
  <si>
    <t>58.00 in | 147.32 cm</t>
  </si>
  <si>
    <t>Aluminum</t>
  </si>
  <si>
    <t>https://www.carlislefsp.com/food-bars-and-accessories/six-star-food-bars/660503</t>
  </si>
  <si>
    <t>https://catalog.carlislefsp.com/images/1600x1600/261295.jpg</t>
  </si>
  <si>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Approx. 34” from the floor, to the top of the basin.
• BPA Free
• NSF Listed as N6605</t>
  </si>
  <si>
    <t>45.25 in | 114.94 cm</t>
  </si>
  <si>
    <t>38.00 in | 96.52 cm</t>
  </si>
  <si>
    <t>51.00 in | 129.54 cm</t>
  </si>
  <si>
    <t>160.00 °F | 71.11 °C</t>
  </si>
  <si>
    <t>Polyethylene (PE)</t>
  </si>
  <si>
    <t>United States</t>
  </si>
  <si>
    <t>84.00 lb | 38.10 kg</t>
  </si>
  <si>
    <t>24.34 ft3 | 0.69 m3</t>
  </si>
  <si>
    <t>36.88 in | 93.66 cm</t>
  </si>
  <si>
    <t>25.00 in | 63.50 cm</t>
  </si>
  <si>
    <t>45.62 in | 115.89 cm</t>
  </si>
  <si>
    <t>6.50 in | 16.51 cm</t>
  </si>
  <si>
    <t>34.00 in | 86.36 cm</t>
  </si>
  <si>
    <t>23.68 in | 60.15 cm</t>
  </si>
  <si>
    <t>32.00 in | 81.28 cm</t>
  </si>
  <si>
    <t>https://www.carlislefsp.com/food-bars-and-accessories/six-star-food-bars/662001</t>
  </si>
  <si>
    <t>https://catalog.carlislefsp.com/images/1600x1600/271612.jpg</t>
  </si>
  <si>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N6620</t>
  </si>
  <si>
    <t>44.00 in | 111.76 cm</t>
  </si>
  <si>
    <t>11.10 lb | 5.03 kg</t>
  </si>
  <si>
    <t>0.79 ft3 | 0.02 m3</t>
  </si>
  <si>
    <t>9.62 in | 24.45 cm</t>
  </si>
  <si>
    <t>2.67 in | 6.79 cm</t>
  </si>
  <si>
    <t>52.75 in | 133.99 cm</t>
  </si>
  <si>
    <t xml:space="preserve">60 | </t>
  </si>
  <si>
    <t xml:space="preserve">4 | </t>
  </si>
  <si>
    <t xml:space="preserve">15 | </t>
  </si>
  <si>
    <t>11.00 lb | 4.99 kg</t>
  </si>
  <si>
    <t>https://www.carlislefsp.com/food-bars-and-accessories/beverage-dispensers/220930</t>
  </si>
  <si>
    <t>https://catalog.carlislefsp.com/images/1600x1600/371872.jpg</t>
  </si>
  <si>
    <t>• Large Capacity – Holds five gallons for serving a variety of crowd sizes
• Drip Free Design – Bottom-centered spigots and flush gaskets dispense beverages cleanly and without leaks
• Snap On Lid – Tight-fighting lid covers dispenser opening to keep out dust and debris
• Carrying Handles – Built-out panels offer gripping areas for easy, slip-free carrying
• Beverage Labels – Included for labeling tea, lemonade, fruit punch, and sweetened and unsweetened tea</t>
  </si>
  <si>
    <t>15.43 in | 39.19 cm</t>
  </si>
  <si>
    <t>3.40 lb | 1.54 kg</t>
  </si>
  <si>
    <t>1.91 ft3 | 0.05 m3</t>
  </si>
  <si>
    <t>13.00 in | 33.02 cm</t>
  </si>
  <si>
    <t>12.70 in | 32.26 cm</t>
  </si>
  <si>
    <t>20.00 in | 50.80 cm</t>
  </si>
  <si>
    <t xml:space="preserve">18 | </t>
  </si>
  <si>
    <t xml:space="preserve">9 | </t>
  </si>
  <si>
    <t xml:space="preserve">2 | </t>
  </si>
  <si>
    <t>5.00 gal | 18.93 l</t>
  </si>
  <si>
    <t>12.37 in | 31.42 cm</t>
  </si>
  <si>
    <t>0.62 in | 1.59 cm</t>
  </si>
  <si>
    <t>https://www.carlislefsp.com/food-bars-and-accessories/coldmaster-chillers/CM110803</t>
  </si>
  <si>
    <t>CM110803</t>
  </si>
  <si>
    <t>https://catalog.carlislefsp.com/images/1600x1600/275237.jpg</t>
  </si>
  <si>
    <t>• Specific Fit – Designed to hold whipped cream canisters
• Inverted Design – Holds can upside down while keeping whipped cream at the top of the can for quick dispensing
• Refrigerant Gel Filling – Keeps food at or below the ServSafe® guidelines of 40°F for up to 8 hours when frozen overnight
• Sanitary – Restricts nozzle exposure from environmental contaminants
• Efficient – Store whipped cream at the drive-thru door for ultra-fast service</t>
  </si>
  <si>
    <t>7.75 in | 19.68 cm</t>
  </si>
  <si>
    <t>6.15 in | 15.62 cm</t>
  </si>
  <si>
    <t>3.45 lb | 1.56 kg</t>
  </si>
  <si>
    <t>0.25 ft3 | 0.01 m3</t>
  </si>
  <si>
    <t>7.30 in | 18.54 cm</t>
  </si>
  <si>
    <t>7.00 in | 17.78 cm</t>
  </si>
  <si>
    <t>1.28 in | 3.25 cm</t>
  </si>
  <si>
    <t>9.11 in | 23.13 cm</t>
  </si>
  <si>
    <t>7.50 in | 19.05 cm</t>
  </si>
  <si>
    <t>3.30 in | 8.38 cm</t>
  </si>
  <si>
    <t>2.50 in | 6.35 cm</t>
  </si>
  <si>
    <t>https://www.carlislefsp.com/food-bars-and-accessories/carly-tongs/460606</t>
  </si>
  <si>
    <t>https://catalog.carlislefsp.com/images/1600x1600/362671.jpg</t>
  </si>
  <si>
    <t>• Carries a two-year warranty*
• Made of revolutionary plastic material for strength and longevity
• can be used on high temperature surfaces like steam tables
• NSF Listed as N4606</t>
  </si>
  <si>
    <t>6.44 in | 16.36 cm</t>
  </si>
  <si>
    <t>1.31 in | 3.33 cm</t>
  </si>
  <si>
    <t>3.00 in | 7.62 cm</t>
  </si>
  <si>
    <t>300.00 °F | 148.89 °C</t>
  </si>
  <si>
    <t>Acetal</t>
  </si>
  <si>
    <t>0.50 lb | 0.23 kg</t>
  </si>
  <si>
    <t>0.13 ft3 | 0.00 m3</t>
  </si>
  <si>
    <t>4.50 in | 11.43 cm</t>
  </si>
  <si>
    <t>5.38 in | 13.65 cm</t>
  </si>
  <si>
    <t xml:space="preserve">390 | </t>
  </si>
  <si>
    <t xml:space="preserve">39 | </t>
  </si>
  <si>
    <t xml:space="preserve">10 | </t>
  </si>
  <si>
    <t>0.04 lb | 0.02 kg</t>
  </si>
  <si>
    <t>https://www.carlislefsp.com/food-bars-and-accessories/five-star-buffet-bar/767003</t>
  </si>
  <si>
    <t>https://catalog.carlislefsp.com/images/1600x1600/272803.jpg</t>
  </si>
  <si>
    <t>• tough polyethylene construction with textured finish; thick polyurethane foam insulation holds ice for hours
• BPA free
• Economical polyethylene will withstand temperatures from -4° to 18° F
• BPA Free
• NSF Listed as N7670</t>
  </si>
  <si>
    <t>24.87 in | 63.17 cm</t>
  </si>
  <si>
    <t>6.62 in | 16.81 cm</t>
  </si>
  <si>
    <t>42.62 in | 108.25 cm</t>
  </si>
  <si>
    <t>24.38 in | 61.93 cm</t>
  </si>
  <si>
    <t>18.90 lb | 8.57 kg</t>
  </si>
  <si>
    <t>4.64 ft3 | 0.13 m3</t>
  </si>
  <si>
    <t>25.75 in | 65.41 cm</t>
  </si>
  <si>
    <t>6.75 in | 17.14 cm</t>
  </si>
  <si>
    <t>46.12 in | 117.16 cm</t>
  </si>
  <si>
    <t>19.00 lb | 8.62 kg</t>
  </si>
  <si>
    <t>4.62 in | 11.73 cm</t>
  </si>
  <si>
    <t>38.87 in | 98.73 cm</t>
  </si>
  <si>
    <t>19.87 in | 50.47 cm</t>
  </si>
  <si>
    <t>https://www.carlislefsp.com/food-bars-and-accessories/coldmaster-crocks/CM103307</t>
  </si>
  <si>
    <t>CM103307</t>
  </si>
  <si>
    <t>https://catalog.carlislefsp.com/images/1600x1600/301876.jpg</t>
  </si>
  <si>
    <t>• Cut-Out Notch – Allows the lid to close with a serving utensil inside for convenient serving
• Molded Knob – Facilitates easy grasping
• Acrylic Construction – Shatter-resistant and allows easy content viewing
• Flat Base Rim – Sits flush against crock top preserving optimal cold temperatures</t>
  </si>
  <si>
    <t>0.47 lb | 0.21 kg</t>
  </si>
  <si>
    <t>0.09 ft3 | 0.00 m3</t>
  </si>
  <si>
    <t>7.63 in | 19.38 cm</t>
  </si>
  <si>
    <t>2.75 in | 6.99 cm</t>
  </si>
  <si>
    <t xml:space="preserve">540 | </t>
  </si>
  <si>
    <t>https://www.carlislefsp.com/food-bars-and-accessories/sneeze-guards/934507</t>
  </si>
  <si>
    <t>https://catalog.carlislefsp.com/images/1600x1600/260000.jpg</t>
  </si>
  <si>
    <t>• Diswasher Safe and for use in temperatures from 32° to 16°F
• The shield total width is 18” and the depth when mounted to the frame (at an angle) is 12”.</t>
  </si>
  <si>
    <t>18.00 in | 45.72 cm</t>
  </si>
  <si>
    <t>48.00 in | 121.92 cm</t>
  </si>
  <si>
    <t>0.19 in | 0.48 cm</t>
  </si>
  <si>
    <t>12.90 lb | 5.85 kg</t>
  </si>
  <si>
    <t>2.59 ft3 | 0.07 m3</t>
  </si>
  <si>
    <t>52.00 in | 132.08 cm</t>
  </si>
  <si>
    <t>21.50 in | 54.61 cm</t>
  </si>
  <si>
    <t>4.00 in | 10.16 cm</t>
  </si>
  <si>
    <t>13.00 lb | 5.90 kg</t>
  </si>
  <si>
    <t>https://www.carlislefsp.com/food-bars-and-accessories/poly-tuf-crocks/031130</t>
  </si>
  <si>
    <t>https://catalog.carlislefsp.com/images/1600x1600/268983.jpg</t>
  </si>
  <si>
    <t>• Fits 0300, 0301 &amp; 0341
• Translucent snap-on lids included
• Thick-walled heavyweight design; made of SAN
• Excellent chemical resistance to food acids, dressings
• High-gloss finish is extremely scuff-resistant
• 0° to 180°F temperature range
• 0300 .6 qt fits inside 0301 1.2 qt for smaller portions
• BPA Free
• NSF Listed as N0311</t>
  </si>
  <si>
    <t>5.13 in | 13.03 cm</t>
  </si>
  <si>
    <t>0.38 in | 0.97 cm</t>
  </si>
  <si>
    <t>0.10 ft3 | 0.00 m3</t>
  </si>
  <si>
    <t>5.75 in | 14.61 cm</t>
  </si>
  <si>
    <t>5.40 in | 13.72 cm</t>
  </si>
  <si>
    <t xml:space="preserve">240 | </t>
  </si>
  <si>
    <t>https://www.carlislefsp.com/food-bars-and-accessories/sneeze-guards/900131</t>
  </si>
  <si>
    <t>• Polycarbonate (PC) is resistant to staining, breaking and chipping
• Designed to fit FiveHStar™ Buffet Bars</t>
  </si>
  <si>
    <t>0.25 lb | 0.11 kg</t>
  </si>
  <si>
    <t>4.40 in | 11.18 cm</t>
  </si>
  <si>
    <t xml:space="preserve">990 | </t>
  </si>
  <si>
    <t xml:space="preserve">90 | </t>
  </si>
  <si>
    <t xml:space="preserve">11 | </t>
  </si>
  <si>
    <t>https://www.carlislefsp.com/food-bars-and-accessories/measure-misers/432606</t>
  </si>
  <si>
    <t>https://catalog.carlislefsp.com/images/1600x1600/268480.jpg</t>
  </si>
  <si>
    <t>• Precise Portioning – Measured cup creates consistent proportions
• Flat Bottom – Spreads sauce and toppings easily
• Hanging Hole – Sanitarily store and organize
• NSF Listed as N4326</t>
  </si>
  <si>
    <t>7.99 in | 20.29 cm</t>
  </si>
  <si>
    <t>0.20 ft3 | 0.01 m3</t>
  </si>
  <si>
    <t>3.19 in | 8.10 cm</t>
  </si>
  <si>
    <t>14.38 in | 36.51 cm</t>
  </si>
  <si>
    <t>3.00 fl oz | 0.09 l</t>
  </si>
  <si>
    <t>2.62 in | 6.67 cm</t>
  </si>
  <si>
    <t>1.25 in | 3.17 cm</t>
  </si>
  <si>
    <t>1.73 in | 4.39 cm</t>
  </si>
  <si>
    <t>2.76 in | 7.01 cm</t>
  </si>
  <si>
    <t>5.24 in | 13.31 cm</t>
  </si>
  <si>
    <t>https://www.carlislefsp.com/food-bars-and-accessories/topping-rails/38504</t>
  </si>
  <si>
    <t>https://catalog.carlislefsp.com/images/1600x1600/340675.jpg</t>
  </si>
  <si>
    <t>• Adjustable Portions – Pump and restrictor clips dispense 1/2 ounce, 1 ounce or 1 1/4 ounce condiment portions
• Separate Jars – Dispense 2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</si>
  <si>
    <t>19.25 in | 48.90 cm</t>
  </si>
  <si>
    <t>12.50 in | 31.75 cm</t>
  </si>
  <si>
    <t>18-8 Stainless</t>
  </si>
  <si>
    <t>8.65 lb | 3.92 kg</t>
  </si>
  <si>
    <t>1.42 ft3 | 0.04 m3</t>
  </si>
  <si>
    <t>10.70 in | 27.18 cm</t>
  </si>
  <si>
    <t xml:space="preserve">32 | </t>
  </si>
  <si>
    <t>https://www.carlislefsp.com/food-bars-and-accessories/food-bar-accessories/775007</t>
  </si>
  <si>
    <t>https://catalog.carlislefsp.com/images/1600x1600/256835.jpg</t>
  </si>
  <si>
    <t>• Diswasher Safe and for use in temperatures from 32° to 160°F
• Holds six full size food pans (20% more than any other similar system), or use with crocks and bowls
• Use with ice or with Coldmaster® Standard Food Pans; to keep food at 40˚F or below for up to eight hours
• Double-sided acrylic sneeze guard attaches to post with six screw-in knobs</t>
  </si>
  <si>
    <t>30.00 lb | 13.61 kg</t>
  </si>
  <si>
    <t>13.88 ft3 | 0.39 m3</t>
  </si>
  <si>
    <t>73.50 in | 186.69 cm</t>
  </si>
  <si>
    <t>43.50 in | 110.49 cm</t>
  </si>
  <si>
    <t>https://www.carlislefsp.com/food-bars-and-accessories/coldmaster-standard-food-pans-and-lids/CM112507</t>
  </si>
  <si>
    <t>CM112507</t>
  </si>
  <si>
    <t>https://catalog.carlislefsp.com/images/1600x1600/269981.jpg</t>
  </si>
  <si>
    <t>• Full Coverage – Eliminates exposure to airborne contaminants
• Molded Handle – Facilitates easy removal
• Specific Fit – Designed to fit Coldmaster® full-size food pans</t>
  </si>
  <si>
    <t>20.65 in | 52.45 cm</t>
  </si>
  <si>
    <t>12.68 in | 32.21 cm</t>
  </si>
  <si>
    <t>0.13 in | 0.33 cm</t>
  </si>
  <si>
    <t>5.80 lb | 2.63 kg</t>
  </si>
  <si>
    <t>1.50 ft3 | 0.04 m3</t>
  </si>
  <si>
    <t>24.20 in | 61.47 cm</t>
  </si>
  <si>
    <t>14.50 in | 36.83 cm</t>
  </si>
  <si>
    <t>7.40 in | 18.80 cm</t>
  </si>
  <si>
    <t xml:space="preserve">48 | </t>
  </si>
  <si>
    <t>https://www.carlislefsp.com/food-bars-and-accessories/color-coordinated-accessories/446005</t>
  </si>
  <si>
    <t>https://www.carlislefsp.com/food-bars-and-accessories/coldmaster-ice-cream-server-and-lid/38655</t>
  </si>
  <si>
    <t>https://catalog.carlislefsp.com/images/1600x1600/297262.jpg</t>
  </si>
  <si>
    <t>• Mess Free – Eliminates need for messy, unsanitary ice baths
• Portable – Ideal choice for portable ice creaming serving as it requires no electricity or ice
• 3-Gallon Capacity – 10” inner diameter accommodates standard 3-gallon ice cream containers
• Classic Look – Silver finish and black trim offers an elegant look to enhance any event</t>
  </si>
  <si>
    <t>10.88 in | 27.62 cm</t>
  </si>
  <si>
    <t>7.00 lb | 3.18 kg</t>
  </si>
  <si>
    <t>1.52 ft3 | 0.04 m3</t>
  </si>
  <si>
    <t>13.80 in | 35.05 cm</t>
  </si>
  <si>
    <t xml:space="preserve">27 | </t>
  </si>
  <si>
    <t xml:space="preserve">3 | </t>
  </si>
  <si>
    <t>12.00 in | 30.48 cm</t>
  </si>
  <si>
    <t>0.05 in | 0.12 cm</t>
  </si>
  <si>
    <t>https://www.carlislefsp.com/food-bars-and-accessories/pasta-forks/435503</t>
  </si>
  <si>
    <t>https://catalog.carlislefsp.com/images/1600x1600/267535.jpg</t>
  </si>
  <si>
    <t>• Carry a two-year WARRANTY
• 9-1/2" Buffet Pasta Fork is ideal for use in salad bars and buffets
• Heavy-duty 13-1/2" fork is perfect for back-of-the-house use
• 4350's notched handle rests on edge of food pan
• Polycarbonate is sometimes weakened by repeated cycles in a dishwasher and stress cracks are one of the indicators of this. Polycarbonate may be considered dishwasher safe but damage resulting from washing may vary depending on temperature and location in dishwasher.</t>
  </si>
  <si>
    <t>9.50 in | 24.13 cm</t>
  </si>
  <si>
    <t>5.00 in | 12.70 cm</t>
  </si>
  <si>
    <t>1.10 lb | 0.50 kg</t>
  </si>
  <si>
    <t>0.30 ft3 | 0.01 m3</t>
  </si>
  <si>
    <t>8.00 in | 20.32 cm</t>
  </si>
  <si>
    <t xml:space="preserve">225 | </t>
  </si>
  <si>
    <t>https://www.carlislefsp.com/food-bars-and-accessories/coldmaster-condiment-bar-organizers/CM106502</t>
  </si>
  <si>
    <t>https://www.carlislefsp.com/food-bars-and-accessories/color-coordinated-accessories/447003</t>
  </si>
  <si>
    <t>https://catalog.carlislefsp.com/images/1600x1600/365462.jpg</t>
  </si>
  <si>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N4470</t>
  </si>
  <si>
    <t>10.00 in | 25.40 cm</t>
  </si>
  <si>
    <t>0.75 lb | 0.34 kg</t>
  </si>
  <si>
    <t>0.07 ft3 | 0.00 m3</t>
  </si>
  <si>
    <t>10.90 in | 27.69 cm</t>
  </si>
  <si>
    <t>5.30 in | 13.46 cm</t>
  </si>
  <si>
    <t>2.20 in | 5.59 cm</t>
  </si>
  <si>
    <t xml:space="preserve">700 | </t>
  </si>
  <si>
    <t xml:space="preserve">35 | </t>
  </si>
  <si>
    <t>0.80 fl oz | 0.02 l</t>
  </si>
  <si>
    <t>https://www.carlislefsp.com/food-bars-and-accessories/coldmaster-coldpans/CM104203</t>
  </si>
  <si>
    <t>CM104203</t>
  </si>
  <si>
    <t>https://catalog.carlislefsp.com/images/1600x1600/274877.jpg</t>
  </si>
  <si>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
• NSF Listed as NCM1042</t>
  </si>
  <si>
    <t>22.50 in | 57.15 cm</t>
  </si>
  <si>
    <t>14.38 in | 36.53 cm</t>
  </si>
  <si>
    <t>6.02 in | 15.29 cm</t>
  </si>
  <si>
    <t>19.80 in | 50.29 cm</t>
  </si>
  <si>
    <t>11.77 in | 29.90 cm</t>
  </si>
  <si>
    <t>24.04 in | 61.06 cm</t>
  </si>
  <si>
    <t>16.03 in | 40.72 cm</t>
  </si>
  <si>
    <t>17.55 lb | 7.96 kg</t>
  </si>
  <si>
    <t>1.89 ft3 | 0.05 m3</t>
  </si>
  <si>
    <t>24.25 in | 61.59 cm</t>
  </si>
  <si>
    <t>16.40 in | 41.66 cm</t>
  </si>
  <si>
    <t xml:space="preserve">25 | </t>
  </si>
  <si>
    <t>7.38 in | 18.73 cm</t>
  </si>
  <si>
    <t>20.00 qt | 18.93 l</t>
  </si>
  <si>
    <t>24.10 qt | 22.81 l</t>
  </si>
  <si>
    <t>https://www.carlislefsp.com/food-bars-and-accessories/measure-misers/432206</t>
  </si>
  <si>
    <t>https://catalog.carlislefsp.com/images/1600x1600/268770.jpg</t>
  </si>
  <si>
    <t>• Precise Portioning – Measured cup creates consistent proportions
• Flat Bottom – Spreads sauce and toppings easily
• Hanging Hole – Sanitarily store and organize
• NSF Listed as N4322</t>
  </si>
  <si>
    <t>7.13 in | 18.11 cm</t>
  </si>
  <si>
    <t>1.20 lb | 0.54 kg</t>
  </si>
  <si>
    <t>0.19 ft3 | 0.01 m3</t>
  </si>
  <si>
    <t>15.00 in | 38.10 cm</t>
  </si>
  <si>
    <t xml:space="preserve">16 | </t>
  </si>
  <si>
    <t>1.50 fl oz | 0.04 l</t>
  </si>
  <si>
    <t>0.87 in | 2.21 cm</t>
  </si>
  <si>
    <t>2.61 in | 6.63 cm</t>
  </si>
  <si>
    <t>4.53 in | 11.51 cm</t>
  </si>
  <si>
    <t>https://www.carlislefsp.com/food-bars-and-accessories/coldmaster-products/CM101202</t>
  </si>
  <si>
    <t>CM101202</t>
  </si>
  <si>
    <t>https://catalog.carlislefsp.com/images/1600x1600/345192.jpg</t>
  </si>
  <si>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</si>
  <si>
    <t>9.90 lb | 4.49 kg</t>
  </si>
  <si>
    <t>1.80 ft3 | 0.05 m3</t>
  </si>
  <si>
    <t>13.60 in | 34.54 cm</t>
  </si>
  <si>
    <t>16.60 in | 42.16 cm</t>
  </si>
  <si>
    <t>3.00 gal | 11.36 l</t>
  </si>
  <si>
    <t>10.06 in | 25.55 cm</t>
  </si>
  <si>
    <t>11.25 in | 28.57 cm</t>
  </si>
  <si>
    <t>11.00 in | 27.94 cm</t>
  </si>
  <si>
    <t>12.38 in | 31.45 cm</t>
  </si>
  <si>
    <t>https://www.carlislefsp.com/food-bars-and-accessories/coldmaster-standard-food-pans-and-lids/CM110002</t>
  </si>
  <si>
    <t>CM110002</t>
  </si>
  <si>
    <t>https://catalog.carlislefsp.com/images/1600x1600/269941.jpg</t>
  </si>
  <si>
    <t>• Insulated – Non-toxic, gel-filled walls keep food cold for up to 8 hours
• Mess-Free – Eliminates the need for messy, unsanitary ice baths
• 14-Quart Capacity – Ideal for serving sides, entrees, desserts and more
• Smooth Corners – Decrease food waste and facilitate deeper cleaning
• NSF Listed as NCM1100</t>
  </si>
  <si>
    <t>20.68 in | 52.53 cm</t>
  </si>
  <si>
    <t>6.40 in | 16.26 cm</t>
  </si>
  <si>
    <t>19.50 in | 49.53 cm</t>
  </si>
  <si>
    <t>11.60 in | 29.46 cm</t>
  </si>
  <si>
    <t>15.50 qt | 14.67 l</t>
  </si>
  <si>
    <t>5.78 in | 14.68 cm</t>
  </si>
  <si>
    <t>17.70 in | 44.96 cm</t>
  </si>
  <si>
    <t>9.75 in | 24.77 cm</t>
  </si>
  <si>
    <t>12.72 in | 32.31 cm</t>
  </si>
  <si>
    <t>14.00 qt | 13.25 l</t>
  </si>
  <si>
    <t>11.15 lb | 5.06 kg</t>
  </si>
  <si>
    <t>1.24 ft3 | 0.04 m3</t>
  </si>
  <si>
    <t>21.20 in | 53.85 cm</t>
  </si>
  <si>
    <t>13.50 in | 34.29 cm</t>
  </si>
  <si>
    <t>6.37 in | 16.18 cm</t>
  </si>
  <si>
    <t>15.00 qt | 14.20 l</t>
  </si>
  <si>
    <t>https://www.carlislefsp.com/food-bars-and-accessories/six-star-food-bars/662103</t>
  </si>
  <si>
    <t>https://catalog.carlislefsp.com/images/1600x1600/271538.jpg</t>
  </si>
  <si>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N6621</t>
  </si>
  <si>
    <t>68.75 in | 174.62 cm</t>
  </si>
  <si>
    <t>8.50 in | 21.59 cm</t>
  </si>
  <si>
    <t>1.75 in | 4.45 cm</t>
  </si>
  <si>
    <t>14.70 lb | 6.67 kg</t>
  </si>
  <si>
    <t>1.15 ft3 | 0.03 m3</t>
  </si>
  <si>
    <t>77.00 in | 195.58 cm</t>
  </si>
  <si>
    <t>2.65 in | 6.73 cm</t>
  </si>
  <si>
    <t xml:space="preserve">72 | </t>
  </si>
  <si>
    <t>15.00 lb | 6.80 kg</t>
  </si>
  <si>
    <t>https://www.carlislefsp.com/food-bars-and-accessories/color-coordinated-accessories/446008</t>
  </si>
  <si>
    <t>https://catalog.carlislefsp.com/images/1600x1600/362876.jpg</t>
  </si>
  <si>
    <t>https://www.carlislefsp.com/food-bars-and-accessories/sneeze-guards/926003</t>
  </si>
  <si>
    <t>https://catalog.carlislefsp.com/images/1600x1600/364568.jpg</t>
  </si>
  <si>
    <t>• Designed to fit Five Star™ Buffet Bars
• Diswasher Safe and for use in temperatures from 32° to 16°F
• Max opening height 17.25"
• Min opening height 11.25"</t>
  </si>
  <si>
    <t>60.25 in | 153.03 cm</t>
  </si>
  <si>
    <t>12.44 in | 31.60 cm</t>
  </si>
  <si>
    <t>24.60 lb | 11.16 kg</t>
  </si>
  <si>
    <t>4.67 ft3 | 0.13 m3</t>
  </si>
  <si>
    <t>75.00 in | 190.50 cm</t>
  </si>
  <si>
    <t>24.50 lb | 11.11 kg</t>
  </si>
  <si>
    <t>58.25 in | 147.96 cm</t>
  </si>
  <si>
    <t>https://www.carlislefsp.com/food-bars-and-accessories/cm140/CM140607</t>
  </si>
  <si>
    <t>https://www.carlislefsp.com/food-bars-and-accessories/checkout-shields/2424CS07</t>
  </si>
  <si>
    <t>https://www.carlislefsp.com/food-bars-and-accessories/maximizer-food-bar/772159</t>
  </si>
  <si>
    <t>https://catalog.carlislefsp.com/images/1600x1600/272709.jpg</t>
  </si>
  <si>
    <t>• BPA free
• Economical polyethylene will withstand temperatures from -4° to 18° F
• BPA Free
• NSF Listed as N7721</t>
  </si>
  <si>
    <t>1.03 ft3 | 0.03 m3</t>
  </si>
  <si>
    <t>2.25 in | 5.71 cm</t>
  </si>
  <si>
    <t>11.44 in | 29.06 cm</t>
  </si>
  <si>
    <t>69.19 in | 175.74 cm</t>
  </si>
  <si>
    <t>10.25 in | 26.04 cm</t>
  </si>
  <si>
    <t>https://www.carlislefsp.com/food-bars-and-accessories/crocks/030107</t>
  </si>
  <si>
    <t>https://catalog.carlislefsp.com/images/1600x1600/284520.jpg</t>
  </si>
  <si>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N0301</t>
  </si>
  <si>
    <t>5.06 in | 12.85 cm</t>
  </si>
  <si>
    <t>5.18 in | 13.16 cm</t>
  </si>
  <si>
    <t>SAN</t>
  </si>
  <si>
    <t>7.20 lb | 3.27 kg</t>
  </si>
  <si>
    <t>1.21 ft3 | 0.03 m3</t>
  </si>
  <si>
    <t>11.10 in | 28.19 cm</t>
  </si>
  <si>
    <t xml:space="preserve">40 | </t>
  </si>
  <si>
    <t>1.20 qt | 1.14 l</t>
  </si>
  <si>
    <t>4.68 in | 11.89 cm</t>
  </si>
  <si>
    <t>https://www.carlislefsp.com/food-bars-and-accessories/crocks/030207</t>
  </si>
  <si>
    <t>https://catalog.carlislefsp.com/images/1600x1600/284613.jpg</t>
  </si>
  <si>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N0302</t>
  </si>
  <si>
    <t>6.56 in | 16.66 cm</t>
  </si>
  <si>
    <t>6.95 lb | 3.15 kg</t>
  </si>
  <si>
    <t>1.33 ft3 | 0.04 m3</t>
  </si>
  <si>
    <t>20.50 in | 52.07 cm</t>
  </si>
  <si>
    <t>14.20 in | 36.07 cm</t>
  </si>
  <si>
    <t>7.90 in | 20.07 cm</t>
  </si>
  <si>
    <t xml:space="preserve">42 | </t>
  </si>
  <si>
    <t>2.70 qt | 2.56 l</t>
  </si>
  <si>
    <t>6.16 in | 15.65 cm</t>
  </si>
  <si>
    <t>https://www.carlislefsp.com/food-bars-and-accessories/polycarbonate-spoons/445003</t>
  </si>
  <si>
    <t>https://catalog.carlislefsp.com/images/1600x1600/268186.jpg</t>
  </si>
  <si>
    <t>• Carry a two-year WARRANTY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N4450</t>
  </si>
  <si>
    <t>0.25 fl oz | 0.01 l</t>
  </si>
  <si>
    <t>https://www.carlislefsp.com/food-bars-and-accessories/six-star-food-bars/660103</t>
  </si>
  <si>
    <t>https://catalog.carlislefsp.com/images/1600x1600/247952.jpg</t>
  </si>
  <si>
    <t>• Easy to assemble
• BPA free
• Textured finish resists scratching and is simple to clean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Economical polyethylene will withstand temperatures from -40° to 180° F
• BPA Free
• NSF Listed as N6601</t>
  </si>
  <si>
    <t>72.12 in | 183.18 cm</t>
  </si>
  <si>
    <t>25.25 in | 64.14 cm</t>
  </si>
  <si>
    <t>106.00 lb | 48.08 kg</t>
  </si>
  <si>
    <t>24.29 ft3 | 0.69 m3</t>
  </si>
  <si>
    <t>73.00 in | 185.42 cm</t>
  </si>
  <si>
    <t>23.00 in | 58.42 cm</t>
  </si>
  <si>
    <t>109.00 lb | 49.44 kg</t>
  </si>
  <si>
    <t>65.25 in | 165.74 cm</t>
  </si>
  <si>
    <t>https://www.carlislefsp.com/food-bars-and-accessories/sneeze-guards/917207</t>
  </si>
  <si>
    <t>https://catalog.carlislefsp.com/images/1600x1600/364354.jpg</t>
  </si>
  <si>
    <t>• Designed to fit Five Star™ Buffet Bars
• Diswasher Safe and for use in temperatures from 32° to 16°F
• The shield total width is 18” and the depth when mounted to the frame (at an angle) is 12”.
• NSF Listed as N9172</t>
  </si>
  <si>
    <t>73.37 in | 186.36 cm</t>
  </si>
  <si>
    <t>35.65 lb | 16.17 kg</t>
  </si>
  <si>
    <t>7.50 ft3 | 0.21 m3</t>
  </si>
  <si>
    <t>78.50 in | 199.39 cm</t>
  </si>
  <si>
    <t>28.00 lb | 12.70 kg</t>
  </si>
  <si>
    <t>71.37 in | 181.28 cm</t>
  </si>
  <si>
    <t>https://www.carlislefsp.com/food-bars-and-accessories/coldmaster-ice-cream-server-and-lid/CM101307</t>
  </si>
  <si>
    <t>https://www.carlislefsp.com/food-bars-and-accessories/polycarbonate-spoons/442003</t>
  </si>
  <si>
    <t>https://catalog.carlislefsp.com/images/1600x1600/362228.jpg</t>
  </si>
  <si>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N4420</t>
  </si>
  <si>
    <t>1.60 lb | 0.73 kg</t>
  </si>
  <si>
    <t>0.18 ft3 | 0.01 m3</t>
  </si>
  <si>
    <t>17.10 in | 43.43 cm</t>
  </si>
  <si>
    <t xml:space="preserve">210 | </t>
  </si>
  <si>
    <t xml:space="preserve">21 | </t>
  </si>
  <si>
    <t>0.13 lb | 0.06 kg</t>
  </si>
  <si>
    <t>https://www.carlislefsp.com/food-bars-and-accessories/cm140/CM140407</t>
  </si>
  <si>
    <t>https://www.carlislefsp.com/food-bars-and-accessories/cm140/CM140202</t>
  </si>
  <si>
    <t>https://www.carlislefsp.com/food-bars-and-accessories/polycarbonate-spoons/447003</t>
  </si>
  <si>
    <t>https://www.carlislefsp.com/food-bars-and-accessories/cake-and-pie-covers-pedestals-and-domes/300407</t>
  </si>
  <si>
    <t>https://catalog.carlislefsp.com/images/1600x1600/285139.jpg</t>
  </si>
  <si>
    <t>• Clear covers display desserts and pastries
• Dishwasher-safe acrylic is sanitary and helps keep foods fresher longer
• BPA free
• SAN is resistant to staining, breaking and chipping</t>
  </si>
  <si>
    <t>14.00 in | 35.56 cm</t>
  </si>
  <si>
    <t>10.90 lb | 4.94 kg</t>
  </si>
  <si>
    <t>15.10 in | 38.35 cm</t>
  </si>
  <si>
    <t>14.80 in | 37.59 cm</t>
  </si>
  <si>
    <t xml:space="preserve">63 | </t>
  </si>
  <si>
    <t>0.93 lb | 0.42 kg</t>
  </si>
  <si>
    <t>https://www.carlislefsp.com/food-bars-and-accessories/beverage-dispensers/1085003</t>
  </si>
  <si>
    <t>https://catalog.carlislefsp.com/images/1600x1600/275633.jpg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</si>
  <si>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N10850</t>
  </si>
  <si>
    <t>16.38 in | 41.61 cm</t>
  </si>
  <si>
    <t>4.00 gal | 15.14 l</t>
  </si>
  <si>
    <t>3.50 gal | 13.25 l</t>
  </si>
  <si>
    <t>6.90 lb | 3.13 kg</t>
  </si>
  <si>
    <t>2.84 ft3 | 0.08 m3</t>
  </si>
  <si>
    <t>18.70 in | 47.50 cm</t>
  </si>
  <si>
    <t>22.60 in | 57.40 cm</t>
  </si>
  <si>
    <t>6.50 lb | 2.95 kg</t>
  </si>
  <si>
    <t>8.40 in | 21.34 cm</t>
  </si>
  <si>
    <t>https://www.carlislefsp.com/food-bars-and-accessories/pump-kits/38310</t>
  </si>
  <si>
    <t>https://catalog.carlislefsp.com/images/1600x1600/297805.jpg</t>
  </si>
  <si>
    <t>• Standard Plastic Pump can be set to dispense either 1/2 oz or 1 oz portion per stroke
• Pump Kit w/Standard Pump &amp; 5 Lids Including 1-1/2", 4‑5/16", 4-5/16"SP, 4-11/16", &amp; 6‑5/16" Lids
• Pump and lid sets screw or snap on allowing you to pump condiments directly from their containers
• Use pumps for condiments, dressings, and sauces
• Includes a trimmable plastic dip tube</t>
  </si>
  <si>
    <t>3.50 in | 8.89 cm</t>
  </si>
  <si>
    <t>3.00 lb | 1.36 kg</t>
  </si>
  <si>
    <t>0.62 ft3 | 0.02 m3</t>
  </si>
  <si>
    <t>9.31 in | 23.65 cm</t>
  </si>
  <si>
    <t>12.20 in | 30.99 cm</t>
  </si>
  <si>
    <t xml:space="preserve">144 | </t>
  </si>
  <si>
    <t>1.12 in | 2.86 cm</t>
  </si>
  <si>
    <t>https://www.carlislefsp.com/food-bars-and-accessories/color-coordinated-accessories/446002</t>
  </si>
  <si>
    <t>https://catalog.carlislefsp.com/images/1600x1600/268570.jpg</t>
  </si>
  <si>
    <t>https://www.carlislefsp.com/food-bars-and-accessories/poly-tuf-crocks/060230</t>
  </si>
  <si>
    <t>https://catalog.carlislefsp.com/images/1600x1600/267824.jpg</t>
  </si>
  <si>
    <t>• Snap-On Design – Keeps lid tightly snapped on top while keeping environmental contaminants out
• Rigid Construction – Sturdy polypropylene resists cracking and chipping
• Specific Fit – Accommodates 6 to 8 quart containers
• High Capacity – Stores 2 quarts of bulk food
• Available Fitted Lid – Snaps firmly on the rim to keep out environmental contaminants (sold separately)</t>
  </si>
  <si>
    <t>8.43 in | 21.41 cm</t>
  </si>
  <si>
    <t>0.37 in | 0.94 cm</t>
  </si>
  <si>
    <t>170.00 °F | 76.67 °C</t>
  </si>
  <si>
    <t>2.00 lb | 0.91 kg</t>
  </si>
  <si>
    <t>0.21 ft3 | 0.01 m3</t>
  </si>
  <si>
    <t>0.17 lb | 0.08 kg</t>
  </si>
  <si>
    <t>8.06 in | 20.47 cm</t>
  </si>
  <si>
    <t>https://www.carlislefsp.com/food-bars-and-accessories/coldmaster-standard-food-pans-and-lids/CM110402</t>
  </si>
  <si>
    <t>CM110402</t>
  </si>
  <si>
    <t>https://catalog.carlislefsp.com/images/1600x1600/365510.jpg</t>
  </si>
  <si>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NCM1104</t>
  </si>
  <si>
    <t>5.93 in | 15.06 cm</t>
  </si>
  <si>
    <t>https://www.carlislefsp.com/food-bars-and-accessories/crocks/031603</t>
  </si>
  <si>
    <t>https://catalog.carlislefsp.com/images/1600x1600/269185.jpg</t>
  </si>
  <si>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N0316</t>
  </si>
  <si>
    <t>4.06 in | 10.31 cm</t>
  </si>
  <si>
    <t>5.95 lb | 2.70 kg</t>
  </si>
  <si>
    <t>0.89 ft3 | 0.03 m3</t>
  </si>
  <si>
    <t>20.70 in | 52.58 cm</t>
  </si>
  <si>
    <t>14.30 in | 36.32 cm</t>
  </si>
  <si>
    <t>5.20 in | 13.21 cm</t>
  </si>
  <si>
    <t>1.50 qt | 1.42 l</t>
  </si>
  <si>
    <t>https://www.carlislefsp.com/food-bars-and-accessories/color-coordinated-accessories/435503</t>
  </si>
  <si>
    <t>https://www.carlislefsp.com/food-bars-and-accessories/color-coordinated-accessories/446006</t>
  </si>
  <si>
    <t>https://catalog.carlislefsp.com/images/1600x1600/364915.jpg</t>
  </si>
  <si>
    <t>https://www.carlislefsp.com/food-bars-and-accessories/color-coordinated-accessories/029503</t>
  </si>
  <si>
    <t>https://catalog.carlislefsp.com/images/1600x1600/267420.jpg</t>
  </si>
  <si>
    <t>• Carry a two-year WARRANTY
• One-piece polycarbonate construction improves durability and ease of cleaning
• Carly® style has 1 oz, oval-shaped bowl allows pouring of dressings from both sides; available in 9-1/2" and 13-1/2" lengths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N0295</t>
  </si>
  <si>
    <t>0.85 fl oz | 0.03 l</t>
  </si>
  <si>
    <t>0.45 fl oz | 0.01 l</t>
  </si>
  <si>
    <t>17.20 in | 43.69 cm</t>
  </si>
  <si>
    <t>3.40 in | 8.64 cm</t>
  </si>
  <si>
    <t xml:space="preserve">288 | </t>
  </si>
  <si>
    <t>2.38 in | 6.03 cm</t>
  </si>
  <si>
    <t>https://www.carlislefsp.com/food-bars-and-accessories/sneeze-guards/914803</t>
  </si>
  <si>
    <t>• Designed to fit Five Star™ Buffet Bars
• Diswasher Safe and for use in temperatures from 32° to 160°F
• The shield total width is 18” and the depth when mounted to the frame (at an angle) is 12”.</t>
  </si>
  <si>
    <t>25.10 lb | 11.39 kg</t>
  </si>
  <si>
    <t>4.32 ft3 | 0.12 m3</t>
  </si>
  <si>
    <t>26.82 in | 68.14 cm</t>
  </si>
  <si>
    <t>5.12 in | 13.02 cm</t>
  </si>
  <si>
    <t>54.25 in | 137.80 cm</t>
  </si>
  <si>
    <t>46.00 in | 116.84 cm</t>
  </si>
  <si>
    <t>https://www.carlislefsp.com/food-bars-and-accessories/polycarbonate-spoons/446003</t>
  </si>
  <si>
    <t>https://catalog.carlislefsp.com/images/1600x1600/362281.jpg</t>
  </si>
  <si>
    <t>https://www.carlislefsp.com/food-bars-and-accessories/six-star-food-bars/660603</t>
  </si>
  <si>
    <t>https://catalog.carlislefsp.com/images/1600x1600/21582.jpg</t>
  </si>
  <si>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Custom 6” Deep Pan Configurations – Fits (6) full size food pans, (12) one-half size food pans, (24) one-quarter size food pans or (36) one-sixth food pans
• Drain Plug – Attached to container base for draining efficiently and cleanly
• Easy Assembly – Add tray slides and end shelves (not included) without removing legs
• NSF Listed as N6606</t>
  </si>
  <si>
    <t>136.00 lb | 61.69 kg</t>
  </si>
  <si>
    <t>32.45 ft3 | 0.92 m3</t>
  </si>
  <si>
    <t>72.80 in | 184.91 cm</t>
  </si>
  <si>
    <t>24.75 in | 62.87 cm</t>
  </si>
  <si>
    <t>31.12 in | 79.06 cm</t>
  </si>
  <si>
    <t>38.50 in | 97.79 cm</t>
  </si>
  <si>
    <t>https://www.carlislefsp.com/food-bars-and-accessories/sneeze-guards/927203</t>
  </si>
  <si>
    <t>https://catalog.carlislefsp.com/images/1600x1600/363733.jpg</t>
  </si>
  <si>
    <t>73.62 in | 186.99 cm</t>
  </si>
  <si>
    <t>26.55 lb | 12.04 kg</t>
  </si>
  <si>
    <t>4.86 ft3 | 0.14 m3</t>
  </si>
  <si>
    <t>22.25 in | 56.52 cm</t>
  </si>
  <si>
    <t>75.50 in | 191.77 cm</t>
  </si>
  <si>
    <t>26.50 lb | 12.02 kg</t>
  </si>
  <si>
    <t>71.62 in | 181.91 cm</t>
  </si>
  <si>
    <t>https://www.carlislefsp.com/food-bars-and-accessories/color-coordinated-accessories/441003</t>
  </si>
  <si>
    <t>https://catalog.carlislefsp.com/images/1600x1600/268884.jpg</t>
  </si>
  <si>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N4410</t>
  </si>
  <si>
    <t>1.45 lb | 0.66 kg</t>
  </si>
  <si>
    <t>17.00 in | 43.18 cm</t>
  </si>
  <si>
    <t>https://www.carlislefsp.com/food-bars-and-accessories/polycarbonate-spoons/441103</t>
  </si>
  <si>
    <t>https://catalog.carlislefsp.com/images/1600x1600/301651.jpg</t>
  </si>
  <si>
    <t>• carry a two-year WARRANTY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N4411</t>
  </si>
  <si>
    <t>0.14 ft3 | 0.00 m3</t>
  </si>
  <si>
    <t>12.90 in | 32.77 cm</t>
  </si>
  <si>
    <t>3.31 in | 8.41 cm</t>
  </si>
  <si>
    <t>https://www.carlislefsp.com/food-bars-and-accessories/carly-tongs/471203</t>
  </si>
  <si>
    <t>https://catalog.carlislefsp.com/images/1600x1600/362868.jpg</t>
  </si>
  <si>
    <t>• Made of revolutionary plastic material for strength and longevity
• Carries a two-year warranty*
• can be used on high temperature surfaces like steam tables
• NSF Listed as N4712</t>
  </si>
  <si>
    <t>11.75 in | 29.84 cm</t>
  </si>
  <si>
    <t>2.30 lb | 1.04 kg</t>
  </si>
  <si>
    <t>0.24 ft3 | 0.01 m3</t>
  </si>
  <si>
    <t>14.90 in | 37.85 cm</t>
  </si>
  <si>
    <t>6.60 in | 16.76 cm</t>
  </si>
  <si>
    <t>4.30 in | 10.92 cm</t>
  </si>
  <si>
    <t xml:space="preserve">198 | </t>
  </si>
  <si>
    <t>https://www.carlislefsp.com/food-bars-and-accessories/color-coordinated-accessories/470905</t>
  </si>
  <si>
    <t>https://catalog.carlislefsp.com/images/1600x1600/365779.jpg</t>
  </si>
  <si>
    <t>• Made of revolutionary plastic material for strength and longevity
• Carries a two-year warranty*
• can be used on high temperature surfaces like steam tables
• NSF Listed as N4709</t>
  </si>
  <si>
    <t>8.85 in | 22.48 cm</t>
  </si>
  <si>
    <t>1.95 lb | 0.88 kg</t>
  </si>
  <si>
    <t>0.26 ft3 | 0.01 m3</t>
  </si>
  <si>
    <t>14.60 in | 37.08 cm</t>
  </si>
  <si>
    <t>4.60 in | 11.68 cm</t>
  </si>
  <si>
    <t>https://www.carlislefsp.com/food-bars-and-accessories/cold-unit-topping-rails/38623IB</t>
  </si>
  <si>
    <t>38623IB</t>
  </si>
  <si>
    <t>https://catalog.carlislefsp.com/images/1600x1600/280184.jpg</t>
  </si>
  <si>
    <t>• Adjustable Portions – Pump and restrictor clips dispense 1/2 ounce, 1 ounce or 1 1/4 ounce condiment portions
• Insulated Interior – Included ice packs keep condiments at ideal serving temperatures
• Separate Dispensers – Dispense 3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</si>
  <si>
    <t>15.88 in | 40.34 cm</t>
  </si>
  <si>
    <t>7.38 in | 18.75 cm</t>
  </si>
  <si>
    <t>12.00 lb | 5.44 kg</t>
  </si>
  <si>
    <t>1.06 ft3 | 0.03 m3</t>
  </si>
  <si>
    <t>9.90 in | 25.15 cm</t>
  </si>
  <si>
    <t>10.30 in | 26.16 cm</t>
  </si>
  <si>
    <t>https://www.carlislefsp.com/food-bars-and-accessories/coldmaster-coldpans/CM104002</t>
  </si>
  <si>
    <t>https://www.carlislefsp.com/food-bars-and-accessories/coldmaster-coldpans/CM1042LP02</t>
  </si>
  <si>
    <t>https://www.carlislefsp.com/food-bars-and-accessories/color-coordinated-accessories/470903</t>
  </si>
  <si>
    <t>https://catalog.carlislefsp.com/images/1600x1600/365112.jpg</t>
  </si>
  <si>
    <t>https://www.carlislefsp.com/food-bars-and-accessories/maximizer-food-bar/771103</t>
  </si>
  <si>
    <t>https://catalog.carlislefsp.com/images/1600x1600/21592.jpg</t>
  </si>
  <si>
    <t>• 6 ft Maximizer™ Food Bar offers upscale European styling
• Holds six full size food pans (20% more than any other similar system), or use with crocks and bowls
• Use with ice or with Coldmaster® Standard Food Pans; to keep food at 40øF or below for up to eight hours
• Double-sided acrylic sneeze guard attaches to post with six screw-in knobs; basin and cabinet come assembled - no tools required
• BPA free
• Economical polyethylene will withstand temperatures from -40° to 180° F
• BPA Free
• NSF Listed as N7711</t>
  </si>
  <si>
    <t>54.50 in | 138.43 cm</t>
  </si>
  <si>
    <t>48.25 in | 122.56 cm</t>
  </si>
  <si>
    <t>254.00 lb | 115.21 kg</t>
  </si>
  <si>
    <t>76.61 ft3 | 2.17 m3</t>
  </si>
  <si>
    <t>78.00 in | 198.12 cm</t>
  </si>
  <si>
    <t>38.75 in | 98.42 cm</t>
  </si>
  <si>
    <t>43.80 in | 111.25 cm</t>
  </si>
  <si>
    <t>360.00 lb | 163.29 kg</t>
  </si>
  <si>
    <t>15.00 gal | 56.78 l</t>
  </si>
  <si>
    <t>45.00 gal | 170.34 l</t>
  </si>
  <si>
    <t>74.25 in | 188.59 cm</t>
  </si>
  <si>
    <t>https://www.carlislefsp.com/food-bars-and-accessories/color-coordinated-accessories/471205</t>
  </si>
  <si>
    <t>https://catalog.carlislefsp.com/images/1600x1600/365378.jpg</t>
  </si>
  <si>
    <t>https://www.carlislefsp.com/food-bars-and-accessories/carly-tongs/480603</t>
  </si>
  <si>
    <t>https://catalog.carlislefsp.com/images/1600x1600/269161.jpg</t>
  </si>
  <si>
    <t>• can be used on high temperature surfaces like steam tables
• Polycarbonate (PC) is resistant to staining, breaking and chipping
• Carries a two-year warranty*
• Made of revolutionary plastic material for strength and longevity
• NSF Listed as N4806</t>
  </si>
  <si>
    <t>6.10 in | 15.49 cm</t>
  </si>
  <si>
    <t xml:space="preserve">65 | </t>
  </si>
  <si>
    <t xml:space="preserve">13 | </t>
  </si>
  <si>
    <t>https://www.carlislefsp.com/food-bars-and-accessories/beverage-dispensers/1085203</t>
  </si>
  <si>
    <t>https://catalog.carlislefsp.com/images/1600x1600/276165.jpg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</si>
  <si>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N10852</t>
  </si>
  <si>
    <t>7.05 lb | 3.20 kg</t>
  </si>
  <si>
    <t>18.80 in | 47.75 cm</t>
  </si>
  <si>
    <t>22.70 in | 57.66 cm</t>
  </si>
  <si>
    <t>https://www.carlislefsp.com/food-bars-and-accessories/coldmaster-standard-food-pans-and-lids/CM110503</t>
  </si>
  <si>
    <t>CM110503</t>
  </si>
  <si>
    <t>https://catalog.carlislefsp.com/images/1600x1600/296609.jpg</t>
  </si>
  <si>
    <t>https://www.carlislefsp.com/food-bars-and-accessories/color-coordinated-accessories/400907</t>
  </si>
  <si>
    <t>https://catalog.carlislefsp.com/images/1600x1600/284373.jpg</t>
  </si>
  <si>
    <t>• High heat temperature resistance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N4009-PC</t>
  </si>
  <si>
    <t>9.03 in | 22.94 cm</t>
  </si>
  <si>
    <t>1.85 lb | 0.84 kg</t>
  </si>
  <si>
    <t>14.70 in | 37.34 cm</t>
  </si>
  <si>
    <t>https://www.carlislefsp.com/food-bars-and-accessories/beverage-dispensers/1085303</t>
  </si>
  <si>
    <t>https://catalog.carlislefsp.com/images/1600x1600/275870.jpg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</si>
  <si>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N10853</t>
  </si>
  <si>
    <t>15.75 in | 40.01 cm</t>
  </si>
  <si>
    <t>8.00 gal | 30.28 l</t>
  </si>
  <si>
    <t>7.00 gal | 26.50 l</t>
  </si>
  <si>
    <t>12.05 lb | 5.47 kg</t>
  </si>
  <si>
    <t>4.01 ft3 | 0.11 m3</t>
  </si>
  <si>
    <t>17.80 in | 45.21 cm</t>
  </si>
  <si>
    <t>17.40 in | 44.20 cm</t>
  </si>
  <si>
    <t>22.40 in | 56.90 cm</t>
  </si>
  <si>
    <t>https://www.carlislefsp.com/food-bars-and-accessories/carly-tongs/460605</t>
  </si>
  <si>
    <t>https://catalog.carlislefsp.com/images/1600x1600/268590.jpg</t>
  </si>
  <si>
    <t>https://www.carlislefsp.com/food-bars-and-accessories/sneeze-guards/900503</t>
  </si>
  <si>
    <t>https://catalog.carlislefsp.com/images/1600x1600/6608.jpg</t>
  </si>
  <si>
    <t>• Designed to fit FiveHStar™ Buffet Bars</t>
  </si>
  <si>
    <t>600.00 °F | 315.56 °C</t>
  </si>
  <si>
    <t>0.16 ft3 | 0.00 m3</t>
  </si>
  <si>
    <t>6.20 in | 15.75 cm</t>
  </si>
  <si>
    <t xml:space="preserve">294 | </t>
  </si>
  <si>
    <t>0.28 lb | 0.13 kg</t>
  </si>
  <si>
    <t>https://www.carlislefsp.com/food-bars-and-accessories/measure-misers/436206</t>
  </si>
  <si>
    <t>https://catalog.carlislefsp.com/images/1600x1600/362240.jpg</t>
  </si>
  <si>
    <t>• Precise Portioning – Measured cup creates consistent proportions
• Perforated Bottom – Drains excess liquid
• Hanging Hole – Sanitarily store and organize
• NSF Listed as N4362</t>
  </si>
  <si>
    <t>6.55 in | 16.64 cm</t>
  </si>
  <si>
    <t>1.50 lb | 0.68 kg</t>
  </si>
  <si>
    <t>0.23 ft3 | 0.01 m3</t>
  </si>
  <si>
    <t>14.12 in | 35.88 cm</t>
  </si>
  <si>
    <t>3.90 in | 9.91 cm</t>
  </si>
  <si>
    <t>2.00 fl oz | 0.06 l</t>
  </si>
  <si>
    <t>1.10 in | 2.79 cm</t>
  </si>
  <si>
    <t>1.13 in | 2.87 cm</t>
  </si>
  <si>
    <t>2.56 in | 6.50 cm</t>
  </si>
  <si>
    <t>3.99 in | 10.13 cm</t>
  </si>
  <si>
    <t>https://www.carlislefsp.com/food-bars-and-accessories/coldmaster-products/38655</t>
  </si>
  <si>
    <t>https://www.carlislefsp.com/food-bars-and-accessories/color-coordinated-accessories/480603</t>
  </si>
  <si>
    <t>https://www.carlislefsp.com/food-bars-and-accessories/coldmaster-standard-food-pans-and-lids/CM110202</t>
  </si>
  <si>
    <t>CM110202</t>
  </si>
  <si>
    <t>https://catalog.carlislefsp.com/images/1600x1600/365261.jpg</t>
  </si>
  <si>
    <t>• Insulated – Non-toxic, gel-filled walls keep food cold for up to 8 hours
• Mess-Free – Eliminates the need for messy, unsanitary ice baths
• 3.5-Quart Capacity – Ideal for serving sides, condiments, toppings and sauces
• Smooth Corners – Decrease food waste and facilitate deeper cleaning
• NSF Listed as NCM1102</t>
  </si>
  <si>
    <t>3.88 qt | 3.67 l</t>
  </si>
  <si>
    <t>10.20 in | 25.91 cm</t>
  </si>
  <si>
    <t>4.20 in | 10.67 cm</t>
  </si>
  <si>
    <t>6.89 in | 17.50 cm</t>
  </si>
  <si>
    <t>3.40 qt | 3.22 l</t>
  </si>
  <si>
    <t>4.35 lb | 1.97 kg</t>
  </si>
  <si>
    <t>0.41 ft3 | 0.01 m3</t>
  </si>
  <si>
    <t>13.30 in | 33.78 cm</t>
  </si>
  <si>
    <t>7.60 in | 19.30 cm</t>
  </si>
  <si>
    <t xml:space="preserve">126 | </t>
  </si>
  <si>
    <t>5.60 in | 14.22 cm</t>
  </si>
  <si>
    <t>https://www.carlislefsp.com/food-bars-and-accessories/five-star-buffet-bar/767008</t>
  </si>
  <si>
    <t>https://catalog.carlislefsp.com/images/1600x1600/272667.jpg</t>
  </si>
  <si>
    <t>• tough polyethylene construction with textured finish; thick polyurethane foam insulation holds ice for hours
• BPA free
• Economical polyethylene will withstand temperatures from -4° to 18° F
• BPA Free</t>
  </si>
  <si>
    <t>https://www.carlislefsp.com/food-bars-and-accessories/coldmaster-products/CM101203</t>
  </si>
  <si>
    <t>CM101203</t>
  </si>
  <si>
    <t>https://catalog.carlislefsp.com/images/1600x1600/354447.jpg</t>
  </si>
  <si>
    <t>https://www.carlislefsp.com/food-bars-and-accessories/coldmaster-standard-food-pans-and-lids/CM110403</t>
  </si>
  <si>
    <t>CM110403</t>
  </si>
  <si>
    <t>https://catalog.carlislefsp.com/images/1600x1600/296543.jpg</t>
  </si>
  <si>
    <t>https://www.carlislefsp.com/food-bars-and-accessories/coldmaster-standard-food-pans-and-lids/CM112607</t>
  </si>
  <si>
    <t>CM112607</t>
  </si>
  <si>
    <t>https://catalog.carlislefsp.com/images/1600x1600/269965.jpg</t>
  </si>
  <si>
    <t>12.76 in | 32.41 cm</t>
  </si>
  <si>
    <t>10.38 in | 26.37 cm</t>
  </si>
  <si>
    <t>2.75 lb | 1.25 kg</t>
  </si>
  <si>
    <t>0.46 ft3 | 0.01 m3</t>
  </si>
  <si>
    <t>https://www.carlislefsp.com/food-bars-and-accessories/crocks/030202</t>
  </si>
  <si>
    <t>https://catalog.carlislefsp.com/images/1600x1600/284201.jpg</t>
  </si>
  <si>
    <t>https://www.carlislefsp.com/food-bars-and-accessories/polycarbonate-spoons/446006</t>
  </si>
  <si>
    <t>https://www.carlislefsp.com/food-bars-and-accessories/sneeze-guards/905107</t>
  </si>
  <si>
    <t>https://catalog.carlislefsp.com/images/1600x1600/256836.jpg</t>
  </si>
  <si>
    <t>• Designed to fit FiveHStar™ Buffet Bars
• Suspended Sneeze Guard package includes chain and hardware for mounting
• Diswasher Safe and for use in temperatures from 32° to 160°F
• Contains 2 acrylic plates and 4 fasterners</t>
  </si>
  <si>
    <t>2.35 lb | 1.07 kg</t>
  </si>
  <si>
    <t>0.60 ft3 | 0.02 m3</t>
  </si>
  <si>
    <t>12.60 in | 32.00 cm</t>
  </si>
  <si>
    <t>2.30 in | 5.84 cm</t>
  </si>
  <si>
    <t>35.50 in | 90.17 cm</t>
  </si>
  <si>
    <t>1.04 lb | 0.47 kg</t>
  </si>
  <si>
    <t>https://www.carlislefsp.com/food-bars-and-accessories/maximizer-food-bar/772508</t>
  </si>
  <si>
    <t>https://catalog.carlislefsp.com/images/1600x1600/272706.jpg</t>
  </si>
  <si>
    <t>• BPA free
• Economical polyethylene will withstand temperatures from -4° to 18° F
• BPA Free
• NSF Listed as N7725</t>
  </si>
  <si>
    <t>17.50 in | 44.45 cm</t>
  </si>
  <si>
    <t>1.63 in | 4.14 cm</t>
  </si>
  <si>
    <t>10.40 lb | 4.72 kg</t>
  </si>
  <si>
    <t>0.82 ft3 | 0.02 m3</t>
  </si>
  <si>
    <t>25.30 in | 64.26 cm</t>
  </si>
  <si>
    <t>11.50 lb | 5.22 kg</t>
  </si>
  <si>
    <t>https://www.carlislefsp.com/food-bars-and-accessories/crocks/030101</t>
  </si>
  <si>
    <t>https://catalog.carlislefsp.com/images/1600x1600/284290.jpg</t>
  </si>
  <si>
    <t>https://www.carlislefsp.com/food-bars-and-accessories/sneeze-guards/932507</t>
  </si>
  <si>
    <t>https://catalog.carlislefsp.com/images/1600x1600/259999.jpg</t>
  </si>
  <si>
    <t>• Diswasher Safe and for use in temperatures from 32° to 160°F
• The shield total width is 18” and the depth when mounted to the frame (at an angle) is 12”.</t>
  </si>
  <si>
    <t>24.00 in | 60.96 cm</t>
  </si>
  <si>
    <t>7.10 lb | 3.22 kg</t>
  </si>
  <si>
    <t>1.74 ft3 | 0.05 m3</t>
  </si>
  <si>
    <t>22.20 in | 56.39 cm</t>
  </si>
  <si>
    <t>5.10 in | 12.95 cm</t>
  </si>
  <si>
    <t>26.50 in | 67.31 cm</t>
  </si>
  <si>
    <t>https://www.carlislefsp.com/food-bars-and-accessories/maximizer-food-bar/771108</t>
  </si>
  <si>
    <t>https://catalog.carlislefsp.com/images/1600x1600/21593.jpg</t>
  </si>
  <si>
    <t>https://www.carlislefsp.com/food-bars-and-accessories/crocks/030206</t>
  </si>
  <si>
    <t>https://catalog.carlislefsp.com/images/1600x1600/284629.jpg</t>
  </si>
  <si>
    <t>• Translucent snap-on lids included
• Thick-walled heavyweight design; made of SAN
• Excellent chemical resistance to food acids, dressings
• High-gloss finish is extremely scuff-resistant
• 0° to 180°F temperature range
• SAN is resistant to staining, breaking and chipping.</t>
  </si>
  <si>
    <t>https://www.carlislefsp.com/food-bars-and-accessories/coldmaster-condiment-bar-organizers/CM106902</t>
  </si>
  <si>
    <t>https://www.carlislefsp.com/food-bars-and-accessories/color-coordinated-accessories/446003</t>
  </si>
  <si>
    <t>https://www.carlislefsp.com/food-bars-and-accessories/six-star-food-bars/660808</t>
  </si>
  <si>
    <t>https://catalog.carlislefsp.com/images/1600x1600/288581.jpg</t>
  </si>
  <si>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Economical polyethylene will withstand temperatures from -40° to 180° F
• Approx. 30” from the floor, to the top of the basin.
• NSF Listed as N6608</t>
  </si>
  <si>
    <t>45.50 in | 115.57 cm</t>
  </si>
  <si>
    <t>28.40 ft3 | 0.80 m3</t>
  </si>
  <si>
    <t>24.90 in | 63.25 cm</t>
  </si>
  <si>
    <t>27.00 in | 68.58 cm</t>
  </si>
  <si>
    <t>110.00 lb | 49.90 kg</t>
  </si>
  <si>
    <t>30.00 in | 76.20 cm</t>
  </si>
  <si>
    <t>28.00 in | 71.12 cm</t>
  </si>
  <si>
    <t>https://www.carlislefsp.com/food-bars-and-accessories/sneeze-guards/900103</t>
  </si>
  <si>
    <t>https://catalog.carlislefsp.com/images/1600x1600/9527.jpg</t>
  </si>
  <si>
    <t>https://www.carlislefsp.com/food-bars-and-accessories/crocks/030003</t>
  </si>
  <si>
    <t>https://catalog.carlislefsp.com/images/1600x1600/284358.jpg</t>
  </si>
  <si>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NO300</t>
  </si>
  <si>
    <t>2.62 in | 6.65 cm</t>
  </si>
  <si>
    <t>3.35 lb | 1.52 kg</t>
  </si>
  <si>
    <t>0.59 ft3 | 0.02 m3</t>
  </si>
  <si>
    <t>8.80 in | 22.35 cm</t>
  </si>
  <si>
    <t>0.60 qt | 0.57 l</t>
  </si>
  <si>
    <t>https://www.carlislefsp.com/food-bars-and-accessories/coldmaster-ice-cream-server-and-lid/CM101203</t>
  </si>
  <si>
    <t>https://www.carlislefsp.com/food-bars-and-accessories/sneeze-guards/916007</t>
  </si>
  <si>
    <t>https://catalog.carlislefsp.com/images/1600x1600/365086.jpg</t>
  </si>
  <si>
    <t>https://www.carlislefsp.com/food-bars-and-accessories/sneeze-guards/922407</t>
  </si>
  <si>
    <t>https://catalog.carlislefsp.com/images/1600x1600/365027.jpg</t>
  </si>
  <si>
    <t>• Smaller size sneeze guard designed for a specialty buffet item, such as a soup or chili kettle
• Diswasher Safe and for use in temperatures from 32° to 16°F
• Max opening height 17.25"
• Min opening height 11.25"</t>
  </si>
  <si>
    <t>10.15 lb | 4.60 kg</t>
  </si>
  <si>
    <t>1.67 ft3 | 0.05 m3</t>
  </si>
  <si>
    <t>22.30 in | 56.64 cm</t>
  </si>
  <si>
    <t>4.90 in | 12.45 cm</t>
  </si>
  <si>
    <t>26.40 in | 67.06 cm</t>
  </si>
  <si>
    <t>10.00 lb | 4.54 kg</t>
  </si>
  <si>
    <t>https://www.carlislefsp.com/food-bars-and-accessories/maximizer-food-bar/771101</t>
  </si>
  <si>
    <t>https://catalog.carlislefsp.com/images/1600x1600/21594.jpg</t>
  </si>
  <si>
    <t>https://www.carlislefsp.com/food-bars-and-accessories/sneeze-guards/922403</t>
  </si>
  <si>
    <t>https://catalog.carlislefsp.com/images/1600x1600/364539.jpg</t>
  </si>
  <si>
    <t>https://www.carlislefsp.com/food-bars-and-accessories/sneeze-guards/924803</t>
  </si>
  <si>
    <t>https://catalog.carlislefsp.com/images/1600x1600/362952.jpg</t>
  </si>
  <si>
    <t>• Designed to fit Five Star™ Buffet Bars
• Sneeze guard adjusts higher at 1” intervals
• Diswasher Safe and for use in temperatures from 32° to 16°F
• Max opening height 17.25"
• Min opening height 11.25"</t>
  </si>
  <si>
    <t>18.05 lb | 8.19 kg</t>
  </si>
  <si>
    <t>3.09 ft3 | 0.09 m3</t>
  </si>
  <si>
    <t>4.75 in | 12.06 cm</t>
  </si>
  <si>
    <t>52.25 in | 132.72 cm</t>
  </si>
  <si>
    <t>18.00 lb | 8.16 kg</t>
  </si>
  <si>
    <t>https://www.carlislefsp.com/food-bars-and-accessories/checkout-shields/3636CS07</t>
  </si>
  <si>
    <t>https://www.carlislefsp.com/food-bars-and-accessories/sneeze-guards/900203</t>
  </si>
  <si>
    <t>https://catalog.carlislefsp.com/images/1600x1600/9528.jpg</t>
  </si>
  <si>
    <t>0.35 lb | 0.16 kg</t>
  </si>
  <si>
    <t>0.06 ft3 | 0.00 m3</t>
  </si>
  <si>
    <t>4.70 in | 11.94 cm</t>
  </si>
  <si>
    <t xml:space="preserve">800 | </t>
  </si>
  <si>
    <t xml:space="preserve">80 | </t>
  </si>
  <si>
    <t>https://www.carlislefsp.com/food-bars-and-accessories/coldmaster-crocks/CM103002</t>
  </si>
  <si>
    <t>CM103002</t>
  </si>
  <si>
    <t>https://catalog.carlislefsp.com/images/1600x1600/365640.jpg</t>
  </si>
  <si>
    <t>https://www.carlislefsp.com/food-bars-and-accessories/cm140/CM140307</t>
  </si>
  <si>
    <t>https://www.carlislefsp.com/food-bars-and-accessories/crocks/030102</t>
  </si>
  <si>
    <t>https://catalog.carlislefsp.com/images/1600x1600/284597.jpg</t>
  </si>
  <si>
    <t>https://www.carlislefsp.com/food-bars-and-accessories/six-star-food-bars/660605</t>
  </si>
  <si>
    <t>https://www.carlislefsp.com/food-bars-and-accessories/coldmaster-dispenser/CM101703</t>
  </si>
  <si>
    <t>https://www.carlislefsp.com/food-bars-and-accessories/color-coordinated-accessories/460906</t>
  </si>
  <si>
    <t>https://catalog.carlislefsp.com/images/1600x1600/267580.jpg</t>
  </si>
  <si>
    <t>• Made of revolutionary plastic material for strength and longevity
• Carries a two-year warranty*
• can be used on high temperature surfaces like steam tables
• NSF Listed as N4609</t>
  </si>
  <si>
    <t>https://www.carlislefsp.com/food-bars-and-accessories/cm140/CM140707</t>
  </si>
  <si>
    <t>https://www.carlislefsp.com/food-bars-and-accessories/topping-rails/38502</t>
  </si>
  <si>
    <t>https://catalog.carlislefsp.com/images/1600x1600/340680.jpg</t>
  </si>
  <si>
    <t>9.63 in | 24.46 cm</t>
  </si>
  <si>
    <t>10.75 in | 27.30 cm</t>
  </si>
  <si>
    <t>5.05 lb | 2.29 kg</t>
  </si>
  <si>
    <t>0.75 ft3 | 0.02 m3</t>
  </si>
  <si>
    <t>11.80 in | 29.97 cm</t>
  </si>
  <si>
    <t>10.40 in | 26.42 cm</t>
  </si>
  <si>
    <t>10.60 in | 26.92 cm</t>
  </si>
  <si>
    <t xml:space="preserve">64 | </t>
  </si>
  <si>
    <t>https://www.carlislefsp.com/food-bars-and-accessories/crocks/030103</t>
  </si>
  <si>
    <t>https://catalog.carlislefsp.com/images/1600x1600/267889.jpg</t>
  </si>
  <si>
    <t>https://www.carlislefsp.com/food-bars-and-accessories/color-coordinated-accessories/460903</t>
  </si>
  <si>
    <t>https://catalog.carlislefsp.com/images/1600x1600/362313.jpg</t>
  </si>
  <si>
    <t>https://www.carlislefsp.com/food-bars-and-accessories/carly-tongs/460906</t>
  </si>
  <si>
    <t>https://www.carlislefsp.com/food-bars-and-accessories/sneeze-guards/937507</t>
  </si>
  <si>
    <t>https://catalog.carlislefsp.com/images/1600x1600/260001.jpg</t>
  </si>
  <si>
    <t>• Diswasher Safe and for use in temperatures from 32° to 16°F</t>
  </si>
  <si>
    <t>73.38 in | 186.37 cm</t>
  </si>
  <si>
    <t>20.20 lb | 9.16 kg</t>
  </si>
  <si>
    <t>5.03 ft3 | 0.14 m3</t>
  </si>
  <si>
    <t>76.00 in | 193.04 cm</t>
  </si>
  <si>
    <t>22.00 in | 55.88 cm</t>
  </si>
  <si>
    <t>22.30 lb | 10.12 kg</t>
  </si>
  <si>
    <t>0.19 in | 0.47 cm</t>
  </si>
  <si>
    <t>https://www.carlislefsp.com/food-bars-and-accessories/beverage-dispensers/1085103</t>
  </si>
  <si>
    <t>https://catalog.carlislefsp.com/images/1600x1600/365069.jpg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</si>
  <si>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N10851</t>
  </si>
  <si>
    <t>12.30 lb | 5.58 kg</t>
  </si>
  <si>
    <t>3.98 ft3 | 0.11 m3</t>
  </si>
  <si>
    <t>17.60 in | 44.70 cm</t>
  </si>
  <si>
    <t>https://www.carlislefsp.com/food-bars-and-accessories/packet-racks/381101LG</t>
  </si>
  <si>
    <t>381101LG</t>
  </si>
  <si>
    <t>https://catalog.carlislefsp.com/images/1600x1600/339053.jpg</t>
  </si>
  <si>
    <t>• Containers have a drop-in card holder molded into the front
• Each unit comes with a set of 31 common label cards for organizing and identifying contents
• For use on counter or mount to wall with screws (included)
• Sturdy frame with rugged plastic containers; available in three sizes
• BPA free</t>
  </si>
  <si>
    <t>2.41 ft3 | 0.07 m3</t>
  </si>
  <si>
    <t>22.88 in | 58.12 cm</t>
  </si>
  <si>
    <t>12.13 in | 30.81 cm</t>
  </si>
  <si>
    <t>0.83 lb | 0.38 kg</t>
  </si>
  <si>
    <t>3.50 qt | 3.31 l</t>
  </si>
  <si>
    <t>https://www.carlislefsp.com/food-bars-and-accessories/coldmaster-coldpans/CM104602</t>
  </si>
  <si>
    <t>https://www.carlislefsp.com/food-bars-and-accessories/sneeze-guards/972203</t>
  </si>
  <si>
    <t>https://catalog.carlislefsp.com/images/1600x1600/363850.jpg</t>
  </si>
  <si>
    <t>• Designed to fit Five Star™ Buffet Bars
• Diswasher Safe and for use in temperatures from 32° to 16°F
• Max opening height 18.75"
• Min opening height 11.75"</t>
  </si>
  <si>
    <t>29.12 in | 73.96 cm</t>
  </si>
  <si>
    <t>33.75 in | 85.72 cm</t>
  </si>
  <si>
    <t>43.20 lb | 19.60 kg</t>
  </si>
  <si>
    <t>6.16 ft3 | 0.17 m3</t>
  </si>
  <si>
    <t>75.20 in | 191.01 cm</t>
  </si>
  <si>
    <t>26.20 in | 66.55 cm</t>
  </si>
  <si>
    <t>40.60 lb | 18.42 kg</t>
  </si>
  <si>
    <t>https://www.carlislefsp.com/food-bars-and-accessories/sneeze-guards/900303</t>
  </si>
  <si>
    <t>https://catalog.carlislefsp.com/images/1600x1600/9529.jpg</t>
  </si>
  <si>
    <t>0.45 lb | 0.20 kg</t>
  </si>
  <si>
    <t xml:space="preserve">900 | </t>
  </si>
  <si>
    <t>https://www.carlislefsp.com/food-bars-and-accessories/cm140/CM140002</t>
  </si>
  <si>
    <t>https://www.carlislefsp.com/food-bars-and-accessories/sneeze-guards/900231</t>
  </si>
  <si>
    <t>https://www.carlislefsp.com/food-bars-and-accessories/ladles/029503</t>
  </si>
  <si>
    <t>https://www.carlislefsp.com/food-bars-and-accessories/beverage-dispensers/221002</t>
  </si>
  <si>
    <t>https://catalog.carlislefsp.com/images/1600x1600/363580.jpg</t>
  </si>
  <si>
    <t>1.94 ft3 | 0.05 m3</t>
  </si>
  <si>
    <t>https://www.carlislefsp.com/food-bars-and-accessories/six-star-food-bars/661103</t>
  </si>
  <si>
    <t>https://catalog.carlislefsp.com/images/1600x1600/263872.jpg</t>
  </si>
  <si>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Hidden Storage – Attached storage area holds excess materials and keeps them hidden with sliding doors
• Custom 6” Deep Pan Configurations – Fits (5) full size food pans, (10) one-half size food pans, (20) one-quarter size food pans or (30) one-sixth food pans
• Drain Plug – Attached to container base for draining efficiently and cleanly
• Easy Assembly – Add tray slides and end shelves (not included) without removing legs
• NSF Listed as N6611</t>
  </si>
  <si>
    <t>180.00 lb | 81.65 kg</t>
  </si>
  <si>
    <t>49.02 ft3 | 1.39 m3</t>
  </si>
  <si>
    <t>73.60 in | 186.94 cm</t>
  </si>
  <si>
    <t>31.75 in | 80.64 cm</t>
  </si>
  <si>
    <t>36.25 in | 92.08 cm</t>
  </si>
  <si>
    <t>https://www.carlislefsp.com/food-bars-and-accessories/poly-tuf-crocks/020230</t>
  </si>
  <si>
    <t>https://catalog.carlislefsp.com/images/1600x1600/267415.jpg</t>
  </si>
  <si>
    <t>• Snap-On Design – Keeps lid tightly snapped on top while keeping environmental contaminants out
• Rigid Construction – Sturdy polypropylene resists cracking and chipping
• Specific Fit – Accommodates 2 to 3 1/2 quart containers
• NSF Listed as N0202</t>
  </si>
  <si>
    <t>0.31 in | 0.79 cm</t>
  </si>
  <si>
    <t>1.25 lb | 0.57 kg</t>
  </si>
  <si>
    <t>7.20 in | 18.29 cm</t>
  </si>
  <si>
    <t xml:space="preserve">300 | </t>
  </si>
  <si>
    <t>https://www.carlislefsp.com/food-bars-and-accessories/color-coordinated-accessories/446007</t>
  </si>
  <si>
    <t>https://catalog.carlislefsp.com/images/1600x1600/268395.jpg</t>
  </si>
  <si>
    <t>https://www.carlislefsp.com/food-bars-and-accessories/polycarbonate-spoons/446007</t>
  </si>
  <si>
    <t>https://www.carlislefsp.com/food-bars-and-accessories/crocks/031607</t>
  </si>
  <si>
    <t>https://catalog.carlislefsp.com/images/1600x1600/284429.jpg</t>
  </si>
  <si>
    <t>https://www.carlislefsp.com/food-bars-and-accessories/color-coordinated-accessories/400607</t>
  </si>
  <si>
    <t>https://catalog.carlislefsp.com/images/1600x1600/365596.jpg</t>
  </si>
  <si>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N4006-PC</t>
  </si>
  <si>
    <t>https://www.carlislefsp.com/food-bars-and-accessories/polycarbonate-spoons/446008</t>
  </si>
  <si>
    <t>https://www.carlislefsp.com/food-bars-and-accessories/color-coordinated-accessories/420607</t>
  </si>
  <si>
    <t>https://catalog.carlislefsp.com/images/1600x1600/284181.jpg</t>
  </si>
  <si>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N4206-PC</t>
  </si>
  <si>
    <t xml:space="preserve">350 | </t>
  </si>
  <si>
    <t>https://www.carlislefsp.com/food-bars-and-accessories/sneeze-guards/900431</t>
  </si>
  <si>
    <t>0.20 lb | 0.09 kg</t>
  </si>
  <si>
    <t>https://www.carlislefsp.com/food-bars-and-accessories/coldmaster-crocks/CM1033P07</t>
  </si>
  <si>
    <t>CM1033P07</t>
  </si>
  <si>
    <t>https://catalog.carlislefsp.com/images/1600x1600/301889.jpg</t>
  </si>
  <si>
    <t>• Pump Nozzle – Dispenses equal amounts of condiments with every press
• Acrylic Construction – Shatter-resistant and allows easy content viewing
• Flat Base Rim – Sits flush against crock top preserving optimal cold temperatures</t>
  </si>
  <si>
    <t>0.65 lb | 0.29 kg</t>
  </si>
  <si>
    <t>0.12 ft3 | 0.00 m3</t>
  </si>
  <si>
    <t>https://www.carlislefsp.com/food-bars-and-accessories/cm140/CM140102</t>
  </si>
  <si>
    <t>https://www.carlislefsp.com/food-bars-and-accessories/coldmaster-cool-check/CM1100C1402</t>
  </si>
  <si>
    <t>CM1100C1402</t>
  </si>
  <si>
    <t>https://catalog.carlislefsp.com/images/1600x1600/296475.jpg</t>
  </si>
  <si>
    <t>https://www.carlislefsp.com/food-bars-and-accessories/food-bar-accessories/667807</t>
  </si>
  <si>
    <t>https://catalog.carlislefsp.com/images/1600x1600/256834.jpg</t>
  </si>
  <si>
    <t>• Four swiveling casters transform the food bar into a portable serving station
• Four acrylic shields offer a wide range of protection to prevent food contamination
• Polyurethane foam insulation holds food at optimal serving temperatures</t>
  </si>
  <si>
    <t>72.00 in | 182.88 cm</t>
  </si>
  <si>
    <t>16.00 lb | 7.26 kg</t>
  </si>
  <si>
    <t>4.91 ft3 | 0.14 m3</t>
  </si>
  <si>
    <t>70.20 in | 178.31 cm</t>
  </si>
  <si>
    <t>25.70 in | 65.28 cm</t>
  </si>
  <si>
    <t>15.25 lb | 6.92 kg</t>
  </si>
  <si>
    <t>https://www.carlislefsp.com/food-bars-and-accessories/adjustable-cup-dispensers/38850GEW</t>
  </si>
  <si>
    <t>38850GEW</t>
  </si>
  <si>
    <t>https://catalog.carlislefsp.com/images/1600x1600/364663.jpg</t>
  </si>
  <si>
    <t>• Spring-loaded units with silicone release gaskets to fit all standard sizes of foam, paper, or plastic drink cups from 8 to 48 oz
• Comes with four interchangeable gaskets per tube (small, medium, large, and extra large) accomidates between 2" and  5" diameter cups
• No tools required
• Use with optional lid and condiment organizer (38800GLC) listed below</t>
  </si>
  <si>
    <t>23.75 in | 60.33 cm</t>
  </si>
  <si>
    <t>4.40 lb | 2.00 kg</t>
  </si>
  <si>
    <t>0.78 ft3 | 0.02 m3</t>
  </si>
  <si>
    <t>24.38 in | 61.91 cm</t>
  </si>
  <si>
    <t>5.10 lb | 2.31 kg</t>
  </si>
  <si>
    <t>5.12 in | 13.00 cm</t>
  </si>
  <si>
    <t>https://www.carlislefsp.com/food-bars-and-accessories/beverage-dispensers/222903</t>
  </si>
  <si>
    <t>https://catalog.carlislefsp.com/images/1600x1600/362660.jpg</t>
  </si>
  <si>
    <t>• Large Capacity – Holds five gallons for serving a variety of crowd sizes
• Drip Free Design – Bottom-centered spigots and flush gaskets dispense beverages cleanly and without leaks
• Raised Base – Raises container for convenient, stoop-free beverage dispensing and accommodates larger cups
• Snap On Lid – Tight-fighting lid covers dispenser opening to keep out dust and debris
• Carrying Handles – Built-out panels offer gripping areas for easy, slip-free carrying
• Beverage Labels – Included for labeling tea, lemonade, fruit punch, and sweetened and unsweetened tea</t>
  </si>
  <si>
    <t>4.55 lb | 2.06 kg</t>
  </si>
  <si>
    <t>1.64 ft3 | 0.05 m3</t>
  </si>
  <si>
    <t xml:space="preserve">24 | </t>
  </si>
  <si>
    <t>6.85 in | 17.40 cm</t>
  </si>
  <si>
    <t>https://www.carlislefsp.com/food-bars-and-accessories/crocks/030106</t>
  </si>
  <si>
    <t>https://catalog.carlislefsp.com/images/1600x1600/284321.jpg</t>
  </si>
  <si>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t>
  </si>
  <si>
    <t>https://www.carlislefsp.com/food-bars-and-accessories/carly-tongs/471205</t>
  </si>
  <si>
    <t>https://www.carlislefsp.com/food-bars-and-accessories/maximizer-food-bar/772103</t>
  </si>
  <si>
    <t>https://catalog.carlislefsp.com/images/1600x1600/272718.jpg</t>
  </si>
  <si>
    <t>https://www.carlislefsp.com/food-bars-and-accessories/crocks/030403</t>
  </si>
  <si>
    <t>https://catalog.carlislefsp.com/images/1600x1600/284077.jpg</t>
  </si>
  <si>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N0304</t>
  </si>
  <si>
    <t>7.93 in | 20.14 cm</t>
  </si>
  <si>
    <t>10.50 lb | 4.76 kg</t>
  </si>
  <si>
    <t>1.76 ft3 | 0.05 m3</t>
  </si>
  <si>
    <t>16.90 in | 42.93 cm</t>
  </si>
  <si>
    <t>4.00 qt | 3.79 l</t>
  </si>
  <si>
    <t>7.53 in | 19.13 cm</t>
  </si>
  <si>
    <t>https://www.carlislefsp.com/food-bars-and-accessories/coldmaster-coldpans/CM104202</t>
  </si>
  <si>
    <t>CM104202</t>
  </si>
  <si>
    <t>https://catalog.carlislefsp.com/images/1600x1600/354707.jpg</t>
  </si>
  <si>
    <t>https://www.carlislefsp.com/food-bars-and-accessories/measure-misers/432406</t>
  </si>
  <si>
    <t>https://catalog.carlislefsp.com/images/1600x1600/279488.jpg</t>
  </si>
  <si>
    <t>• Precise Portioning – Measured cup creates consistent proportions
• Flat Bottom – Spreads sauce and toppings easily
• Hanging Hole – Sanitarily store and organize
• NSF Listed as N4324</t>
  </si>
  <si>
    <t>3.10 in | 7.87 cm</t>
  </si>
  <si>
    <t>https://www.carlislefsp.com/food-bars-and-accessories/coldmaster-chillers/CM110702</t>
  </si>
  <si>
    <t>CM110702</t>
  </si>
  <si>
    <t>https://catalog.carlislefsp.com/images/1600x1600/275236.jpg</t>
  </si>
  <si>
    <t>• Specific Fit – Designed to hold 1-quart cartons
• Refrigerant Gel Filling – Keeps food at or below the ServSafe® guidelines of 40°F for up to 8 hours when frozen overnight
• Sanitary – No messy, unsanitary ice baths
• Efficient – Store prep station dairy products in-line for ultra-fast service</t>
  </si>
  <si>
    <t>0.37 ft3 | 0.01 m3</t>
  </si>
  <si>
    <t xml:space="preserve">120 | </t>
  </si>
  <si>
    <t>3.88 in | 9.84 cm</t>
  </si>
  <si>
    <t>https://www.carlislefsp.com/food-bars-and-accessories/sneeze-guards/900403</t>
  </si>
  <si>
    <t>https://catalog.carlislefsp.com/images/1600x1600/300480.jpg</t>
  </si>
  <si>
    <t>https://www.carlislefsp.com/food-bars-and-accessories/carly-tongs/470903</t>
  </si>
  <si>
    <t>https://www.carlislefsp.com/food-bars-and-accessories/coldmaster-chillers/CM110802</t>
  </si>
  <si>
    <t>CM110802</t>
  </si>
  <si>
    <t>https://catalog.carlislefsp.com/images/1600x1600/273824.jpg</t>
  </si>
  <si>
    <t>https://www.carlislefsp.com/food-bars-and-accessories/supreme-crocks/020230</t>
  </si>
  <si>
    <t>https://www.carlislefsp.com/food-bars-and-accessories/six-star-food-bars/660008</t>
  </si>
  <si>
    <t>https://catalog.carlislefsp.com/images/1600x1600/261302.jpg</t>
  </si>
  <si>
    <t>• Easy to assemble
• BPA free
• Textured finish resists scratching and is simple to clean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BPA Free
• NSF Listed as N6600</t>
  </si>
  <si>
    <t>76.00 lb | 34.47 kg</t>
  </si>
  <si>
    <t>16.64 ft3 | 0.47 m3</t>
  </si>
  <si>
    <t>https://www.carlislefsp.com/food-bars-and-accessories/sneeze-guards/971003</t>
  </si>
  <si>
    <t>https://catalog.carlislefsp.com/images/1600x1600/371972.jpg</t>
  </si>
  <si>
    <t>• Designed to fit Five Star™ Buffet Bars
• Diswasher Safe and for use in temperatures from 32° to 16°F
• Distance from counter top to bottom of shield in front: 15.5"</t>
  </si>
  <si>
    <t>26.25 lb | 11.91 kg</t>
  </si>
  <si>
    <t>3.60 ft3 | 0.10 m3</t>
  </si>
  <si>
    <t>26.25 in | 66.67 cm</t>
  </si>
  <si>
    <t>55.80 in | 141.73 cm</t>
  </si>
  <si>
    <t>https://www.carlislefsp.com/food-bars-and-accessories/color-coordinated-accessories/460606</t>
  </si>
  <si>
    <t>https://www.carlislefsp.com/food-bars-and-accessories/color-coordinated-accessories/460603</t>
  </si>
  <si>
    <t>https://catalog.carlislefsp.com/images/1600x1600/363083.jpg</t>
  </si>
  <si>
    <t>https://www.carlislefsp.com/food-bars-and-accessories/beverage-dispensers/221930</t>
  </si>
  <si>
    <t>https://catalog.carlislefsp.com/images/1600x1600/363869.jpg</t>
  </si>
  <si>
    <t>• Large Capacity – Holds three gallons for serving a variety of crowd sizes
• Drip Free Design – Bottom-centered spigots and flush gaskets dispense beverages cleanly and without leaks
• Snap On Lid – Tight-fighting lid covers dispenser opening to keep out dust and debris
• Carrying Handles – Built-out panels offer gripping areas for easy, slip-free carrying
• Beverage Labels – Included for labeling tea, lemonade, fruit punch, and sweetened and unsweetened tea</t>
  </si>
  <si>
    <t>8.75 in | 22.23 cm</t>
  </si>
  <si>
    <t>2.55 lb | 1.16 kg</t>
  </si>
  <si>
    <t>13.10 in | 33.27 cm</t>
  </si>
  <si>
    <t>https://www.carlislefsp.com/food-bars-and-accessories/cold-unit-topping-rails/386230IB</t>
  </si>
  <si>
    <t>386230IB</t>
  </si>
  <si>
    <t>https://catalog.carlislefsp.com/images/1600x1600/280199.jpg</t>
  </si>
  <si>
    <t>17.45 lb | 7.92 kg</t>
  </si>
  <si>
    <t>1.77 ft3 | 0.05 m3</t>
  </si>
  <si>
    <t>18.20 in | 46.23 cm</t>
  </si>
  <si>
    <t>9.70 in | 24.64 cm</t>
  </si>
  <si>
    <t>17.30 in | 43.94 cm</t>
  </si>
  <si>
    <t>https://www.carlislefsp.com/food-bars-and-accessories/crocks/030201</t>
  </si>
  <si>
    <t>https://catalog.carlislefsp.com/images/1600x1600/284196.jpg</t>
  </si>
  <si>
    <t>https://www.carlislefsp.com/food-bars-and-accessories/carly-tongs/470906</t>
  </si>
  <si>
    <t>https://catalog.carlislefsp.com/images/1600x1600/362176.jpg</t>
  </si>
  <si>
    <t>https://www.carlislefsp.com/food-bars-and-accessories/coldmaster-crocks/CM103207</t>
  </si>
  <si>
    <t>https://www.carlislefsp.com/food-bars-and-accessories/coldmaster-crocks/CM103702</t>
  </si>
  <si>
    <t>https://www.carlislefsp.com/food-bars-and-accessories/six-star-food-bars/662503</t>
  </si>
  <si>
    <t>https://catalog.carlislefsp.com/images/1600x1600/365236.jpg</t>
  </si>
  <si>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N6625</t>
  </si>
  <si>
    <t>20.62 in | 52.37 cm</t>
  </si>
  <si>
    <t>15.87 in | 40.31 cm</t>
  </si>
  <si>
    <t>10.55 lb | 4.79 kg</t>
  </si>
  <si>
    <t>0.91 ft3 | 0.03 m3</t>
  </si>
  <si>
    <t>2.70 in | 6.86 cm</t>
  </si>
  <si>
    <t>25.80 in | 65.53 cm</t>
  </si>
  <si>
    <t>https://www.carlislefsp.com/food-bars-and-accessories/sneeze-guards/914807</t>
  </si>
  <si>
    <t>https://www.carlislefsp.com/food-bars-and-accessories/carly-tongs/470905</t>
  </si>
  <si>
    <t>https://www.carlislefsp.com/food-bars-and-accessories/measure-misers/432906</t>
  </si>
  <si>
    <t>https://catalog.carlislefsp.com/images/1600x1600/278865.jpg</t>
  </si>
  <si>
    <t>• Precise Portioning – Measured cup creates consistent proportions
• Perforated Bottom – Drains excess liquid
• Hanging Hole – Sanitarily store and organize
• NSF Listed as N4329</t>
  </si>
  <si>
    <t>8.24 in | 20.93 cm</t>
  </si>
  <si>
    <t>1.70 lb | 0.77 kg</t>
  </si>
  <si>
    <t>4.00 fl oz | 0.12 l</t>
  </si>
  <si>
    <t>1.30 in | 3.30 cm</t>
  </si>
  <si>
    <t>1.38 in | 3.51 cm</t>
  </si>
  <si>
    <t>4.95 in | 12.57 cm</t>
  </si>
  <si>
    <t>https://www.carlislefsp.com/food-bars-and-accessories/carly-tongs/460903</t>
  </si>
  <si>
    <t>https://www.carlislefsp.com/food-bars-and-accessories/six-star-food-bars/660003</t>
  </si>
  <si>
    <t>https://catalog.carlislefsp.com/images/1600x1600/261304.jpg</t>
  </si>
  <si>
    <t>https://www.carlislefsp.com/food-bars-and-accessories/color-coordinated-accessories/445003</t>
  </si>
  <si>
    <t>https://www.carlislefsp.com/food-bars-and-accessories/five-star-buffet-bar/767103</t>
  </si>
  <si>
    <t>https://catalog.carlislefsp.com/images/1600x1600/272787.jpg</t>
  </si>
  <si>
    <t>• tough polyethylene construction with textured finish; thick polyurethane foam insulation holds ice for hours
• BPA free
• Economical polyethylene will withstand temperatures from -4° to 18° F
• BPA Free
• NSF Listed as N7671</t>
  </si>
  <si>
    <t>70.63 in | 179.40 cm</t>
  </si>
  <si>
    <t>31.20 lb | 14.15 kg</t>
  </si>
  <si>
    <t>6.87 ft3 | 0.19 m3</t>
  </si>
  <si>
    <t>25.62 in | 65.09 cm</t>
  </si>
  <si>
    <t>71.25 in | 180.97 cm</t>
  </si>
  <si>
    <t>32.83 lb | 14.89 kg</t>
  </si>
  <si>
    <t>65.00 in | 165.10 cm</t>
  </si>
  <si>
    <t>19.12 in | 48.56 cm</t>
  </si>
  <si>
    <t>https://www.carlislefsp.com/food-bars-and-accessories/color-coordinated-accessories/442003</t>
  </si>
  <si>
    <t>https://www.carlislefsp.com/food-bars-and-accessories/packet-racks/381109LG</t>
  </si>
  <si>
    <t>381109LG</t>
  </si>
  <si>
    <t>https://catalog.carlislefsp.com/images/1600x1600/339067.jpg</t>
  </si>
  <si>
    <t>• Containers have a drop-in card holder molded into the front
• Each unit comes with a set of 31 common label cards for organizing and identifying contents
• For use on counter or mount to wall with screws (included)
• Sturdy frame with rugged plastic containers; available in three sizes
• Comes with 9 ea 3-1/2 qt Containers</t>
  </si>
  <si>
    <t>19.00 in | 48.26 cm</t>
  </si>
  <si>
    <t>Anodized Aluminum</t>
  </si>
  <si>
    <t>10.70 lb | 4.85 kg</t>
  </si>
  <si>
    <t>2.74 ft3 | 0.08 m3</t>
  </si>
  <si>
    <t>19.20 in | 48.77 cm</t>
  </si>
  <si>
    <t>19.30 in | 49.02 cm</t>
  </si>
  <si>
    <t>12.80 in | 32.51 cm</t>
  </si>
  <si>
    <t>12.50 lb | 5.67 kg</t>
  </si>
  <si>
    <t>https://www.carlislefsp.com/food-bars-and-accessories/sneeze-guards/900331</t>
  </si>
  <si>
    <t>https://www.carlislefsp.com/food-bars-and-accessories/color-coordinated-accessories/410907</t>
  </si>
  <si>
    <t>https://catalog.carlislefsp.com/images/1600x1600/362468.jpg</t>
  </si>
  <si>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N4109-PC</t>
  </si>
  <si>
    <t>1.80 lb | 0.82 kg</t>
  </si>
  <si>
    <t>6.70 in | 17.02 cm</t>
  </si>
  <si>
    <t>https://www.carlislefsp.com/food-bars-and-accessories/crocks/031606</t>
  </si>
  <si>
    <t>https://catalog.carlislefsp.com/images/1600x1600/284484.jpg</t>
  </si>
  <si>
    <t>https://www.carlislefsp.com/food-bars-and-accessories/crocks/031601</t>
  </si>
  <si>
    <t>https://catalog.carlislefsp.com/images/1600x1600/284186.jpg</t>
  </si>
  <si>
    <t>https://www.carlislefsp.com/food-bars-and-accessories/six-star-food-bars/662505</t>
  </si>
  <si>
    <t>https://catalog.carlislefsp.com/images/1600x1600/271638.jpg</t>
  </si>
  <si>
    <t>https://www.carlislefsp.com/food-bars-and-accessories/beverage-dispensers/1085603</t>
  </si>
  <si>
    <t>https://catalog.carlislefsp.com/images/1600x1600/275513.jpg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</si>
  <si>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Premium has deluxe faucet; Economy has economical spring action faucet
• Includes labels: Fruit Punch, Iced Tea, Lemonade, Sweetened Tea, and Unsweetened Tea
• Spring loaded handle provides precise control from fully open to fully closed position.
• Handle can also be locked in open position for dispensing large amounts of liquid.
• Faucet may be fully disassembled for cleaning.
• The distance between the spout and the drip tray is 11".
• NSF Listed as N10856</t>
  </si>
  <si>
    <t>5.85 lb | 2.65 kg</t>
  </si>
  <si>
    <t>5.50 lb | 2.49 kg</t>
  </si>
  <si>
    <t>https://www.carlislefsp.com/food-bars-and-accessories/coldmaster-pan-organizer/CM104902</t>
  </si>
  <si>
    <t>CM104902</t>
  </si>
  <si>
    <t>https://catalog.carlislefsp.com/images/1600x1600/270002.jpg</t>
  </si>
  <si>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t>
  </si>
  <si>
    <t>20.50 lb | 9.30 kg</t>
  </si>
  <si>
    <t>1.98 ft3 | 0.06 m3</t>
  </si>
  <si>
    <t>24.50 in | 62.23 cm</t>
  </si>
  <si>
    <t>16.80 in | 42.67 cm</t>
  </si>
  <si>
    <t>8.30 in | 21.08 cm</t>
  </si>
  <si>
    <t>https://www.carlislefsp.com/food-bars-and-accessories/carly-tongs/460603</t>
  </si>
  <si>
    <t>https://www.carlislefsp.com/food-bars-and-accessories/measure-misers/433006</t>
  </si>
  <si>
    <t>https://catalog.carlislefsp.com/images/1600x1600/278261.jpg</t>
  </si>
  <si>
    <t>• Precise Portioning – Measured cup creates consistent proportions
• Flat Bottom – Spreads sauce and toppings easily
• Hanging Hole – Sanitarily store and organize
• NSF Listed as N4330</t>
  </si>
  <si>
    <t>8.59 in | 21.82 cm</t>
  </si>
  <si>
    <t>1.90 lb | 0.86 kg</t>
  </si>
  <si>
    <t>0.32 ft3 | 0.01 m3</t>
  </si>
  <si>
    <t>4.80 in | 12.19 cm</t>
  </si>
  <si>
    <t xml:space="preserve">195 | </t>
  </si>
  <si>
    <t>6.00 fl oz | 0.18 l</t>
  </si>
  <si>
    <t>https://www.carlislefsp.com/food-bars-and-accessories/coldmaster-cool-check/CM1103C1402</t>
  </si>
  <si>
    <t>CM1103C1402</t>
  </si>
  <si>
    <t>https://catalog.carlislefsp.com/images/1600x1600/296562.jpg</t>
  </si>
  <si>
    <t>6.90 in | 17.53 cm</t>
  </si>
  <si>
    <t>13.20 in | 33.53 cm</t>
  </si>
  <si>
    <t>7.10 in | 18.03 cm</t>
  </si>
  <si>
    <t>https://www.carlislefsp.com/food-bars-and-accessories/coldmaster-standard-food-pans-and-lids/CM110103</t>
  </si>
  <si>
    <t>CM110103</t>
  </si>
  <si>
    <t>https://catalog.carlislefsp.com/images/1600x1600/296422.jpg</t>
  </si>
  <si>
    <t>https://www.carlislefsp.com/items/CM112807</t>
  </si>
  <si>
    <t>CM112807</t>
  </si>
  <si>
    <t>https://catalog.carlislefsp.com/images/1600x1600/269967.jpg</t>
  </si>
  <si>
    <t>6.27 in | 15.93 cm</t>
  </si>
  <si>
    <t>1.37 lb | 0.62 kg</t>
  </si>
  <si>
    <t>4.62 in | 11.75 cm</t>
  </si>
  <si>
    <t xml:space="preserve">200 | </t>
  </si>
  <si>
    <t>https://www.carlislefsp.com/food-bars-and-accessories/color-coordinated-accessories/471203</t>
  </si>
  <si>
    <t>https://www.carlislefsp.com/food-bars-and-accessories/coldmaster-cool-check/CM1101C1402</t>
  </si>
  <si>
    <t>CM1101C1402</t>
  </si>
  <si>
    <t>https://catalog.carlislefsp.com/images/1600x1600/296524.jpg</t>
  </si>
  <si>
    <t>https://www.carlislefsp.com/food-bars-and-accessories/sneeze-guards/905207</t>
  </si>
  <si>
    <t>https://catalog.carlislefsp.com/images/1600x1600/2222.jpg</t>
  </si>
  <si>
    <t>• Designed to fit FiveHStar™ Buffet Bars
• Suspended Sneeze Guard package includes chain and hardware for mounting
• Polycarbonate (PC) is resistant to staining, breaking and chipping</t>
  </si>
  <si>
    <t>28.04 in | 71.22 cm</t>
  </si>
  <si>
    <t>0.64 ft3 | 0.02 m3</t>
  </si>
  <si>
    <t>35.12 in | 89.22 cm</t>
  </si>
  <si>
    <t xml:space="preserve">76 | </t>
  </si>
  <si>
    <t xml:space="preserve">19 | </t>
  </si>
  <si>
    <t>https://www.carlislefsp.com/food-bars-and-accessories/coldmaster-standard-food-pans-and-lids/CM112707</t>
  </si>
  <si>
    <t>CM112707</t>
  </si>
  <si>
    <t>https://catalog.carlislefsp.com/images/1600x1600/269936.jpg</t>
  </si>
  <si>
    <t>4.12 in | 10.48 cm</t>
  </si>
  <si>
    <t xml:space="preserve">165 | </t>
  </si>
  <si>
    <t>https://www.carlislefsp.com/food-bars-and-accessories/crocks/030203</t>
  </si>
  <si>
    <t>https://catalog.carlislefsp.com/images/1600x1600/284514.jpg</t>
  </si>
  <si>
    <t>https://www.carlislefsp.com/food-bars-and-accessories/measure-misers/432806</t>
  </si>
  <si>
    <t>https://catalog.carlislefsp.com/images/1600x1600/279042.jpg</t>
  </si>
  <si>
    <t>• Precise Portioning – Measured cup creates consistent proportions
• Flat Bottom – Spreads sauce and toppings easily
• Hanging Hole – Sanitarily store and organize
• NSF Listed as N4328</t>
  </si>
  <si>
    <t>https://www.carlislefsp.com/food-bars-and-accessories/coldmaster-coldpans/CM104302</t>
  </si>
  <si>
    <t>https://www.carlislefsp.com/food-bars-and-accessories/food-bar-accessories/936507</t>
  </si>
  <si>
    <t>https://catalog.carlislefsp.com/images/1600x1600/256837.jpg</t>
  </si>
  <si>
    <t>19.70 lb | 8.94 kg</t>
  </si>
  <si>
    <t>4.39 ft3 | 0.12 m3</t>
  </si>
  <si>
    <t>20.85 lb | 9.46 kg</t>
  </si>
  <si>
    <t>https://www.carlislefsp.com/food-bars-and-accessories/coldmaster-crocks/CM103502</t>
  </si>
  <si>
    <t>CM103502</t>
  </si>
  <si>
    <t>https://catalog.carlislefsp.com/images/1600x1600/267815.jpg</t>
  </si>
  <si>
    <t>• Use with ketchup, mayonnaise, mustard, or other sauces
• Can be used with or without insert to provide accurate 1/2 oz or 1 oz portions
• Coldmaster® system eliminates the inconvenience and mess of ice, as well as reduces the potential of bacteria
• Economical Standard Plastic Pump dispenses 1/2 oz portion per stroke
• 5" Dip Tube
• BPA Free</t>
  </si>
  <si>
    <t xml:space="preserve">408 | </t>
  </si>
  <si>
    <t xml:space="preserve">17 | </t>
  </si>
  <si>
    <t>0.38 lb | 0.17 kg</t>
  </si>
  <si>
    <t>https://www.carlislefsp.com/food-bars-and-accessories/cm140/CM140807</t>
  </si>
  <si>
    <t>https://www.carlislefsp.com/food-bars-and-accessories/sneeze-guards/971203</t>
  </si>
  <si>
    <t>https://catalog.carlislefsp.com/images/1600x1600/19251.jpg</t>
  </si>
  <si>
    <t>• Designed to fit Five Star™ Buffet Bars
• Distance from counter top to bottom of shield in front: 15.5"</t>
  </si>
  <si>
    <t>36.60 lb | 16.60 kg</t>
  </si>
  <si>
    <t>5.16 ft3 | 0.15 m3</t>
  </si>
  <si>
    <t>35.00 lb | 15.88 kg</t>
  </si>
  <si>
    <t>https://www.carlislefsp.com/food-bars-and-accessories/coldmaster-cool-check/CM1102C1402</t>
  </si>
  <si>
    <t>CM1102C1402</t>
  </si>
  <si>
    <t>https://catalog.carlislefsp.com/images/1600x1600/296417.jpg</t>
  </si>
  <si>
    <t>https://www.carlislefsp.com/food-bars-and-accessories/cake-and-pie-covers-pedestals-and-domes/251207</t>
  </si>
  <si>
    <t>https://catalog.carlislefsp.com/images/1600x1600/364425.jpg</t>
  </si>
  <si>
    <t>9.00 lb | 4.08 kg</t>
  </si>
  <si>
    <t>1.95 ft3 | 0.06 m3</t>
  </si>
  <si>
    <t>22.44 in | 56.99 cm</t>
  </si>
  <si>
    <t>12.38 in | 31.43 cm</t>
  </si>
  <si>
    <t>12.12 in | 30.80 cm</t>
  </si>
  <si>
    <t>11.62 in | 29.51 cm</t>
  </si>
  <si>
    <t>https://www.carlislefsp.com/food-bars-and-accessories/sneeze-guards/926007</t>
  </si>
  <si>
    <t>https://catalog.carlislefsp.com/images/1600x1600/247956.jpg</t>
  </si>
  <si>
    <t>https://www.carlislefsp.com/food-bars-and-accessories/six-star-food-bars/660608</t>
  </si>
  <si>
    <t>https://catalog.carlislefsp.com/images/1600x1600/21585.jpg</t>
  </si>
  <si>
    <t>https://www.carlislefsp.com/food-bars-and-accessories/color-coordinated-accessories/441103</t>
  </si>
  <si>
    <t>https://www.carlislefsp.com/food-bars-and-accessories/cold-unit-topping-rails/38600IP</t>
  </si>
  <si>
    <t>38600IP</t>
  </si>
  <si>
    <t>https://catalog.carlislefsp.com/images/1600x1600/13322.jpg</t>
  </si>
  <si>
    <t>• The original industry standard since 1957
• Economical polyethylene will withstand temperatures from -40° to 180° F
• BPA Free</t>
  </si>
  <si>
    <t>0.17 ft3 | 0.00 m3</t>
  </si>
  <si>
    <t>9.40 in | 23.88 cm</t>
  </si>
  <si>
    <t xml:space="preserve">306 | </t>
  </si>
  <si>
    <t xml:space="preserve">34 | </t>
  </si>
  <si>
    <t>2.15 lb | 0.98 kg</t>
  </si>
  <si>
    <t>https://www.carlislefsp.com/food-bars-and-accessories/cm140/CM140507</t>
  </si>
  <si>
    <t>https://www.carlislefsp.com/food-bars-and-accessories/food-bar-accessories/905107</t>
  </si>
  <si>
    <t>https://www.carlislefsp.com/food-bars-and-accessories/topping-rails/38503</t>
  </si>
  <si>
    <t>https://catalog.carlislefsp.com/images/1600x1600/340682.jpg</t>
  </si>
  <si>
    <t>14.44 in | 36.68 cm</t>
  </si>
  <si>
    <t>6.70 lb | 3.04 kg</t>
  </si>
  <si>
    <t>https://www.carlislefsp.com/food-bars-and-accessories/coldmaster-ice-cream-server-and-lid/CM101202</t>
  </si>
  <si>
    <t>https://www.carlislefsp.com/food-bars-and-accessories/color-coordinated-accessories/470906</t>
  </si>
  <si>
    <t>https://www.carlislefsp.com/food-bars-and-accessories/color-coordinated-accessories/460605</t>
  </si>
  <si>
    <t>https://www.carlislefsp.com/food-bars-and-accessories/coldmaster-coldbowl/CM105002</t>
  </si>
  <si>
    <t>https://www.carlislefsp.com/food-bars-and-accessories/coldmaster-coldpans/CM104502</t>
  </si>
  <si>
    <t>CM104502</t>
  </si>
  <si>
    <t>https://catalog.carlislefsp.com/images/1600x1600/269908.jpg</t>
  </si>
  <si>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
• NSF Listed as NCM1045</t>
  </si>
  <si>
    <t>6.30 in | 16.00 cm</t>
  </si>
  <si>
    <t>11.96 in | 30.38 cm</t>
  </si>
  <si>
    <t>6.18 in | 15.70 cm</t>
  </si>
  <si>
    <t>15.60 in | 39.62 cm</t>
  </si>
  <si>
    <t>9.80 in | 24.89 cm</t>
  </si>
  <si>
    <t>9.30 lb | 4.22 kg</t>
  </si>
  <si>
    <t>16.10 in | 40.89 cm</t>
  </si>
  <si>
    <t>10.50 in | 26.67 cm</t>
  </si>
  <si>
    <t>7.19 in | 18.26 cm</t>
  </si>
  <si>
    <t>7.25 qt | 6.86 l</t>
  </si>
  <si>
    <t>7.50 qt | 7.10 l</t>
  </si>
  <si>
    <t>https://www.carlislefsp.com/food-bars-and-accessories/six-star-food-bars/662003</t>
  </si>
  <si>
    <t>https://catalog.carlislefsp.com/images/1600x1600/271535.jpg</t>
  </si>
  <si>
    <t>https://www.carlislefsp.com/food-bars-and-accessories/adapter-bars/6070A</t>
  </si>
  <si>
    <t>6070A</t>
  </si>
  <si>
    <t>https://catalog.carlislefsp.com/images/1600x1600/332052.jpg</t>
  </si>
  <si>
    <t>• Durable – Sturdy metal supports heavy food pans with ease
• Specific Fit – Accommodates full-size pans</t>
  </si>
  <si>
    <t>201 Stainless Steel</t>
  </si>
  <si>
    <t>China</t>
  </si>
  <si>
    <t>0.22 ft3 | 0.01 m3</t>
  </si>
  <si>
    <t>21.65 in | 54.99 cm</t>
  </si>
  <si>
    <t>5.90 in | 14.99 cm</t>
  </si>
  <si>
    <t>2.95 in | 7.49 cm</t>
  </si>
  <si>
    <t xml:space="preserve">108 | </t>
  </si>
  <si>
    <t>https://www.carlislefsp.com/food-bars-and-accessories/coldmaster-standard-food-pans-and-lids/CM110303</t>
  </si>
  <si>
    <t>CM110303</t>
  </si>
  <si>
    <t>https://catalog.carlislefsp.com/images/1600x1600/296464.jpg</t>
  </si>
  <si>
    <t>• Insulated – Non-toxic, gel-filled walls keep food cold for up to 8 hours
• Mess-Free – Eliminates the need for messy, unsanitary ice baths
• Molded Divider – Allows the pan to hold two sides, sauces or condiments
• 3.5-Quart Capacity – Ideal for serving sides, condiments, toppings and sauces
• Smooth Corners – Decrease food waste and facilitate deeper cleaning
• NSF Listed as NCM1103</t>
  </si>
  <si>
    <t>https://www.carlislefsp.com/food-bars-and-accessories/coldmaster-standard-food-pans-and-lids/CM110003</t>
  </si>
  <si>
    <t>CM110003</t>
  </si>
  <si>
    <t>https://catalog.carlislefsp.com/images/1600x1600/267460.jpg</t>
  </si>
  <si>
    <t>https://www.carlislefsp.com/food-bars-and-accessories/maximizer-food-bar/772503</t>
  </si>
  <si>
    <t>https://catalog.carlislefsp.com/images/1600x1600/364612.jpg</t>
  </si>
  <si>
    <t>https://www.carlislefsp.com/food-bars-and-accessories/pump-kits/CM103502</t>
  </si>
  <si>
    <t>https://www.carlislefsp.com/food-bars-and-accessories/sneeze-guards/927207</t>
  </si>
  <si>
    <t>https://www.carlislefsp.com/food-bars-and-accessories/polycarbonate-spoons/446002</t>
  </si>
  <si>
    <t>https://www.carlislefsp.com/food-bars-and-accessories/five-star-buffet-bar/767001</t>
  </si>
  <si>
    <t>https://catalog.carlislefsp.com/images/1600x1600/365219.jpg</t>
  </si>
  <si>
    <t>https://www.carlislefsp.com/food-bars-and-accessories/maximizer-food-bar/772501</t>
  </si>
  <si>
    <t>https://www.carlislefsp.com/food-bars-and-accessories/maximizer-food-bar/772108</t>
  </si>
  <si>
    <t>https://catalog.carlislefsp.com/images/1600x1600/272655.jpg</t>
  </si>
  <si>
    <t>https://www.carlislefsp.com/food-bars-and-accessories/coldmaster-condiment-bar-organizers/CM105802</t>
  </si>
  <si>
    <t>https://www.carlislefsp.com/food-bars-and-accessories/coldmaster-crocks/38600R</t>
  </si>
  <si>
    <t>https://www.carlislefsp.com/food-bars-and-accessories/polycarbonate-spoons/441003</t>
  </si>
  <si>
    <t>https://www.carlislefsp.com/food-bars-and-accessories/coldmaster-standard-food-pans-and-lids/CM110203</t>
  </si>
  <si>
    <t>CM110203</t>
  </si>
  <si>
    <t>https://catalog.carlislefsp.com/images/1600x1600/296495.jpg</t>
  </si>
  <si>
    <t>https://www.carlislefsp.com/food-bars-and-accessories/six-star-food-bars/660803</t>
  </si>
  <si>
    <t>https://catalog.carlislefsp.com/images/1600x1600/288595.jpg</t>
  </si>
  <si>
    <t>https://www.carlislefsp.com/food-bars-and-accessories/sneeze-guards/917203</t>
  </si>
  <si>
    <t>https://www.carlislefsp.com/food-bars-and-accessories/adapter-bars/6071A</t>
  </si>
  <si>
    <t>6071A</t>
  </si>
  <si>
    <t>https://catalog.carlislefsp.com/images/1600x1600/332090.jpg</t>
  </si>
  <si>
    <t>12.75 in | 32.38 cm</t>
  </si>
  <si>
    <t>2.56 lb | 1.16 kg</t>
  </si>
  <si>
    <t>13.65 in | 34.67 cm</t>
  </si>
  <si>
    <t>2.15 in | 5.46 cm</t>
  </si>
  <si>
    <t xml:space="preserve">81 | </t>
  </si>
  <si>
    <t>https://www.carlislefsp.com/food-bars-and-accessories/six-star-food-bars/662008</t>
  </si>
  <si>
    <t>https://catalog.carlislefsp.com/images/1600x1600/271653.jpg</t>
  </si>
  <si>
    <t>https://www.carlislefsp.com/food-bars-and-accessories/sneeze-guards/972003</t>
  </si>
  <si>
    <t>https://catalog.carlislefsp.com/images/1600x1600/363163.jpg</t>
  </si>
  <si>
    <t>26.80 lb | 12.16 kg</t>
  </si>
  <si>
    <t>3.68 ft3 | 0.10 m3</t>
  </si>
  <si>
    <t>26.00 in | 66.04 cm</t>
  </si>
  <si>
    <t>4.38 in | 11.11 cm</t>
  </si>
  <si>
    <t>55.88 in | 141.92 cm</t>
  </si>
  <si>
    <t>https://www.carlislefsp.com/food-bars-and-accessories/six-star-food-bars/660508</t>
  </si>
  <si>
    <t>https://catalog.carlislefsp.com/images/1600x1600/247953.jpg</t>
  </si>
  <si>
    <t>https://www.carlislefsp.com/food-bars-and-accessories/beverage-dispensers/221102</t>
  </si>
  <si>
    <t>https://catalog.carlislefsp.com/images/1600x1600/276201.jpg</t>
  </si>
  <si>
    <t>• Base provides access to faucet from convenient serving height
• Includes labels for Iced Tea, Lemonade, Fruit Punch, Sweetened and Unsweetened Tea
• Spring action faucet provides fast flow and dripless service
• Channel inside reservoir draws all of beverage
• Embossed measuring lines in 1-qt increments
• Dispensers and bases sold separately or as set
• Economical polyethylene will withstand temperatures from -40° to 180° F</t>
  </si>
  <si>
    <t>2.05 lb | 0.93 kg</t>
  </si>
  <si>
    <t>0.94 ft3 | 0.03 m3</t>
  </si>
  <si>
    <t>12.10 in | 30.73 cm</t>
  </si>
  <si>
    <t>12.18 in | 30.94 cm</t>
  </si>
  <si>
    <t>https://www.carlislefsp.com/food-bars-and-accessories/lid-and-condiment-organizer/38800GLC</t>
  </si>
  <si>
    <t>38800GLC</t>
  </si>
  <si>
    <t>https://catalog.carlislefsp.com/images/1600x1600/6955.jpg</t>
  </si>
  <si>
    <t>• Keeps lids and sugar/creamer packets within easy reach
• Mounts on top of Vertical Cup Dispenser Cabinets listed above, or use on counter top
• Stainless steel body; rubber feet prevent slipping and protect counter
• Includes (2) pint &amp; (3) quart plastic inserts</t>
  </si>
  <si>
    <t>6.63 in | 16.84 cm</t>
  </si>
  <si>
    <t>5.30 lb | 2.40 kg</t>
  </si>
  <si>
    <t>1.10 ft3 | 0.03 m3</t>
  </si>
  <si>
    <t>25.21 in | 64.03 cm</t>
  </si>
  <si>
    <t>8.63 in | 21.92 cm</t>
  </si>
  <si>
    <t>https://www.carlislefsp.com/food-bars-and-accessories/sneeze-guards/924807</t>
  </si>
  <si>
    <t>https://catalog.carlislefsp.com/images/1600x1600/0.jpg</t>
  </si>
  <si>
    <t>https://www.carlislefsp.com/dinnerware/melamine-dinnerware-and-serving-pieces/593302</t>
  </si>
  <si>
    <t>https://catalog.carlislefsp.com/images/1600x1600/362883.jpg</t>
  </si>
  <si>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N5933</t>
  </si>
  <si>
    <t>8.25 in | 20.96 cm</t>
  </si>
  <si>
    <t>2.40 in | 6.10 cm</t>
  </si>
  <si>
    <t>Melamine</t>
  </si>
  <si>
    <t>1.14 ft3 | 0.03 m3</t>
  </si>
  <si>
    <t>32.00 fl oz | 0.95 l</t>
  </si>
  <si>
    <t>4.23 in | 10.74 cm</t>
  </si>
  <si>
    <t>https://www.carlislefsp.com/dinnerware/kingline-dinnerware/KL11603</t>
  </si>
  <si>
    <t>KL11603</t>
  </si>
  <si>
    <t>https://catalog.carlislefsp.com/images/1600x1600/343663.jpg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</si>
  <si>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NKL116</t>
  </si>
  <si>
    <t>0.76 in | 1.93 cm</t>
  </si>
  <si>
    <t>23.20 lb | 10.52 kg</t>
  </si>
  <si>
    <t>1.02 ft3 | 0.03 m3</t>
  </si>
  <si>
    <t>https://www.carlislefsp.com/dinnerware/soup-service/700628</t>
  </si>
  <si>
    <t>https://catalog.carlislefsp.com/images/1600x1600/279052.jpg</t>
  </si>
  <si>
    <t>• Hefty, thick-walled design keeps food and beverages hot
• SAN is resistant to staining, breaking and chipping
• Handle makes it easy to transport</t>
  </si>
  <si>
    <t>10.00 fl oz | 0.30 l</t>
  </si>
  <si>
    <t>7.00 fl oz | 0.21 l</t>
  </si>
  <si>
    <t>0.48 ft3 | 0.01 m3</t>
  </si>
  <si>
    <t>16.31 in | 41.43 cm</t>
  </si>
  <si>
    <t>0.27 lb | 0.12 kg</t>
  </si>
  <si>
    <t>2.87 in | 7.29 cm</t>
  </si>
  <si>
    <t>https://www.carlislefsp.com/dinnerware/plate-covers/190007</t>
  </si>
  <si>
    <t>https://catalog.carlislefsp.com/images/1600x1600/285164.jpg</t>
  </si>
  <si>
    <t>• Clear covers for easy viewing of food
• Highly heat- and break-resistant; quieter handling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</si>
  <si>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9.37 in | 23.80 cm</t>
  </si>
  <si>
    <t>0.98 ft3 | 0.03 m3</t>
  </si>
  <si>
    <t>11.70 in | 29.72 cm</t>
  </si>
  <si>
    <t>12.40 in | 31.50 cm</t>
  </si>
  <si>
    <t>8.12 in | 20.62 cm</t>
  </si>
  <si>
    <t>9.12 in | 23.16 cm</t>
  </si>
  <si>
    <t>https://www.carlislefsp.com/dinnerware/kingline-dinnerware/KL10802</t>
  </si>
  <si>
    <t>KL10802</t>
  </si>
  <si>
    <t>https://catalog.carlislefsp.com/images/1600x1600/364039.jpg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</si>
  <si>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NKL108</t>
  </si>
  <si>
    <t>1.83 in | 4.65 cm</t>
  </si>
  <si>
    <t>0.73 ft3 | 0.02 m3</t>
  </si>
  <si>
    <t>13.70 fl oz | 0.41 l</t>
  </si>
  <si>
    <t>5.52 in | 14.02 cm</t>
  </si>
  <si>
    <t>https://www.carlislefsp.com/dinnerware/dallas-ware-dinnerware/4350502</t>
  </si>
  <si>
    <t>https://catalog.carlislefsp.com/images/1600x1600/276794.jpg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</si>
  <si>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N43505</t>
  </si>
  <si>
    <t>5.58 in | 14.17 cm</t>
  </si>
  <si>
    <t>0.66 in | 1.68 cm</t>
  </si>
  <si>
    <t>9.15 lb | 4.15 kg</t>
  </si>
  <si>
    <t>https://www.carlislefsp.com/dinnerware/kingline-dinnerware/KL11625</t>
  </si>
  <si>
    <t>KL11625</t>
  </si>
  <si>
    <t>https://catalog.carlislefsp.com/images/1600x1600/344083.jpg</t>
  </si>
  <si>
    <t>https://www.carlislefsp.com/dinnerware/grove/6402215</t>
  </si>
  <si>
    <t>https://catalog.carlislefsp.com/images/1600x1600/266763.jpg</t>
  </si>
  <si>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</si>
  <si>
    <t>13.15 lb | 5.96 kg</t>
  </si>
  <si>
    <t>0.40 ft3 | 0.01 m3</t>
  </si>
  <si>
    <t>11.30 in | 28.70 cm</t>
  </si>
  <si>
    <t>1.16 lb | 0.53 kg</t>
  </si>
  <si>
    <t>https://www.carlislefsp.com/dinnerware/dallas-ware-dinnerware/4352135</t>
  </si>
  <si>
    <t>https://catalog.carlislefsp.com/images/1600x1600/277078.jpg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</si>
  <si>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N43521</t>
  </si>
  <si>
    <t>5.45 in | 13.84 cm</t>
  </si>
  <si>
    <t>1.94 in | 4.93 cm</t>
  </si>
  <si>
    <t>12.80 lb | 5.81 kg</t>
  </si>
  <si>
    <t>0.63 ft3 | 0.02 m3</t>
  </si>
  <si>
    <t>0.26 lb | 0.12 kg</t>
  </si>
  <si>
    <t>14.80 fl oz | 0.44 l</t>
  </si>
  <si>
    <t>https://www.carlislefsp.com/dinnerware/melamine-salad-bowls/800M20</t>
  </si>
  <si>
    <t>800M20</t>
  </si>
  <si>
    <t>https://catalog.carlislefsp.com/images/1600x1600/301819.jpg</t>
  </si>
  <si>
    <t>• made of dependable, impact-resistant melamine
• Melamine is resistant to staining, breaking and chipping
• safe for temperatures up to 212 degrees Fahrenheit
• NSF Listed as N800M</t>
  </si>
  <si>
    <t>7.58 in | 19.25 cm</t>
  </si>
  <si>
    <t>2.31 in | 5.87 cm</t>
  </si>
  <si>
    <t>27.00 fl oz | 0.80 l</t>
  </si>
  <si>
    <t>16.00 fl oz | 0.47 l</t>
  </si>
  <si>
    <t>19.40 lb | 8.80 kg</t>
  </si>
  <si>
    <t>1.07 ft3 | 0.03 m3</t>
  </si>
  <si>
    <t>16.00 in | 40.64 cm</t>
  </si>
  <si>
    <t>15.90 in | 40.39 cm</t>
  </si>
  <si>
    <t>0.18 lb | 0.08 kg</t>
  </si>
  <si>
    <t>3.60 in | 9.14 cm</t>
  </si>
  <si>
    <t>https://www.carlislefsp.com/dinnerware/ridge-dinnerware/5310272</t>
  </si>
  <si>
    <t>https://catalog.carlislefsp.com/images/1600x1600/302435.jpg</t>
  </si>
  <si>
    <t>• Natural Design – Earthy design complements all cuisines
• Durable – Shatter-resistant melamine resists staining and chipping
• Modern Shape – Organically shaped with a premium matte finish
• Neutral Color – Neutral color works with a variety of color palettes</t>
  </si>
  <si>
    <t>10.43 in | 26.49 cm</t>
  </si>
  <si>
    <t>0.78 in | 1.98 cm</t>
  </si>
  <si>
    <t>8.25 lb | 3.74 kg</t>
  </si>
  <si>
    <t>13.70 in | 34.80 cm</t>
  </si>
  <si>
    <t>1.31 lb | 0.59 kg</t>
  </si>
  <si>
    <t>9.61 in | 24.40 cm</t>
  </si>
  <si>
    <t>6.97 in | 17.70 cm</t>
  </si>
  <si>
    <t>10.43 in | 26.48 cm</t>
  </si>
  <si>
    <t>https://www.carlislefsp.com/dinnerware/dallas-ware-dinnerware/4350135</t>
  </si>
  <si>
    <t>https://catalog.carlislefsp.com/images/1600x1600/343626.jpg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</si>
  <si>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</si>
  <si>
    <t>0.80 in | 2.03 cm</t>
  </si>
  <si>
    <t>25.65 lb | 11.63 kg</t>
  </si>
  <si>
    <t>0.90 ft3 | 0.03 m3</t>
  </si>
  <si>
    <t xml:space="preserve">50 | </t>
  </si>
  <si>
    <t>8.92 in | 22.66 cm</t>
  </si>
  <si>
    <t>https://www.carlislefsp.com/dinnerware/sierrus-dinnerware/3300205</t>
  </si>
  <si>
    <t>https://catalog.carlislefsp.com/images/1600x1600/364086.jpg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</si>
  <si>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N33002</t>
  </si>
  <si>
    <t>10.54 in | 26.77 cm</t>
  </si>
  <si>
    <t>0.90 in | 2.29 cm</t>
  </si>
  <si>
    <t>9.50 lb | 4.31 kg</t>
  </si>
  <si>
    <t>0.35 ft3 | 0.01 m3</t>
  </si>
  <si>
    <t>10.94 in | 27.78 cm</t>
  </si>
  <si>
    <t xml:space="preserve">96 | </t>
  </si>
  <si>
    <t>0.79 lb | 0.36 kg</t>
  </si>
  <si>
    <t>https://www.carlislefsp.com/dinnerware/mingle/5400215</t>
  </si>
  <si>
    <t>https://catalog.carlislefsp.com/images/1600x1600/266438.jpg</t>
  </si>
  <si>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</si>
  <si>
    <t>0.88 in | 2.22 cm</t>
  </si>
  <si>
    <t>9.35 lb | 4.24 kg</t>
  </si>
  <si>
    <t xml:space="preserve">128 | </t>
  </si>
  <si>
    <t>8.62 in | 21.91 cm</t>
  </si>
  <si>
    <t>1.62 in | 4.13 cm</t>
  </si>
  <si>
    <t>https://www.carlislefsp.com/dinnerware/stadia-dinnerware/5300880</t>
  </si>
  <si>
    <t>https://catalog.carlislefsp.com/images/1600x1600/301206.jpg</t>
  </si>
  <si>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</si>
  <si>
    <t>2.88 in | 7.30 cm</t>
  </si>
  <si>
    <t>52.00 fl oz | 1.54 l</t>
  </si>
  <si>
    <t>40.00 fl oz | 1.18 l</t>
  </si>
  <si>
    <t>16.45 lb | 7.46 kg</t>
  </si>
  <si>
    <t>0.65 ft3 | 0.02 m3</t>
  </si>
  <si>
    <t>10.10 in | 25.65 cm</t>
  </si>
  <si>
    <t>1.36 lb | 0.62 kg</t>
  </si>
  <si>
    <t>https://www.carlislefsp.com/dinnerware/sierrus-dinnerware/3303402</t>
  </si>
  <si>
    <t>https://catalog.carlislefsp.com/images/1600x1600/272696.jpg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</si>
  <si>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N33034</t>
  </si>
  <si>
    <t>1.08 in | 2.74 cm</t>
  </si>
  <si>
    <t>17.75 lb | 8.05 kg</t>
  </si>
  <si>
    <t>0.72 ft3 | 0.02 m3</t>
  </si>
  <si>
    <t>11.10 fl oz | 0.33 l</t>
  </si>
  <si>
    <t>9.26 in | 23.52 cm</t>
  </si>
  <si>
    <t>https://www.carlislefsp.com/dinnerware/kingline-dinnerware/KL11805</t>
  </si>
  <si>
    <t>KL11805</t>
  </si>
  <si>
    <t>https://catalog.carlislefsp.com/images/1600x1600/343833.jpg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</si>
  <si>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NKL118</t>
  </si>
  <si>
    <t>1.65 in | 4.19 cm</t>
  </si>
  <si>
    <t>10.80 lb | 4.90 kg</t>
  </si>
  <si>
    <t>0.68 ft3 | 0.02 m3</t>
  </si>
  <si>
    <t>9.30 fl oz | 0.28 l</t>
  </si>
  <si>
    <t>https://www.carlislefsp.com/dinnerware/grove/6400718</t>
  </si>
  <si>
    <t>https://catalog.carlislefsp.com/images/1600x1600/365690.jpg</t>
  </si>
  <si>
    <t>0.70 in | 1.78 cm</t>
  </si>
  <si>
    <t>4.75 lb | 2.16 kg</t>
  </si>
  <si>
    <t>8.12 in | 20.64 cm</t>
  </si>
  <si>
    <t>0.40 lb | 0.18 kg</t>
  </si>
  <si>
    <t>https://www.carlislefsp.com/dinnerware/kingline-dinnerware/KL12705</t>
  </si>
  <si>
    <t>KL12705</t>
  </si>
  <si>
    <t>https://catalog.carlislefsp.com/images/1600x1600/344103.jpg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</si>
  <si>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NKL127</t>
  </si>
  <si>
    <t>11.99 in | 30.45 cm</t>
  </si>
  <si>
    <t>8.98 in | 22.81 cm</t>
  </si>
  <si>
    <t>1.20 in | 3.05 cm</t>
  </si>
  <si>
    <t>8.90 lb | 4.04 kg</t>
  </si>
  <si>
    <t>0.42 ft3 | 0.01 m3</t>
  </si>
  <si>
    <t xml:space="preserve">119 | </t>
  </si>
  <si>
    <t>https://www.carlislefsp.com/dinnerware/ridge-dinnerware/5310337</t>
  </si>
  <si>
    <t>https://catalog.carlislefsp.com/images/1600x1600/302330.jpg</t>
  </si>
  <si>
    <t>18.49 in | 46.96 cm</t>
  </si>
  <si>
    <t>14.78 in | 37.54 cm</t>
  </si>
  <si>
    <t>15.93 lb | 7.22 kg</t>
  </si>
  <si>
    <t>19.09 in | 48.49 cm</t>
  </si>
  <si>
    <t>16.02 in | 40.69 cm</t>
  </si>
  <si>
    <t xml:space="preserve">54 | </t>
  </si>
  <si>
    <t>2.66 lb | 1.21 kg</t>
  </si>
  <si>
    <t>13.28 in | 33.72 cm</t>
  </si>
  <si>
    <t>10.01 in | 25.43 cm</t>
  </si>
  <si>
    <t>18.49 in | 46.97 cm</t>
  </si>
  <si>
    <t>https://www.carlislefsp.com/dinnerware/kingline-dinnerware/KL20502</t>
  </si>
  <si>
    <t>KL20502</t>
  </si>
  <si>
    <t>https://catalog.carlislefsp.com/images/1600x1600/343971.jpg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</si>
  <si>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NKL205</t>
  </si>
  <si>
    <t>0.59 in | 1.50 cm</t>
  </si>
  <si>
    <t>0.28 ft3 | 0.01 m3</t>
  </si>
  <si>
    <t>11.63 in | 29.54 cm</t>
  </si>
  <si>
    <t>6.13 in | 15.57 cm</t>
  </si>
  <si>
    <t xml:space="preserve">196 | </t>
  </si>
  <si>
    <t xml:space="preserve">28 | </t>
  </si>
  <si>
    <t>5.47 in | 13.89 cm</t>
  </si>
  <si>
    <t>https://www.carlislefsp.com/dinnerware/dallas-ware-dinnerware/4353203</t>
  </si>
  <si>
    <t>https://catalog.carlislefsp.com/images/1600x1600/277785.jpg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</si>
  <si>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N43532</t>
  </si>
  <si>
    <t>4.08 in | 10.36 cm</t>
  </si>
  <si>
    <t>1.12 in | 2.84 cm</t>
  </si>
  <si>
    <t>6.10 lb | 2.77 kg</t>
  </si>
  <si>
    <t>0.29 ft3 | 0.01 m3</t>
  </si>
  <si>
    <t xml:space="preserve">160 | </t>
  </si>
  <si>
    <t>0.11 lb | 0.05 kg</t>
  </si>
  <si>
    <t>3.10 fl oz | 0.09 l</t>
  </si>
  <si>
    <t>https://www.carlislefsp.com/dinnerware/sierrus-dinnerware/3300809</t>
  </si>
  <si>
    <t>https://catalog.carlislefsp.com/images/1600x1600/272766.jpg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</si>
  <si>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N33008</t>
  </si>
  <si>
    <t>0.75 in | 1.91 cm</t>
  </si>
  <si>
    <t>16.50 lb | 7.48 kg</t>
  </si>
  <si>
    <t>0.49 ft3 | 0.01 m3</t>
  </si>
  <si>
    <t>0.34 lb | 0.15 kg</t>
  </si>
  <si>
    <t>https://www.carlislefsp.com/dinnerware/sierrus-dinnerware/3300442</t>
  </si>
  <si>
    <t>https://catalog.carlislefsp.com/images/1600x1600/272785.jpg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</si>
  <si>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N33004</t>
  </si>
  <si>
    <t>9.05 in | 22.99 cm</t>
  </si>
  <si>
    <t>0.91 in | 2.31 cm</t>
  </si>
  <si>
    <t>15.70 lb | 7.12 kg</t>
  </si>
  <si>
    <t>0.63 lb | 0.29 kg</t>
  </si>
  <si>
    <t>https://www.carlislefsp.com/dinnerware/gathering/GA5501270</t>
  </si>
  <si>
    <t>GA5501270</t>
  </si>
  <si>
    <t>https://catalog.carlislefsp.com/images/1600x1600/266693.jpg</t>
  </si>
  <si>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Textured surface maintains good looks longer and enhances the appearance of plated foods</t>
  </si>
  <si>
    <t>1.88 in | 4.78 cm</t>
  </si>
  <si>
    <t>9.00 fl oz | 0.27 l</t>
  </si>
  <si>
    <t>3.87 lb | 1.76 kg</t>
  </si>
  <si>
    <t xml:space="preserve">132 | </t>
  </si>
  <si>
    <t>0.32 lb | 0.15 kg</t>
  </si>
  <si>
    <t>https://www.carlislefsp.com/dinnerware/grove/6400115</t>
  </si>
  <si>
    <t>https://catalog.carlislefsp.com/images/1600x1600/266638.jpg</t>
  </si>
  <si>
    <t>10.88 in | 27.64 cm</t>
  </si>
  <si>
    <t>13.80 lb | 6.26 kg</t>
  </si>
  <si>
    <t>5.70 in | 14.48 cm</t>
  </si>
  <si>
    <t>1.19 lb | 0.54 kg</t>
  </si>
  <si>
    <t>https://www.carlislefsp.com/dinnerware/dallas-ware-dinnerware/4354003</t>
  </si>
  <si>
    <t>https://catalog.carlislefsp.com/images/1600x1600/362737.jpg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</si>
  <si>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</si>
  <si>
    <t>3.84 in | 9.75 cm</t>
  </si>
  <si>
    <t>4.25 lb | 1.93 kg</t>
  </si>
  <si>
    <t xml:space="preserve">220 | </t>
  </si>
  <si>
    <t>0.19 lb | 0.09 kg</t>
  </si>
  <si>
    <t>7.50 fl oz | 0.22 l</t>
  </si>
  <si>
    <t>https://www.carlislefsp.com/dinnerware/grove/6402206</t>
  </si>
  <si>
    <t>https://catalog.carlislefsp.com/images/1600x1600/266243.jpg</t>
  </si>
  <si>
    <t>https://www.carlislefsp.com/dinnerware/sierrus-dinnerware/3300642</t>
  </si>
  <si>
    <t>https://catalog.carlislefsp.com/images/1600x1600/364703.jpg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</si>
  <si>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N33006</t>
  </si>
  <si>
    <t>19.50 lb | 8.85 kg</t>
  </si>
  <si>
    <t>0.52 ft3 | 0.01 m3</t>
  </si>
  <si>
    <t>15.40 in | 39.12 cm</t>
  </si>
  <si>
    <t>7.70 in | 19.56 cm</t>
  </si>
  <si>
    <t>https://www.carlislefsp.com/dinnerware/stadia-dinnerware/5300280</t>
  </si>
  <si>
    <t>https://catalog.carlislefsp.com/images/1600x1600/301142.jpg</t>
  </si>
  <si>
    <t>https://www.carlislefsp.com/dinnerware/mingle/5400318</t>
  </si>
  <si>
    <t>https://catalog.carlislefsp.com/images/1600x1600/365012.jpg</t>
  </si>
  <si>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</si>
  <si>
    <t>28.50 fl oz | 0.84 l</t>
  </si>
  <si>
    <t>18.50 fl oz | 0.55 l</t>
  </si>
  <si>
    <t>4.29 lb | 1.95 kg</t>
  </si>
  <si>
    <t>0.27 ft3 | 0.01 m3</t>
  </si>
  <si>
    <t>10.62 in | 26.99 cm</t>
  </si>
  <si>
    <t>https://www.carlislefsp.com/dinnerware/mingle/5400246</t>
  </si>
  <si>
    <t>https://catalog.carlislefsp.com/images/1600x1600/266123.jpg</t>
  </si>
  <si>
    <t>https://www.carlislefsp.com/dinnerware/dallas-ware-dinnerware/4352103</t>
  </si>
  <si>
    <t>https://catalog.carlislefsp.com/images/1600x1600/277394.jpg</t>
  </si>
  <si>
    <t>https://www.carlislefsp.com/dinnerware/gathering/GA5501170</t>
  </si>
  <si>
    <t>GA5501170</t>
  </si>
  <si>
    <t>https://catalog.carlislefsp.com/images/1600x1600/266107.jpg</t>
  </si>
  <si>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Textured surface maintains good looks longer and enhances the appearance of plated foods</t>
  </si>
  <si>
    <t>20.00 fl oz | 0.59 l</t>
  </si>
  <si>
    <t>13.00 fl oz | 0.38 l</t>
  </si>
  <si>
    <t>9.17 lb | 4.16 kg</t>
  </si>
  <si>
    <t>13.25 in | 33.66 cm</t>
  </si>
  <si>
    <t>https://www.carlislefsp.com/dinnerware/stadia-dinnerware/5300602</t>
  </si>
  <si>
    <t>https://catalog.carlislefsp.com/images/1600x1600/289302.jpg</t>
  </si>
  <si>
    <t>12.00 fl oz | 0.35 l</t>
  </si>
  <si>
    <t>5.90 lb | 2.68 kg</t>
  </si>
  <si>
    <t>0.49 lb | 0.22 kg</t>
  </si>
  <si>
    <t>5.88 in | 14.92 cm</t>
  </si>
  <si>
    <t>https://www.carlislefsp.com/dinnerware/sierrus-dinnerware/3308642</t>
  </si>
  <si>
    <t>https://catalog.carlislefsp.com/images/1600x1600/272752.jpg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</si>
  <si>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N33086</t>
  </si>
  <si>
    <t>9.53 in | 24.21 cm</t>
  </si>
  <si>
    <t>7.16 in | 18.19 cm</t>
  </si>
  <si>
    <t>0.84 in | 2.13 cm</t>
  </si>
  <si>
    <t>0.45 ft3 | 0.01 m3</t>
  </si>
  <si>
    <t>15.12 in | 38.42 cm</t>
  </si>
  <si>
    <t>10.38 in | 26.35 cm</t>
  </si>
  <si>
    <t>https://www.carlislefsp.com/dinnerware/mingle/5400213</t>
  </si>
  <si>
    <t>https://catalog.carlislefsp.com/images/1600x1600/266148.jpg</t>
  </si>
  <si>
    <t>https://www.carlislefsp.com/dinnerware/mingle/5401852</t>
  </si>
  <si>
    <t>https://catalog.carlislefsp.com/images/1600x1600/266273.jpg</t>
  </si>
  <si>
    <t>4.13 in | 10.49 cm</t>
  </si>
  <si>
    <t>4.50 fl oz | 0.13 l</t>
  </si>
  <si>
    <t>9.57 lb | 4.34 kg</t>
  </si>
  <si>
    <t>0.38 ft3 | 0.01 m3</t>
  </si>
  <si>
    <t>https://www.carlislefsp.com/dinnerware/ridge-dinnerware/5310723</t>
  </si>
  <si>
    <t>https://catalog.carlislefsp.com/images/1600x1600/302273.jpg</t>
  </si>
  <si>
    <t>10.41 in | 26.44 cm</t>
  </si>
  <si>
    <t>1.46 in | 3.71 cm</t>
  </si>
  <si>
    <t>13.99 lb | 6.35 kg</t>
  </si>
  <si>
    <t>0.71 ft3 | 0.02 m3</t>
  </si>
  <si>
    <t>1.17 lb | 0.53 kg</t>
  </si>
  <si>
    <t>6.47 in | 16.43 cm</t>
  </si>
  <si>
    <t>https://www.carlislefsp.com/dinnerware/ridge-dinnerware/5310523</t>
  </si>
  <si>
    <t>https://catalog.carlislefsp.com/images/1600x1600/302324.jpg</t>
  </si>
  <si>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</si>
  <si>
    <t>10.91 in | 27.71 cm</t>
  </si>
  <si>
    <t>0.49 in | 1.24 cm</t>
  </si>
  <si>
    <t>15.90 lb | 7.21 kg</t>
  </si>
  <si>
    <t>0.43 ft3 | 0.01 m3</t>
  </si>
  <si>
    <t>11.40 in | 28.96 cm</t>
  </si>
  <si>
    <t>1.32 lb | 0.60 kg</t>
  </si>
  <si>
    <t>7.82 in | 19.87 cm</t>
  </si>
  <si>
    <t>7.54 in | 19.16 cm</t>
  </si>
  <si>
    <t>10.25 in | 26.05 cm</t>
  </si>
  <si>
    <t>https://www.carlislefsp.com/dinnerware/melamine-dinnerware-and-serving-pieces/ARR24002</t>
  </si>
  <si>
    <t>ARR24002</t>
  </si>
  <si>
    <t>https://catalog.carlislefsp.com/images/1600x1600/339218.jpg</t>
  </si>
  <si>
    <t>• Large shallow bowl perfect for serving rice, pasta, chicken, salad,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NARR240</t>
  </si>
  <si>
    <t>2.46 in | 6.25 cm</t>
  </si>
  <si>
    <t>8.35 lb | 3.79 kg</t>
  </si>
  <si>
    <t>0.58 ft3 | 0.02 m3</t>
  </si>
  <si>
    <t xml:space="preserve">100 | </t>
  </si>
  <si>
    <t>0.70 lb | 0.32 kg</t>
  </si>
  <si>
    <t>46.00 fl oz | 1.36 l</t>
  </si>
  <si>
    <t>https://www.carlislefsp.com/dinnerware/sierrus-dinnerware/3304042</t>
  </si>
  <si>
    <t>https://catalog.carlislefsp.com/images/1600x1600/272795.jpg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</si>
  <si>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N33040</t>
  </si>
  <si>
    <t>1.21 in | 3.07 cm</t>
  </si>
  <si>
    <t>17.70 lb | 8.03 kg</t>
  </si>
  <si>
    <t>0.67 ft3 | 0.02 m3</t>
  </si>
  <si>
    <t>8.00 fl oz | 0.24 l</t>
  </si>
  <si>
    <t>6.07 in | 15.42 cm</t>
  </si>
  <si>
    <t>https://www.carlislefsp.com/dinnerware/sierrus-dinnerware/3300414</t>
  </si>
  <si>
    <t>https://catalog.carlislefsp.com/images/1600x1600/365081.jpg</t>
  </si>
  <si>
    <t>https://www.carlislefsp.com/dinnerware/mingle/5400146</t>
  </si>
  <si>
    <t>https://catalog.carlislefsp.com/images/1600x1600/266898.jpg</t>
  </si>
  <si>
    <t>14.30 lb | 6.49 kg</t>
  </si>
  <si>
    <t>0.50 ft3 | 0.01 m3</t>
  </si>
  <si>
    <t>https://www.carlislefsp.com/dinnerware/mingle/5400153</t>
  </si>
  <si>
    <t>https://catalog.carlislefsp.com/images/1600x1600/318461.jpg</t>
  </si>
  <si>
    <t>https://www.carlislefsp.com/dinnerware/tulip-dishes/453307</t>
  </si>
  <si>
    <t>https://catalog.carlislefsp.com/images/1600x1600/279438.jpg</t>
  </si>
  <si>
    <t>• made of break-resistant SAN
• 4532, 4534 are also available in extra-durable polycarbonate
• Easily stack with similar glass or plastic dessert dishes
• Ideal for serving ice cream, puddings, salads and more
• SAN is resistant to staining, breaking and chipping
• NSF Listed as N4533</t>
  </si>
  <si>
    <t>5.56 in | 14.12 cm</t>
  </si>
  <si>
    <t>13.50 fl oz | 0.40 l</t>
  </si>
  <si>
    <t>5.55 lb | 2.52 kg</t>
  </si>
  <si>
    <t>0.23 lb | 0.10 kg</t>
  </si>
  <si>
    <t>https://www.carlislefsp.com/dinnerware/petal-mist-plates-and-bowls/695407</t>
  </si>
  <si>
    <t>https://catalog.carlislefsp.com/images/1600x1600/268680.jpg</t>
  </si>
  <si>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N6954</t>
  </si>
  <si>
    <t>7.68 in | 19.51 cm</t>
  </si>
  <si>
    <t>0.81 in | 2.06 cm</t>
  </si>
  <si>
    <t>8.75 lb | 3.97 kg</t>
  </si>
  <si>
    <t>16.30 in | 41.40 cm</t>
  </si>
  <si>
    <t>https://www.carlislefsp.com/dinnerware/sierrus-dinnerware/3303814</t>
  </si>
  <si>
    <t>https://catalog.carlislefsp.com/images/1600x1600/344188.jpg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</si>
  <si>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N33038</t>
  </si>
  <si>
    <t>1.97 in | 5.00 cm</t>
  </si>
  <si>
    <t>8.80 lb | 3.99 kg</t>
  </si>
  <si>
    <t>0.47 ft3 | 0.01 m3</t>
  </si>
  <si>
    <t>11.20 in | 28.45 cm</t>
  </si>
  <si>
    <t>9.60 fl oz | 0.28 l</t>
  </si>
  <si>
    <t>5.39 in | 13.69 cm</t>
  </si>
  <si>
    <t>https://www.carlislefsp.com/dinnerware/sierrus-dinnerware/3301803</t>
  </si>
  <si>
    <t>https://catalog.carlislefsp.com/images/1600x1600/272767.jpg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</si>
  <si>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N33018</t>
  </si>
  <si>
    <t>6.59 in | 16.74 cm</t>
  </si>
  <si>
    <t>16.30 lb | 7.39 kg</t>
  </si>
  <si>
    <t>13.90 in | 35.31 cm</t>
  </si>
  <si>
    <t>https://www.carlislefsp.com/dinnerware/ridge-dinnerware/5310438</t>
  </si>
  <si>
    <t>https://catalog.carlislefsp.com/images/1600x1600/302331.jpg</t>
  </si>
  <si>
    <t>8.94 in | 22.71 cm</t>
  </si>
  <si>
    <t>8.41 in | 21.36 cm</t>
  </si>
  <si>
    <t>0.44 in | 1.12 cm</t>
  </si>
  <si>
    <t>9.64 lb | 4.37 kg</t>
  </si>
  <si>
    <t>9.84 in | 24.99 cm</t>
  </si>
  <si>
    <t>9.45 in | 24.00 cm</t>
  </si>
  <si>
    <t>0.80 lb | 0.36 kg</t>
  </si>
  <si>
    <t>6.45 in | 16.39 cm</t>
  </si>
  <si>
    <t>6.08 in | 15.44 cm</t>
  </si>
  <si>
    <t>8.41 in | 21.37 cm</t>
  </si>
  <si>
    <t>https://www.carlislefsp.com/dinnerware/tulip-dishes/453107</t>
  </si>
  <si>
    <t>https://catalog.carlislefsp.com/images/1600x1600/355307.jpg</t>
  </si>
  <si>
    <t>• Ideal for serving ice cream, puddings, salads and more
• Easily stack with similar glass or plastic dessert dishes
• Made of break-resistant SAN
• 4532, 4534 are also available in extra-durable polycarbonate
• SAN is resistant to staining, breaking and chipping
• NSF Listed as N4531</t>
  </si>
  <si>
    <t>1.90 in | 4.83 cm</t>
  </si>
  <si>
    <t>6.25 fl oz | 0.18 l</t>
  </si>
  <si>
    <t>0.10 lb | 0.05 kg</t>
  </si>
  <si>
    <t>2.06 in | 5.23 cm</t>
  </si>
  <si>
    <t>https://www.carlislefsp.com/dinnerware/sierrus-dinnerware/3303005</t>
  </si>
  <si>
    <t>https://catalog.carlislefsp.com/images/1600x1600/363441.jpg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</si>
  <si>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N33030</t>
  </si>
  <si>
    <t>0.54 ft3 | 0.02 m3</t>
  </si>
  <si>
    <t>12.62 in | 32.07 cm</t>
  </si>
  <si>
    <t>19.90 fl oz | 0.59 l</t>
  </si>
  <si>
    <t>12.02 in | 30.53 cm</t>
  </si>
  <si>
    <t>https://www.carlislefsp.com/dinnerware/dallas-ware-dinnerware/4351625</t>
  </si>
  <si>
    <t>https://catalog.carlislefsp.com/images/1600x1600/364822.jpg</t>
  </si>
  <si>
    <t>• Durable – Made of sturdy, heavy-weight melamine
• Temperature Insulated – Resists drawing heat or cold away from food
• Sectioned Design – Keep food separate in three molded compartments
• Classic Styling – Timeless appearance which can be dressed up or dressed down
• Stackablity – Reinforced rim and foot design stacks to save space
• NSF Listed as N43516</t>
  </si>
  <si>
    <t>1.33 in | 3.38 cm</t>
  </si>
  <si>
    <t>18.80 lb | 8.53 kg</t>
  </si>
  <si>
    <t>1.18 ft3 | 0.03 m3</t>
  </si>
  <si>
    <t>18.50 in | 46.99 cm</t>
  </si>
  <si>
    <t>9.60 in | 24.38 cm</t>
  </si>
  <si>
    <t>https://www.carlislefsp.com/dinnerware/ridge-dinnerware/5310638</t>
  </si>
  <si>
    <t>https://catalog.carlislefsp.com/images/1600x1600/302426.jpg</t>
  </si>
  <si>
    <t>8.93 in | 22.68 cm</t>
  </si>
  <si>
    <t>8.95 lb | 4.06 kg</t>
  </si>
  <si>
    <t xml:space="preserve">112 | </t>
  </si>
  <si>
    <t>0.74 lb | 0.34 kg</t>
  </si>
  <si>
    <t>8.93 in | 22.67 cm</t>
  </si>
  <si>
    <t>5.72 in | 14.52 cm</t>
  </si>
  <si>
    <t>https://www.carlislefsp.com/dinnerware/dallas-ware-dinnerware/4350325</t>
  </si>
  <si>
    <t>https://catalog.carlislefsp.com/images/1600x1600/277404.jpg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</si>
  <si>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N43503</t>
  </si>
  <si>
    <t>0.74 in | 1.88 cm</t>
  </si>
  <si>
    <t>15.50 lb | 7.03 kg</t>
  </si>
  <si>
    <t>15.25 in | 38.73 cm</t>
  </si>
  <si>
    <t>https://www.carlislefsp.com/dinnerware/melamine-dinnerware-and-serving-pieces/4373702</t>
  </si>
  <si>
    <t>https://catalog.carlislefsp.com/images/1600x1600/339205.jpg</t>
  </si>
  <si>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N43737</t>
  </si>
  <si>
    <t>2.63 in | 6.68 cm</t>
  </si>
  <si>
    <t>5.00 lb | 2.27 kg</t>
  </si>
  <si>
    <t>0.36 ft3 | 0.01 m3</t>
  </si>
  <si>
    <t>8.94 in | 22.70 cm</t>
  </si>
  <si>
    <t>0.42 lb | 0.19 kg</t>
  </si>
  <si>
    <t>24.00 fl oz | 0.71 l</t>
  </si>
  <si>
    <t>https://www.carlislefsp.com/dinnerware/dallas-ware-dinnerware/4356025</t>
  </si>
  <si>
    <t>https://catalog.carlislefsp.com/images/1600x1600/277529.jpg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</si>
  <si>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N43560</t>
  </si>
  <si>
    <t>11.89 in | 30.20 cm</t>
  </si>
  <si>
    <t>8.46 in | 21.49 cm</t>
  </si>
  <si>
    <t>1.07 in | 2.72 cm</t>
  </si>
  <si>
    <t>https://www.carlislefsp.com/dinnerware/sierrus-dinnerware/3300203</t>
  </si>
  <si>
    <t>https://catalog.carlislefsp.com/images/1600x1600/362774.jpg</t>
  </si>
  <si>
    <t>https://www.carlislefsp.com/dinnerware/mingle/5400552</t>
  </si>
  <si>
    <t>https://catalog.carlislefsp.com/images/1600x1600/276043.jpg</t>
  </si>
  <si>
    <t>17.00 fl oz | 0.50 l</t>
  </si>
  <si>
    <t>7.12 lb | 3.23 kg</t>
  </si>
  <si>
    <t>13.26 in | 33.68 cm</t>
  </si>
  <si>
    <t>4.76 in | 12.09 cm</t>
  </si>
  <si>
    <t xml:space="preserve">99 | </t>
  </si>
  <si>
    <t>https://www.carlislefsp.com/dinnerware/ridge-dinnerware/5310537</t>
  </si>
  <si>
    <t>https://catalog.carlislefsp.com/images/1600x1600/302302.jpg</t>
  </si>
  <si>
    <t>https://www.carlislefsp.com/dinnerware/kingline-dinnerware/KL11602</t>
  </si>
  <si>
    <t>KL11602</t>
  </si>
  <si>
    <t>https://catalog.carlislefsp.com/images/1600x1600/364440.jpg</t>
  </si>
  <si>
    <t>https://www.carlislefsp.com/dinnerware/grove/6402018</t>
  </si>
  <si>
    <t>https://catalog.carlislefsp.com/images/1600x1600/266978.jpg</t>
  </si>
  <si>
    <t>10.41 lb | 4.72 kg</t>
  </si>
  <si>
    <t>0.87 lb | 0.39 kg</t>
  </si>
  <si>
    <t>https://www.carlislefsp.com/dinnerware/sierrus-dinnerware/3303003</t>
  </si>
  <si>
    <t>https://catalog.carlislefsp.com/images/1600x1600/365094.jpg</t>
  </si>
  <si>
    <t>https://www.carlislefsp.com/dinnerware/kingline-dinnerware/KL12725</t>
  </si>
  <si>
    <t>KL12725</t>
  </si>
  <si>
    <t>https://catalog.carlislefsp.com/images/1600x1600/344211.jpg</t>
  </si>
  <si>
    <t>https://www.carlislefsp.com/dinnerware/kingline-dinnerware/KL12102</t>
  </si>
  <si>
    <t>KL12102</t>
  </si>
  <si>
    <t>https://catalog.carlislefsp.com/images/1600x1600/343601.jpg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</si>
  <si>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NKL121</t>
  </si>
  <si>
    <t>1.52 in | 3.86 cm</t>
  </si>
  <si>
    <t>0.51 ft3 | 0.01 m3</t>
  </si>
  <si>
    <t>12.63 in | 32.08 cm</t>
  </si>
  <si>
    <t>5.95 in | 15.11 cm</t>
  </si>
  <si>
    <t>https://www.carlislefsp.com/dinnerware/kingline-dinnerware/KL20005</t>
  </si>
  <si>
    <t>KL20005</t>
  </si>
  <si>
    <t>https://catalog.carlislefsp.com/images/1600x1600/344359.jpg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</si>
  <si>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NKL200</t>
  </si>
  <si>
    <t>0.77 in | 1.96 cm</t>
  </si>
  <si>
    <t>0.76 ft3 | 0.02 m3</t>
  </si>
  <si>
    <t>18.30 in | 46.48 cm</t>
  </si>
  <si>
    <t>https://www.carlislefsp.com/dinnerware/petal-mist-plates-and-bowls/691407</t>
  </si>
  <si>
    <t>https://catalog.carlislefsp.com/images/1600x1600/277300.jpg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</si>
  <si>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N6914</t>
  </si>
  <si>
    <t>11.93 in | 30.30 cm</t>
  </si>
  <si>
    <t>4.18 in | 10.62 cm</t>
  </si>
  <si>
    <t>5.75 qt | 5.44 l</t>
  </si>
  <si>
    <t>5.25 qt | 4.97 l</t>
  </si>
  <si>
    <t>12.30 in | 31.24 cm</t>
  </si>
  <si>
    <t>1.38 lb | 0.62 kg</t>
  </si>
  <si>
    <t>https://www.carlislefsp.com/dinnerware/kingline-dinnerware/KL20402</t>
  </si>
  <si>
    <t>KL20402</t>
  </si>
  <si>
    <t>https://catalog.carlislefsp.com/images/1600x1600/364460.jpg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</si>
  <si>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NKL204</t>
  </si>
  <si>
    <t>0.64 in | 1.63 cm</t>
  </si>
  <si>
    <t>11.35 lb | 5.15 kg</t>
  </si>
  <si>
    <t>13.63 in | 34.62 cm</t>
  </si>
  <si>
    <t>https://www.carlislefsp.com/dinnerware/stadia-dinnerware/5300502</t>
  </si>
  <si>
    <t>https://catalog.carlislefsp.com/images/1600x1600/289297.jpg</t>
  </si>
  <si>
    <t>11.90 in | 30.23 cm</t>
  </si>
  <si>
    <t>1.54 lb | 0.70 kg</t>
  </si>
  <si>
    <t>9.88 in | 25.08 cm</t>
  </si>
  <si>
    <t>https://www.carlislefsp.com/dinnerware/melamine-salad-bowls/650B03</t>
  </si>
  <si>
    <t>650B03</t>
  </si>
  <si>
    <t>https://catalog.carlislefsp.com/images/1600x1600/301824.jpg</t>
  </si>
  <si>
    <t>• made of dependable, impact-resistant melamine
• Melamine is resistant to staining, breaking and chipping
• safe for temperatures up to 212 degrees Fahrenheit
• NSF Listed as N650B</t>
  </si>
  <si>
    <t>2.18 in | 5.54 cm</t>
  </si>
  <si>
    <t>14.00 fl oz | 0.41 l</t>
  </si>
  <si>
    <t>11.26 lb | 5.11 kg</t>
  </si>
  <si>
    <t xml:space="preserve">45 | </t>
  </si>
  <si>
    <t>0.16 lb | 0.07 kg</t>
  </si>
  <si>
    <t>3.13 in | 7.95 cm</t>
  </si>
  <si>
    <t>https://www.carlislefsp.com/dinnerware/stadia-dinnerware/5300202</t>
  </si>
  <si>
    <t>https://catalog.carlislefsp.com/images/1600x1600/289282.jpg</t>
  </si>
  <si>
    <t>https://www.carlislefsp.com/dinnerware/sierrus-dinnerware/3301609</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</si>
  <si>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N33016</t>
  </si>
  <si>
    <t>7.55 in | 19.18 cm</t>
  </si>
  <si>
    <t>21.50 lb | 9.75 kg</t>
  </si>
  <si>
    <t>7.81 in | 19.84 cm</t>
  </si>
  <si>
    <t>https://www.carlislefsp.com/dinnerware/kingline-dinnerware/KL92892</t>
  </si>
  <si>
    <t>KL92892</t>
  </si>
  <si>
    <t>https://catalog.carlislefsp.com/images/1600x1600/344334.jpg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</si>
  <si>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NKL928</t>
  </si>
  <si>
    <t>1.29 in | 3.28 cm</t>
  </si>
  <si>
    <t>0.31 ft3 | 0.01 m3</t>
  </si>
  <si>
    <t>4.75 fl oz | 0.14 l</t>
  </si>
  <si>
    <t>https://www.carlislefsp.com/dinnerware/grove/6400106</t>
  </si>
  <si>
    <t>https://catalog.carlislefsp.com/images/1600x1600/364080.jpg</t>
  </si>
  <si>
    <t>https://www.carlislefsp.com/dinnerware/epicure-dinnerware/4381302</t>
  </si>
  <si>
    <t>https://catalog.carlislefsp.com/images/1600x1600/266538.jpg</t>
  </si>
  <si>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N43813</t>
  </si>
  <si>
    <t>7.96 in | 20.22 cm</t>
  </si>
  <si>
    <t>2.29 in | 5.82 cm</t>
  </si>
  <si>
    <t>0.39 ft3 | 0.01 m3</t>
  </si>
  <si>
    <t>36.00 fl oz | 1.06 l</t>
  </si>
  <si>
    <t>https://www.carlislefsp.com/dinnerware/stadia-dinnerware/5300780</t>
  </si>
  <si>
    <t>https://catalog.carlislefsp.com/images/1600x1600/301213.jpg</t>
  </si>
  <si>
    <t>12.76 lb | 5.79 kg</t>
  </si>
  <si>
    <t>8.86 in | 22.50 cm</t>
  </si>
  <si>
    <t>8.07 in | 20.50 cm</t>
  </si>
  <si>
    <t>11.22 in | 28.50 cm</t>
  </si>
  <si>
    <t>1.06 lb | 0.48 kg</t>
  </si>
  <si>
    <t>https://www.carlislefsp.com/dinnerware/microwave-ware/742002</t>
  </si>
  <si>
    <t>https://catalog.carlislefsp.com/images/1600x1600/365794.jpg</t>
  </si>
  <si>
    <t>• polycarbonate serving accessories designed specifically for microwave cooking
• stays cool to the touch when coming out of the microwave
• extremely impact resistant
• safe for temperatures from -40° to 212°F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</si>
  <si>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5.31 in | 13.49 cm</t>
  </si>
  <si>
    <t>2.37 in | 6.02 cm</t>
  </si>
  <si>
    <t>17.94 in | 45.56 cm</t>
  </si>
  <si>
    <t>0.48 lb | 0.22 kg</t>
  </si>
  <si>
    <t>3.25 in | 8.26 cm</t>
  </si>
  <si>
    <t>https://www.carlislefsp.com/dinnerware/sierrus-dinnerware/3300814</t>
  </si>
  <si>
    <t>https://catalog.carlislefsp.com/images/1600x1600/272847.jpg</t>
  </si>
  <si>
    <t>https://www.carlislefsp.com/dinnerware/polycarbonate-dinnerware/PCD21025</t>
  </si>
  <si>
    <t>PCD21025</t>
  </si>
  <si>
    <t>https://catalog.carlislefsp.com/images/1600x1600/283187.jpg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</si>
  <si>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NPCD210</t>
  </si>
  <si>
    <t>26.60 lb | 12.07 kg</t>
  </si>
  <si>
    <t>16.20 in | 41.15 cm</t>
  </si>
  <si>
    <t>https://www.carlislefsp.com/dinnerware/small-plates/793403</t>
  </si>
  <si>
    <t>https://catalog.carlislefsp.com/images/1600x1600/279032.jpg</t>
  </si>
  <si>
    <t>• High quality, heavy-weight melamine
• Enjoy the look and feel of china without the replacement cost
• Break-resistant melamine is safe for temperatures up to 212°F
• Use the combination of this inset and platter(7932) for serving appetizers and sauces
• Designed to use alone or as an inset in our 18" x 7" Scalloped Platter(7932)
• Melamine is resistant to staining, breaking and chipping</t>
  </si>
  <si>
    <t>11.62 in | 29.53 cm</t>
  </si>
  <si>
    <t>8.50 fl oz | 0.25 l</t>
  </si>
  <si>
    <t>https://www.carlislefsp.com/dinnerware/sierrus-dinnerware/3301042</t>
  </si>
  <si>
    <t>https://catalog.carlislefsp.com/images/1600x1600/272683.jpg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</si>
  <si>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N33010</t>
  </si>
  <si>
    <t>10.57 in | 26.85 cm</t>
  </si>
  <si>
    <t>0.99 in | 2.51 cm</t>
  </si>
  <si>
    <t>0.88 lb | 0.40 kg</t>
  </si>
  <si>
    <t>https://www.carlislefsp.com/dinnerware/epicure-dinnerware/4380302</t>
  </si>
  <si>
    <t>https://catalog.carlislefsp.com/images/1600x1600/364934.jpg</t>
  </si>
  <si>
    <t>•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N43803</t>
  </si>
  <si>
    <t>0.61 in | 1.55 cm</t>
  </si>
  <si>
    <t>16.19 in | 41.12 cm</t>
  </si>
  <si>
    <t>8.19 in | 20.80 cm</t>
  </si>
  <si>
    <t>0.33 lb | 0.15 kg</t>
  </si>
  <si>
    <t>https://www.carlislefsp.com/dinnerware/sierrus-dinnerware/3304005</t>
  </si>
  <si>
    <t>https://catalog.carlislefsp.com/images/1600x1600/362777.jpg</t>
  </si>
  <si>
    <t>https://www.carlislefsp.com/dinnerware/ridge-dinnerware/5310123</t>
  </si>
  <si>
    <t>https://catalog.carlislefsp.com/images/1600x1600/302284.jpg</t>
  </si>
  <si>
    <t>9.87 in | 25.07 cm</t>
  </si>
  <si>
    <t>9.22 in | 23.42 cm</t>
  </si>
  <si>
    <t>1.40 in | 3.56 cm</t>
  </si>
  <si>
    <t>29.00 fl oz | 0.86 l</t>
  </si>
  <si>
    <t>15.00 fl oz | 0.44 l</t>
  </si>
  <si>
    <t>12.12 lb | 5.50 kg</t>
  </si>
  <si>
    <t>10.63 in | 27.00 cm</t>
  </si>
  <si>
    <t>1.01 lb | 0.46 kg</t>
  </si>
  <si>
    <t>6.30 in | 15.99 cm</t>
  </si>
  <si>
    <t>5.89 in | 14.97 cm</t>
  </si>
  <si>
    <t>9.22 in | 23.41 cm</t>
  </si>
  <si>
    <t>https://www.carlislefsp.com/dinnerware/ridge-dinnerware/5310637</t>
  </si>
  <si>
    <t>https://catalog.carlislefsp.com/images/1600x1600/302386.jpg</t>
  </si>
  <si>
    <t>https://www.carlislefsp.com/dinnerware/melamine-salad-bowls/575B03</t>
  </si>
  <si>
    <t>575B03</t>
  </si>
  <si>
    <t>https://catalog.carlislefsp.com/images/1600x1600/301797.jpg</t>
  </si>
  <si>
    <t>• made of dependable, impact-resistant melamine
• Dishwasher safe; safe for temperatures up to 212°F
• Melamine is resistant to staining, breaking and chipping
• NSF Listed as N575B</t>
  </si>
  <si>
    <t>5.24 lb | 2.38 kg</t>
  </si>
  <si>
    <t>0.61 ft3 | 0.02 m3</t>
  </si>
  <si>
    <t>0.07 lb | 0.03 kg</t>
  </si>
  <si>
    <t>https://www.carlislefsp.com/dinnerware/dallas-ware-dinnerware/4352002</t>
  </si>
  <si>
    <t>https://catalog.carlislefsp.com/images/1600x1600/277553.jpg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</si>
  <si>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N43520</t>
  </si>
  <si>
    <t>5.74 in | 14.58 cm</t>
  </si>
  <si>
    <t>2.17 in | 5.51 cm</t>
  </si>
  <si>
    <t>0.86 ft3 | 0.02 m3</t>
  </si>
  <si>
    <t>12.31 in | 31.27 cm</t>
  </si>
  <si>
    <t>12.44 in | 31.59 cm</t>
  </si>
  <si>
    <t>0.31 lb | 0.14 kg</t>
  </si>
  <si>
    <t>https://www.carlislefsp.com/dinnerware/stadia-dinnerware/5300902</t>
  </si>
  <si>
    <t>https://catalog.carlislefsp.com/images/1600x1600/289317.jpg</t>
  </si>
  <si>
    <t>0.50 in | 1.27 cm</t>
  </si>
  <si>
    <t>13.03 lb | 5.91 kg</t>
  </si>
  <si>
    <t>14.17 in | 36.00 cm</t>
  </si>
  <si>
    <t>8.66 in | 22.00 cm</t>
  </si>
  <si>
    <t>5.98 in | 15.20 cm</t>
  </si>
  <si>
    <t xml:space="preserve">117 | </t>
  </si>
  <si>
    <t>https://www.carlislefsp.com/dinnerware/sierrus-dinnerware/3301202</t>
  </si>
  <si>
    <t>https://catalog.carlislefsp.com/images/1600x1600/272806.jpg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</si>
  <si>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N33012</t>
  </si>
  <si>
    <t>0.89 in | 2.26 cm</t>
  </si>
  <si>
    <t>15.65 lb | 7.10 kg</t>
  </si>
  <si>
    <t>9.19 in | 23.34 cm</t>
  </si>
  <si>
    <t>https://www.carlislefsp.com/dinnerware/stadia-dinnerware/5300302</t>
  </si>
  <si>
    <t>https://catalog.carlislefsp.com/images/1600x1600/289287.jpg</t>
  </si>
  <si>
    <t>8.62 in | 21.89 cm</t>
  </si>
  <si>
    <t>1.88 in | 4.76 cm</t>
  </si>
  <si>
    <t>8.20 lb | 3.72 kg</t>
  </si>
  <si>
    <t>0.66 lb | 0.30 kg</t>
  </si>
  <si>
    <t>https://www.carlislefsp.com/dinnerware/mingle/5401952</t>
  </si>
  <si>
    <t>https://catalog.carlislefsp.com/images/1600x1600/288738.jpg</t>
  </si>
  <si>
    <t>2.12 in | 5.40 cm</t>
  </si>
  <si>
    <t>22.00 fl oz | 0.65 l</t>
  </si>
  <si>
    <t>10.01 lb | 4.54 kg</t>
  </si>
  <si>
    <t>17.88 in | 45.40 cm</t>
  </si>
  <si>
    <t>https://www.carlislefsp.com/dinnerware/kingline-dinnerware/KL80525</t>
  </si>
  <si>
    <t>KL80525</t>
  </si>
  <si>
    <t>https://catalog.carlislefsp.com/images/1600x1600/364116.jpg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</si>
  <si>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NKL805</t>
  </si>
  <si>
    <t>9.88 in | 25.10 cm</t>
  </si>
  <si>
    <t>https://www.carlislefsp.com/dinnerware/stadia-dinnerware/5300002</t>
  </si>
  <si>
    <t>https://catalog.carlislefsp.com/images/1600x1600/289272.jpg</t>
  </si>
  <si>
    <t>10.62 in | 26.97 cm</t>
  </si>
  <si>
    <t>14.25 lb | 6.46 kg</t>
  </si>
  <si>
    <t>https://www.carlislefsp.com/dinnerware/mingle/5401818</t>
  </si>
  <si>
    <t>https://catalog.carlislefsp.com/images/1600x1600/291287.jpg</t>
  </si>
  <si>
    <t>https://www.carlislefsp.com/dinnerware/sierrus-dinnerware/3303042</t>
  </si>
  <si>
    <t>https://catalog.carlislefsp.com/images/1600x1600/272844.jpg</t>
  </si>
  <si>
    <t>https://www.carlislefsp.com/dinnerware/sierrus-dinnerware/3303203</t>
  </si>
  <si>
    <t>https://catalog.carlislefsp.com/images/1600x1600/364269.jpg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</si>
  <si>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N33032</t>
  </si>
  <si>
    <t>1.58 in | 4.01 cm</t>
  </si>
  <si>
    <t>14.50 fl oz | 0.43 l</t>
  </si>
  <si>
    <t>11.55 lb | 5.24 kg</t>
  </si>
  <si>
    <t>15.80 in | 40.13 cm</t>
  </si>
  <si>
    <t>7.49 in | 19.02 cm</t>
  </si>
  <si>
    <t>https://www.carlislefsp.com/dinnerware/mingle/5400113</t>
  </si>
  <si>
    <t>https://catalog.carlislefsp.com/images/1600x1600/267008.jpg</t>
  </si>
  <si>
    <t>https://www.carlislefsp.com/dinnerware/kingline-dinnerware/KL35003</t>
  </si>
  <si>
    <t>KL35003</t>
  </si>
  <si>
    <t>https://catalog.carlislefsp.com/images/1600x1600/344012.jpg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</si>
  <si>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NKL350</t>
  </si>
  <si>
    <t>3.67 in | 9.32 cm</t>
  </si>
  <si>
    <t>4.63 in | 11.76 cm</t>
  </si>
  <si>
    <t>7.70 fl oz | 0.23 l</t>
  </si>
  <si>
    <t>https://www.carlislefsp.com/dinnerware/ridge-dinnerware/5310972</t>
  </si>
  <si>
    <t>https://catalog.carlislefsp.com/images/1600x1600/302373.jpg</t>
  </si>
  <si>
    <t>8.69 in | 22.07 cm</t>
  </si>
  <si>
    <t>2.92 in | 7.42 cm</t>
  </si>
  <si>
    <t>60.00 fl oz | 1.77 l</t>
  </si>
  <si>
    <t>45.00 fl oz | 1.33 l</t>
  </si>
  <si>
    <t>14.75 lb | 6.69 kg</t>
  </si>
  <si>
    <t>1.22 lb | 0.55 kg</t>
  </si>
  <si>
    <t>5.44 in | 13.82 cm</t>
  </si>
  <si>
    <t>5.29 in | 13.42 cm</t>
  </si>
  <si>
    <t>8.69 in | 22.06 cm</t>
  </si>
  <si>
    <t>https://www.carlislefsp.com/dinnerware/sierrus-dinnerware/3300002</t>
  </si>
  <si>
    <t>https://catalog.carlislefsp.com/images/1600x1600/1614.jpg</t>
  </si>
  <si>
    <t>• Durable – Made of heavy-duty, shatter-resistant melamine
• Multiple Compartments – Raised dividers form three compartments which separate food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N33000</t>
  </si>
  <si>
    <t>10.25 lb | 4.65 kg</t>
  </si>
  <si>
    <t>https://www.carlislefsp.com/dinnerware/petal-mist-plates-and-bowls/691907</t>
  </si>
  <si>
    <t>https://catalog.carlislefsp.com/images/1600x1600/277468.jpg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</si>
  <si>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N6919</t>
  </si>
  <si>
    <t>17.20 qt | 16.28 l</t>
  </si>
  <si>
    <t>https://www.carlislefsp.com/dinnerware/petal-mist-plates-and-bowls/690407</t>
  </si>
  <si>
    <t>https://catalog.carlislefsp.com/images/1600x1600/276909.jpg</t>
  </si>
  <si>
    <t>• Petal Mist's delicate design gives an elegant appearance; perfect for buffets, food bars, delis, poolside, and catering
• Made of tough, break-resistant polycarbonate
• Textured exterior hides scratches; easy-clean smooth interior
• Trays are perfect for buffets or displaying catered foods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N6904</t>
  </si>
  <si>
    <t>https://www.carlislefsp.com/dinnerware/dallas-ware-dinnerware/4351602</t>
  </si>
  <si>
    <t>https://catalog.carlislefsp.com/images/1600x1600/363680.jpg</t>
  </si>
  <si>
    <t>https://www.carlislefsp.com/dinnerware/mingle/5400253</t>
  </si>
  <si>
    <t>https://catalog.carlislefsp.com/images/1600x1600/318466.jpg</t>
  </si>
  <si>
    <t>https://www.carlislefsp.com/items/KL80025</t>
  </si>
  <si>
    <t>KL80025</t>
  </si>
  <si>
    <t>https://catalog.carlislefsp.com/images/1600x1600/364806.jpg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</si>
  <si>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NKL800</t>
  </si>
  <si>
    <t>4.94 in | 12.55 cm</t>
  </si>
  <si>
    <t>1.26 in | 3.20 cm</t>
  </si>
  <si>
    <t>8.30 lb | 3.76 kg</t>
  </si>
  <si>
    <t>5.00 fl oz | 0.15 l</t>
  </si>
  <si>
    <t>https://www.carlislefsp.com/dinnerware/ridge-dinnerware/5310738</t>
  </si>
  <si>
    <t>https://catalog.carlislefsp.com/images/1600x1600/302358.jpg</t>
  </si>
  <si>
    <t>https://www.carlislefsp.com/dinnerware/ridge-dinnerware/5310172</t>
  </si>
  <si>
    <t>https://catalog.carlislefsp.com/images/1600x1600/302405.jpg</t>
  </si>
  <si>
    <t>https://www.carlislefsp.com/dinnerware/ridge-dinnerware/5311023</t>
  </si>
  <si>
    <t>https://catalog.carlislefsp.com/images/1600x1600/302439.jpg</t>
  </si>
  <si>
    <t>4.56 in | 11.58 cm</t>
  </si>
  <si>
    <t>4.44 in | 11.28 cm</t>
  </si>
  <si>
    <t>4.14 lb | 1.88 kg</t>
  </si>
  <si>
    <t>10.32 in | 26.21 cm</t>
  </si>
  <si>
    <t>2.62 in | 6.64 cm</t>
  </si>
  <si>
    <t>2.55 in | 6.47 cm</t>
  </si>
  <si>
    <t>4.56 in | 11.59 cm</t>
  </si>
  <si>
    <t>4.44 in | 11.29 cm</t>
  </si>
  <si>
    <t>https://www.carlislefsp.com/dinnerware/ridge-dinnerware/5310623</t>
  </si>
  <si>
    <t>https://catalog.carlislefsp.com/images/1600x1600/302398.jpg</t>
  </si>
  <si>
    <t>https://www.carlislefsp.com/dinnerware/ridge-dinnerware/5310838</t>
  </si>
  <si>
    <t>https://catalog.carlislefsp.com/images/1600x1600/302404.jpg</t>
  </si>
  <si>
    <t>2.19 in | 5.56 cm</t>
  </si>
  <si>
    <t>6.49 lb | 2.94 kg</t>
  </si>
  <si>
    <t>14.57 in | 37.01 cm</t>
  </si>
  <si>
    <t xml:space="preserve">135 | </t>
  </si>
  <si>
    <t>0.54 lb | 0.24 kg</t>
  </si>
  <si>
    <t>4.07 in | 10.34 cm</t>
  </si>
  <si>
    <t>3.78 in | 9.60 cm</t>
  </si>
  <si>
    <t>6.89 in | 17.51 cm</t>
  </si>
  <si>
    <t>6.64 in | 16.87 cm</t>
  </si>
  <si>
    <t>https://www.carlislefsp.com/dinnerware/sierrus-dinnerware/3303614</t>
  </si>
  <si>
    <t>https://catalog.carlislefsp.com/images/1600x1600/272661.jpg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</si>
  <si>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N33036</t>
  </si>
  <si>
    <t>13.35 lb | 6.06 kg</t>
  </si>
  <si>
    <t>0.55 ft3 | 0.02 m3</t>
  </si>
  <si>
    <t>12.90 fl oz | 0.38 l</t>
  </si>
  <si>
    <t>7.24 in | 18.39 cm</t>
  </si>
  <si>
    <t>https://www.carlislefsp.com/dinnerware/ridge-dinnerware/5310472</t>
  </si>
  <si>
    <t>https://catalog.carlislefsp.com/images/1600x1600/302427.jpg</t>
  </si>
  <si>
    <t>https://www.carlislefsp.com/dinnerware/dallas-ware-dinnerware/4353125</t>
  </si>
  <si>
    <t>https://catalog.carlislefsp.com/images/1600x1600/365078.jpg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</si>
  <si>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N43531</t>
  </si>
  <si>
    <t>4.61 in | 11.71 cm</t>
  </si>
  <si>
    <t>6.00 lb | 2.72 kg</t>
  </si>
  <si>
    <t xml:space="preserve">140 | </t>
  </si>
  <si>
    <t>4.70 fl oz | 0.14 l</t>
  </si>
  <si>
    <t>https://www.carlislefsp.com/dinnerware/soup-service/700622</t>
  </si>
  <si>
    <t>https://catalog.carlislefsp.com/images/1600x1600/268475.jpg</t>
  </si>
  <si>
    <t>https://www.carlislefsp.com/dinnerware/tulip-dishes/453207</t>
  </si>
  <si>
    <t>https://catalog.carlislefsp.com/images/1600x1600/355102.jpg</t>
  </si>
  <si>
    <t>• Ideal for serving ice cream, puddings, salads and more
• Easily stack with similar glass or plastic dessert dishes
• Made of extra-durable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</si>
  <si>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8.31 in | 21.11 cm</t>
  </si>
  <si>
    <t>1.62 in | 4.11 cm</t>
  </si>
  <si>
    <t>https://www.carlislefsp.com/dinnerware/dallas-ware-dinnerware/4356035</t>
  </si>
  <si>
    <t>https://catalog.carlislefsp.com/images/1600x1600/277354.jpg</t>
  </si>
  <si>
    <t>https://www.carlislefsp.com/dinnerware/dallas-ware-dinnerware/4350125</t>
  </si>
  <si>
    <t>https://catalog.carlislefsp.com/images/1600x1600/364298.jpg</t>
  </si>
  <si>
    <t>https://www.carlislefsp.com/dinnerware/microwave-ware/740502</t>
  </si>
  <si>
    <t>https://catalog.carlislefsp.com/images/1600x1600/363206.jpg</t>
  </si>
  <si>
    <t>• Serving accessories designed specifically for microwave cooking
• Stays cool to the touch when coming out of the microwave
• Extremely impact resistant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</si>
  <si>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0.21 lb | 0.10 kg</t>
  </si>
  <si>
    <t>https://www.carlislefsp.com/dinnerware/ridge-dinnerware/5310237</t>
  </si>
  <si>
    <t>https://catalog.carlislefsp.com/images/1600x1600/302413.jpg</t>
  </si>
  <si>
    <t>https://www.carlislefsp.com/dinnerware/gathering/GA5500370</t>
  </si>
  <si>
    <t>GA5500370</t>
  </si>
  <si>
    <t>https://catalog.carlislefsp.com/images/1600x1600/266118.jpg</t>
  </si>
  <si>
    <t>9.45 lb | 4.29 kg</t>
  </si>
  <si>
    <t>8.90 in | 22.61 cm</t>
  </si>
  <si>
    <t>https://www.carlislefsp.com/dinnerware/mingle/5401853</t>
  </si>
  <si>
    <t>https://catalog.carlislefsp.com/images/1600x1600/318491.jpg</t>
  </si>
  <si>
    <t>https://www.carlislefsp.com/dinnerware/dallas-ware-dinnerware/4350314</t>
  </si>
  <si>
    <t>https://catalog.carlislefsp.com/images/1600x1600/277379.jpg</t>
  </si>
  <si>
    <t>https://www.carlislefsp.com/dinnerware/sierrus-dinnerware/3304205</t>
  </si>
  <si>
    <t>https://catalog.carlislefsp.com/images/1600x1600/247873.jpg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</si>
  <si>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N33042</t>
  </si>
  <si>
    <t>1.05 in | 2.67 cm</t>
  </si>
  <si>
    <t>4.20 fl oz | 0.12 l</t>
  </si>
  <si>
    <t>4.85 in | 12.32 cm</t>
  </si>
  <si>
    <t>https://www.carlislefsp.com/tabletop-accessories/melamine-ramekins/5301002</t>
  </si>
  <si>
    <t>https://catalog.carlislefsp.com/images/1600x1600/301160.jpg</t>
  </si>
  <si>
    <t>3.25 fl oz | 0.10 l</t>
  </si>
  <si>
    <t>9.30 in | 23.62 cm</t>
  </si>
  <si>
    <t>3.62 in | 9.21 cm</t>
  </si>
  <si>
    <t>https://www.carlislefsp.com/dinnerware/sierrus-dinnerware/3303802</t>
  </si>
  <si>
    <t>https://catalog.carlislefsp.com/images/1600x1600/343515.jpg</t>
  </si>
  <si>
    <t>https://www.carlislefsp.com/dinnerware/gathering/GA5501370</t>
  </si>
  <si>
    <t>GA5501370</t>
  </si>
  <si>
    <t>https://catalog.carlislefsp.com/images/1600x1600/266788.jpg</t>
  </si>
  <si>
    <t>17.49 lb | 7.93 kg</t>
  </si>
  <si>
    <t>14.25 in | 36.20 cm</t>
  </si>
  <si>
    <t>https://www.carlislefsp.com/dinnerware/sierrus-dinnerware/3301842</t>
  </si>
  <si>
    <t>https://www.carlislefsp.com/dinnerware/polycarbonate-dinnerware/PCD20903</t>
  </si>
  <si>
    <t>PCD20903</t>
  </si>
  <si>
    <t>https://catalog.carlislefsp.com/images/1600x1600/282607.jpg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</si>
  <si>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NPCD209</t>
  </si>
  <si>
    <t>https://www.carlislefsp.com/dinnerware/sierrus-dinnerware/3300802</t>
  </si>
  <si>
    <t>https://catalog.carlislefsp.com/images/1600x1600/272729.jpg</t>
  </si>
  <si>
    <t>https://www.carlislefsp.com/dinnerware/sierrus-dinnerware/3301805</t>
  </si>
  <si>
    <t>https://catalog.carlislefsp.com/images/1600x1600/247872.jpg</t>
  </si>
  <si>
    <t>https://www.carlislefsp.com/dinnerware/kingline-dinnerware/KL20025</t>
  </si>
  <si>
    <t>KL20025</t>
  </si>
  <si>
    <t>https://catalog.carlislefsp.com/images/1600x1600/365221.jpg</t>
  </si>
  <si>
    <t>https://www.carlislefsp.com/dinnerware/ridge-dinnerware/5311072</t>
  </si>
  <si>
    <t>https://catalog.carlislefsp.com/images/1600x1600/302301.jpg</t>
  </si>
  <si>
    <t>https://www.carlislefsp.com/dinnerware/mingle/5400453</t>
  </si>
  <si>
    <t>https://catalog.carlislefsp.com/images/1600x1600/318476.jpg</t>
  </si>
  <si>
    <t>28.00 fl oz | 0.83 l</t>
  </si>
  <si>
    <t>18.00 fl oz | 0.53 l</t>
  </si>
  <si>
    <t>7.28 lb | 3.30 kg</t>
  </si>
  <si>
    <t>15.62 in | 39.69 cm</t>
  </si>
  <si>
    <t>https://www.carlislefsp.com/dinnerware/stadia-dinnerware/5300802</t>
  </si>
  <si>
    <t>https://catalog.carlislefsp.com/images/1600x1600/289312.jpg</t>
  </si>
  <si>
    <t>https://www.carlislefsp.com/dinnerware/mingle/5400352</t>
  </si>
  <si>
    <t>https://catalog.carlislefsp.com/images/1600x1600/266268.jpg</t>
  </si>
  <si>
    <t>https://www.carlislefsp.com/dinnerware/ridge-dinnerware/5310572</t>
  </si>
  <si>
    <t>https://catalog.carlislefsp.com/images/1600x1600/302454.jpg</t>
  </si>
  <si>
    <t>https://www.carlislefsp.com/dinnerware/kingline-dinnerware/KL35002</t>
  </si>
  <si>
    <t>KL35002</t>
  </si>
  <si>
    <t>https://catalog.carlislefsp.com/images/1600x1600/344207.jpg</t>
  </si>
  <si>
    <t>https://www.carlislefsp.com/dinnerware/ridge-dinnerware/5310437</t>
  </si>
  <si>
    <t>https://catalog.carlislefsp.com/images/1600x1600/302407.jpg</t>
  </si>
  <si>
    <t>https://www.carlislefsp.com/dinnerware/kingline-dinnerware/KL11825</t>
  </si>
  <si>
    <t>KL11825</t>
  </si>
  <si>
    <t>https://catalog.carlislefsp.com/images/1600x1600/363188.jpg</t>
  </si>
  <si>
    <t>https://www.carlislefsp.com/dinnerware/epicure-dinnerware/4380002</t>
  </si>
  <si>
    <t>https://catalog.carlislefsp.com/images/1600x1600/365088.jpg</t>
  </si>
  <si>
    <t>• Large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N43800</t>
  </si>
  <si>
    <t>11.97 in | 30.40 cm</t>
  </si>
  <si>
    <t>12.25 in | 31.12 cm</t>
  </si>
  <si>
    <t>https://www.carlislefsp.com/dinnerware/polycarbonate-dinnerware/PCD20603</t>
  </si>
  <si>
    <t>PCD20603</t>
  </si>
  <si>
    <t>https://catalog.carlislefsp.com/images/1600x1600/282937.jpg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</si>
  <si>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NPCD206</t>
  </si>
  <si>
    <t xml:space="preserve">161 | </t>
  </si>
  <si>
    <t xml:space="preserve">23 | </t>
  </si>
  <si>
    <t>https://www.carlislefsp.com/dinnerware/kingline-dinnerware/KL11925</t>
  </si>
  <si>
    <t>KL11925</t>
  </si>
  <si>
    <t>https://catalog.carlislefsp.com/images/1600x1600/344254.jpg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</si>
  <si>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NKL119</t>
  </si>
  <si>
    <t>1.99 in | 5.05 cm</t>
  </si>
  <si>
    <t>14.05 lb | 6.37 kg</t>
  </si>
  <si>
    <t>12.50 fl oz | 0.37 l</t>
  </si>
  <si>
    <t>5.72 in | 14.53 cm</t>
  </si>
  <si>
    <t>https://www.carlislefsp.com/dinnerware/kingline-dinnerware/KL20102</t>
  </si>
  <si>
    <t>KL20102</t>
  </si>
  <si>
    <t>https://catalog.carlislefsp.com/images/1600x1600/363619.jpg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</si>
  <si>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NKL201</t>
  </si>
  <si>
    <t>11.80 lb | 5.35 kg</t>
  </si>
  <si>
    <t>0.53 ft3 | 0.02 m3</t>
  </si>
  <si>
    <t>7.22 in | 18.34 cm</t>
  </si>
  <si>
    <t>https://www.carlislefsp.com/dinnerware/grove/6400215</t>
  </si>
  <si>
    <t>https://catalog.carlislefsp.com/images/1600x1600/266613.jpg</t>
  </si>
  <si>
    <t>0.78 lb | 0.35 kg</t>
  </si>
  <si>
    <t>https://www.carlislefsp.com/dinnerware/ridge-dinnerware/5310223</t>
  </si>
  <si>
    <t>https://catalog.carlislefsp.com/images/1600x1600/302394.jpg</t>
  </si>
  <si>
    <t>https://www.carlislefsp.com/dinnerware/mingle/5401918</t>
  </si>
  <si>
    <t>https://catalog.carlislefsp.com/images/1600x1600/291215.jpg</t>
  </si>
  <si>
    <t>https://www.carlislefsp.com/dinnerware/dallas-ware-dinnerware/4352125</t>
  </si>
  <si>
    <t>https://catalog.carlislefsp.com/images/1600x1600/277205.jpg</t>
  </si>
  <si>
    <t>https://www.carlislefsp.com/dinnerware/dallas-ware-dinnerware/4353102</t>
  </si>
  <si>
    <t>https://catalog.carlislefsp.com/images/1600x1600/362585.jpg</t>
  </si>
  <si>
    <t>https://www.carlislefsp.com/dinnerware/dallas-ware-dinnerware/4352825</t>
  </si>
  <si>
    <t>https://catalog.carlislefsp.com/images/1600x1600/365365.jpg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</si>
  <si>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N43528</t>
  </si>
  <si>
    <t>4.96 in | 12.60 cm</t>
  </si>
  <si>
    <t>1.81 in | 4.60 cm</t>
  </si>
  <si>
    <t>https://www.carlislefsp.com/dinnerware/soup-service/700619</t>
  </si>
  <si>
    <t>https://catalog.carlislefsp.com/images/1600x1600/278465.jpg</t>
  </si>
  <si>
    <t>https://www.carlislefsp.com/dinnerware/sierrus-dinnerware/3300842</t>
  </si>
  <si>
    <t>https://www.carlislefsp.com/dinnerware/sierrus-dinnerware/3300202</t>
  </si>
  <si>
    <t>https://catalog.carlislefsp.com/images/1600x1600/247801.jpg</t>
  </si>
  <si>
    <t>https://www.carlislefsp.com/dinnerware/dallas-ware-dinnerware/4353205</t>
  </si>
  <si>
    <t>https://catalog.carlislefsp.com/images/1600x1600/276864.jpg</t>
  </si>
  <si>
    <t>https://www.carlislefsp.com/dinnerware/dallas-ware-dinnerware/4354002</t>
  </si>
  <si>
    <t>https://catalog.carlislefsp.com/images/1600x1600/277043.jpg</t>
  </si>
  <si>
    <t>https://www.carlislefsp.com/dinnerware/stadia-dinnerware/5300180</t>
  </si>
  <si>
    <t>https://catalog.carlislefsp.com/images/1600x1600/301112.jpg</t>
  </si>
  <si>
    <t>0.89 lb | 0.40 kg</t>
  </si>
  <si>
    <t>9.12 in | 23.18 cm</t>
  </si>
  <si>
    <t>https://www.carlislefsp.com/dinnerware/square-dinnerware/4330803</t>
  </si>
  <si>
    <t>https://catalog.carlislefsp.com/images/1600x1600/362408.jpg</t>
  </si>
  <si>
    <t>• Unique shaped mid-side plate compliments entrees, salads,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</si>
  <si>
    <t>21.55 lb | 9.77 kg</t>
  </si>
  <si>
    <t>16.70 in | 42.42 cm</t>
  </si>
  <si>
    <t>0.44 lb | 0.20 kg</t>
  </si>
  <si>
    <t>https://www.carlislefsp.com/dinnerware/mingle/5400118</t>
  </si>
  <si>
    <t>https://catalog.carlislefsp.com/images/1600x1600/365064.jpg</t>
  </si>
  <si>
    <t>https://www.carlislefsp.com/dinnerware/dallas-ware-dinnerware/4350035</t>
  </si>
  <si>
    <t>https://catalog.carlislefsp.com/images/1600x1600/277805.jpg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</si>
  <si>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</si>
  <si>
    <t>33.50 lb | 15.20 kg</t>
  </si>
  <si>
    <t>1.49 ft3 | 0.04 m3</t>
  </si>
  <si>
    <t>21.40 in | 54.36 cm</t>
  </si>
  <si>
    <t>https://www.carlislefsp.com/dinnerware/sierrus-dinnerware/3303805</t>
  </si>
  <si>
    <t>https://catalog.carlislefsp.com/images/1600x1600/343658.jpg</t>
  </si>
  <si>
    <t>https://www.carlislefsp.com/dinnerware/stadia-dinnerware/5300080</t>
  </si>
  <si>
    <t>https://catalog.carlislefsp.com/images/1600x1600/301128.jpg</t>
  </si>
  <si>
    <t>https://www.carlislefsp.com/dinnerware/sierrus-dinnerware/3300242</t>
  </si>
  <si>
    <t>https://catalog.carlislefsp.com/images/1600x1600/362721.jpg</t>
  </si>
  <si>
    <t>https://www.carlislefsp.com/dinnerware/kingline-dinnerware/KL12125</t>
  </si>
  <si>
    <t>KL12125</t>
  </si>
  <si>
    <t>https://catalog.carlislefsp.com/images/1600x1600/363873.jpg</t>
  </si>
  <si>
    <t>https://www.carlislefsp.com/dinnerware/mingle/5400718</t>
  </si>
  <si>
    <t>https://catalog.carlislefsp.com/images/1600x1600/276007.jpg</t>
  </si>
  <si>
    <t>https://www.carlislefsp.com/dinnerware/ridge-dinnerware/5310772</t>
  </si>
  <si>
    <t>https://catalog.carlislefsp.com/images/1600x1600/302275.jpg</t>
  </si>
  <si>
    <t>https://www.carlislefsp.com/dinnerware/polycarbonate-dinnerware/PCD30515</t>
  </si>
  <si>
    <t>PCD30515</t>
  </si>
  <si>
    <t>https://catalog.carlislefsp.com/images/1600x1600/269132.jpg</t>
  </si>
  <si>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NPCD305</t>
  </si>
  <si>
    <t>https://www.carlislefsp.com/dinnerware/dallas-ware-dinnerware/4350005</t>
  </si>
  <si>
    <t>https://catalog.carlislefsp.com/images/1600x1600/277815.jpg</t>
  </si>
  <si>
    <t>https://www.carlislefsp.com/dinnerware/mingle/5400518</t>
  </si>
  <si>
    <t>https://catalog.carlislefsp.com/images/1600x1600/290996.jpg</t>
  </si>
  <si>
    <t>https://www.carlislefsp.com/dinnerware/gathering/GA5500870</t>
  </si>
  <si>
    <t>GA5500870</t>
  </si>
  <si>
    <t>https://catalog.carlislefsp.com/images/1600x1600/275529.jpg</t>
  </si>
  <si>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Textured surface maintains good looks longer and enhances the appearance of plated foods</t>
  </si>
  <si>
    <t>https://www.carlislefsp.com/dinnerware/square-dinnerware/4330602</t>
  </si>
  <si>
    <t>https://catalog.carlislefsp.com/images/1600x1600/363951.jpg</t>
  </si>
  <si>
    <t>• Unique shaped mid-side plate compliments entrees, salads, pasta,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</si>
  <si>
    <t>1.16 ft3 | 0.03 m3</t>
  </si>
  <si>
    <t>0.68 lb | 0.31 kg</t>
  </si>
  <si>
    <t>https://www.carlislefsp.com/dinnerware/dallas-ware-dinnerware/4350535</t>
  </si>
  <si>
    <t>https://catalog.carlislefsp.com/images/1600x1600/277339.jpg</t>
  </si>
  <si>
    <t>https://www.carlislefsp.com/dinnerware/sierrus-dinnerware/3302402</t>
  </si>
  <si>
    <t>https://catalog.carlislefsp.com/images/1600x1600/365568.jpg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</si>
  <si>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N33024</t>
  </si>
  <si>
    <t>0.88 in | 2.24 cm</t>
  </si>
  <si>
    <t>13.65 lb | 6.19 kg</t>
  </si>
  <si>
    <t>1.13 lb | 0.51 kg</t>
  </si>
  <si>
    <t>https://www.carlislefsp.com/dinnerware/stadia-dinnerware/5300380</t>
  </si>
  <si>
    <t>https://catalog.carlislefsp.com/images/1600x1600/301129.jpg</t>
  </si>
  <si>
    <t>https://www.carlislefsp.com/dinnerware/sierrus-dinnerware/3303803</t>
  </si>
  <si>
    <t>https://catalog.carlislefsp.com/images/1600x1600/343725.jpg</t>
  </si>
  <si>
    <t>https://www.carlislefsp.com/dinnerware/sierrus-dinnerware/3303014</t>
  </si>
  <si>
    <t>https://catalog.carlislefsp.com/images/1600x1600/364463.jpg</t>
  </si>
  <si>
    <t>https://www.carlislefsp.com/dinnerware/tulip-dishes/453007</t>
  </si>
  <si>
    <t>https://catalog.carlislefsp.com/images/1600x1600/269171.jpg</t>
  </si>
  <si>
    <t>• Ideal for serving ice cream, puddings, salads and more
• Easily stack with similar glass or plastic dessert dishes
• Made of break-resistant SAN
• 4532, 4534 are also available in extra-durable polycarbonate
• SAN is resistant to staining, breaking and chipping</t>
  </si>
  <si>
    <t>3.70 in | 9.40 cm</t>
  </si>
  <si>
    <t>5.70 fl oz | 0.17 l</t>
  </si>
  <si>
    <t xml:space="preserve">270 | </t>
  </si>
  <si>
    <t>https://www.carlislefsp.com/tabletop-accessories/melamine-ramekins/5301080</t>
  </si>
  <si>
    <t>https://catalog.carlislefsp.com/images/1600x1600/301000.jpg</t>
  </si>
  <si>
    <t>https://www.carlislefsp.com/dinnerware/mingle/5400752</t>
  </si>
  <si>
    <t>https://catalog.carlislefsp.com/images/1600x1600/275751.jpg</t>
  </si>
  <si>
    <t>https://www.carlislefsp.com/dinnerware/dallas-ware-dinnerware/4350052</t>
  </si>
  <si>
    <t>https://catalog.carlislefsp.com/images/1600x1600/277780.jpg</t>
  </si>
  <si>
    <t>https://www.carlislefsp.com/dinnerware/plate-covers/199307</t>
  </si>
  <si>
    <t>https://catalog.carlislefsp.com/images/1600x1600/285767.jpg</t>
  </si>
  <si>
    <t>• Clear covers for easy viewing of food
• Highly heat-and break-resistant
• Can be used in heated carts or under heat lamps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</si>
  <si>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11.44 in | 29.05 cm</t>
  </si>
  <si>
    <t>8.50 lb | 3.86 kg</t>
  </si>
  <si>
    <t>12.31 in | 31.28 cm</t>
  </si>
  <si>
    <t>0.71 lb | 0.32 kg</t>
  </si>
  <si>
    <t>11.38 in | 28.91 cm</t>
  </si>
  <si>
    <t>https://www.carlislefsp.com/dinnerware/grove/6400218</t>
  </si>
  <si>
    <t>https://catalog.carlislefsp.com/images/1600x1600/365129.jpg</t>
  </si>
  <si>
    <t>https://www.carlislefsp.com/dinnerware/sierrus-dinnerware/3300605</t>
  </si>
  <si>
    <t>https://www.carlislefsp.com/dinnerware/sierrus-dinnerware/3303602</t>
  </si>
  <si>
    <t>https://www.carlislefsp.com/dinnerware/kingline-dinnerware/KL35025</t>
  </si>
  <si>
    <t>KL35025</t>
  </si>
  <si>
    <t>https://catalog.carlislefsp.com/images/1600x1600/268171.jpg</t>
  </si>
  <si>
    <t>https://www.carlislefsp.com/dinnerware/ridge-dinnerware/5310238</t>
  </si>
  <si>
    <t>https://catalog.carlislefsp.com/images/1600x1600/302378.jpg</t>
  </si>
  <si>
    <t>https://www.carlislefsp.com/dinnerware/mingle/5400218</t>
  </si>
  <si>
    <t>https://catalog.carlislefsp.com/images/1600x1600/364676.jpg</t>
  </si>
  <si>
    <t>https://www.carlislefsp.com/dinnerware/kingline-dinnerware/KL12625</t>
  </si>
  <si>
    <t>KL12625</t>
  </si>
  <si>
    <t>https://catalog.carlislefsp.com/images/1600x1600/344305.jpg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</si>
  <si>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NKL126</t>
  </si>
  <si>
    <t>1.19 in | 3.02 cm</t>
  </si>
  <si>
    <t xml:space="preserve">105 | </t>
  </si>
  <si>
    <t>https://www.carlislefsp.com/dinnerware/grove/6402315</t>
  </si>
  <si>
    <t>https://catalog.carlislefsp.com/images/1600x1600/266453.jpg</t>
  </si>
  <si>
    <t>10.12 in | 25.72 cm</t>
  </si>
  <si>
    <t>https://www.carlislefsp.com/dinnerware/polycarbonate-dinnerware/PCD79602</t>
  </si>
  <si>
    <t>PCD79602</t>
  </si>
  <si>
    <t>https://catalog.carlislefsp.com/images/1600x1600/282727.jpg</t>
  </si>
  <si>
    <t>• Textured surace withstands scratching and helps maintain appearance
• 5 Year manufacturer warranty against breakage
• Resists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NPCD796</t>
  </si>
  <si>
    <t>11.30 lb | 5.13 kg</t>
  </si>
  <si>
    <t>1.62 ft3 | 0.05 m3</t>
  </si>
  <si>
    <t>19.40 in | 49.28 cm</t>
  </si>
  <si>
    <t>3.74 in | 9.50 cm</t>
  </si>
  <si>
    <t>https://www.carlislefsp.com/dinnerware/stadia-dinnerware/5300480</t>
  </si>
  <si>
    <t>https://catalog.carlislefsp.com/images/1600x1600/301066.jpg</t>
  </si>
  <si>
    <t>10.81 lb | 4.90 kg</t>
  </si>
  <si>
    <t>10.35 in | 26.30 cm</t>
  </si>
  <si>
    <t>8.98 in | 22.80 cm</t>
  </si>
  <si>
    <t>8.46 in | 21.50 cm</t>
  </si>
  <si>
    <t xml:space="preserve">114 | </t>
  </si>
  <si>
    <t>0.90 lb | 0.41 kg</t>
  </si>
  <si>
    <t>https://www.carlislefsp.com/items/KL80002</t>
  </si>
  <si>
    <t>KL80002</t>
  </si>
  <si>
    <t>https://catalog.carlislefsp.com/images/1600x1600/364809.jpg</t>
  </si>
  <si>
    <t>https://www.carlislefsp.com/dinnerware/petal-mist-plates-and-bowls/690807</t>
  </si>
  <si>
    <t>https://catalog.carlislefsp.com/images/1600x1600/276958.jpg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</si>
  <si>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N6908</t>
  </si>
  <si>
    <t>7.43 in | 18.87 cm</t>
  </si>
  <si>
    <t>2.68 in | 6.81 cm</t>
  </si>
  <si>
    <t>14.20 lb | 6.44 kg</t>
  </si>
  <si>
    <t>1.19 ft3 | 0.03 m3</t>
  </si>
  <si>
    <t>0.39 lb | 0.18 kg</t>
  </si>
  <si>
    <t>https://www.carlislefsp.com/dinnerware/sierrus-dinnerware/3300405</t>
  </si>
  <si>
    <t>https://catalog.carlislefsp.com/images/1600x1600/272857.jpg</t>
  </si>
  <si>
    <t>https://www.carlislefsp.com/dinnerware/ridge-dinnerware/5310672</t>
  </si>
  <si>
    <t>https://catalog.carlislefsp.com/images/1600x1600/302442.jpg</t>
  </si>
  <si>
    <t>https://www.carlislefsp.com/dinnerware/kingline-dinnerware/KL11803</t>
  </si>
  <si>
    <t>KL11803</t>
  </si>
  <si>
    <t>https://catalog.carlislefsp.com/images/1600x1600/343812.jpg</t>
  </si>
  <si>
    <t>https://www.carlislefsp.com/dinnerware/dallas-ware-dinnerware/4350302</t>
  </si>
  <si>
    <t>https://catalog.carlislefsp.com/images/1600x1600/362447.jpg</t>
  </si>
  <si>
    <t>https://www.carlislefsp.com/dinnerware/polycarbonate-dinnerware/PCD31202</t>
  </si>
  <si>
    <t>PCD31202</t>
  </si>
  <si>
    <t>https://catalog.carlislefsp.com/images/1600x1600/282362.jpg</t>
  </si>
  <si>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t>
  </si>
  <si>
    <t>16.60 lb | 7.53 kg</t>
  </si>
  <si>
    <t>https://www.carlislefsp.com/dinnerware/melamine-dinnerware-and-serving-pieces/4373802</t>
  </si>
  <si>
    <t>https://catalog.carlislefsp.com/images/1600x1600/365138.jpg</t>
  </si>
  <si>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N43738</t>
  </si>
  <si>
    <t>2.88 in | 7.32 cm</t>
  </si>
  <si>
    <t>1.10 qt | 1.04 l</t>
  </si>
  <si>
    <t>https://www.carlislefsp.com/dinnerware/melamine-salad-bowls/800B03</t>
  </si>
  <si>
    <t>800B03</t>
  </si>
  <si>
    <t>https://catalog.carlislefsp.com/images/1600x1600/278070.jpg</t>
  </si>
  <si>
    <t>• made of dependable, impact-resistant melamine
• Melamine is resistant to staining, breaking and chipping
• safe for temperatures up to 212 degrees Fahrenheit
• NSF Listed as N800B</t>
  </si>
  <si>
    <t>8.54 lb | 3.87 kg</t>
  </si>
  <si>
    <t>1.04 ft3 | 0.03 m3</t>
  </si>
  <si>
    <t>https://www.carlislefsp.com/dinnerware/gathering/GA5500170</t>
  </si>
  <si>
    <t>GA5500170</t>
  </si>
  <si>
    <t>https://catalog.carlislefsp.com/images/1600x1600/266228.jpg</t>
  </si>
  <si>
    <t>12.45 lb | 5.65 kg</t>
  </si>
  <si>
    <t>0.56 ft3 | 0.02 m3</t>
  </si>
  <si>
    <t>https://www.carlislefsp.com/dinnerware/dallas-ware-dinnerware/4356342</t>
  </si>
  <si>
    <t>https://catalog.carlislefsp.com/images/1600x1600/277113.jpg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</si>
  <si>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N43563</t>
  </si>
  <si>
    <t>https://www.carlislefsp.com/dinnerware/kingline-dinnerware/KL12702</t>
  </si>
  <si>
    <t>KL12702</t>
  </si>
  <si>
    <t>https://catalog.carlislefsp.com/images/1600x1600/363146.jpg</t>
  </si>
  <si>
    <t>https://www.carlislefsp.com/dinnerware/ridge-dinnerware/5310823</t>
  </si>
  <si>
    <t>https://catalog.carlislefsp.com/images/1600x1600/302317.jpg</t>
  </si>
  <si>
    <t>https://www.carlislefsp.com/dinnerware/mingle/5400715</t>
  </si>
  <si>
    <t>https://catalog.carlislefsp.com/images/1600x1600/275988.jpg</t>
  </si>
  <si>
    <t>https://www.carlislefsp.com/dinnerware/sierrus-dinnerware/3301005</t>
  </si>
  <si>
    <t>https://www.carlislefsp.com/dinnerware/mingle/5400115</t>
  </si>
  <si>
    <t>https://catalog.carlislefsp.com/images/1600x1600/364591.jpg</t>
  </si>
  <si>
    <t>https://www.carlislefsp.com/dinnerware/plate-covers/199107</t>
  </si>
  <si>
    <t>https://catalog.carlislefsp.com/images/1600x1600/285144.jpg</t>
  </si>
  <si>
    <t>• Clear covers for easy viewing of food
• Highly heat- and break-resistant; quieter handling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N1991</t>
  </si>
  <si>
    <t>10.95 in | 27.81 cm</t>
  </si>
  <si>
    <t>3.32 in | 8.43 cm</t>
  </si>
  <si>
    <t>1.25 ft3 | 0.04 m3</t>
  </si>
  <si>
    <t>22.19 in | 56.36 cm</t>
  </si>
  <si>
    <t>10.65 in | 27.05 cm</t>
  </si>
  <si>
    <t>https://www.carlislefsp.com/dinnerware/sierrus-dinnerware/3304014</t>
  </si>
  <si>
    <t>https://catalog.carlislefsp.com/images/1600x1600/272758.jpg</t>
  </si>
  <si>
    <t>https://www.carlislefsp.com/dinnerware/grove/6400706</t>
  </si>
  <si>
    <t>https://catalog.carlislefsp.com/images/1600x1600/362369.jpg</t>
  </si>
  <si>
    <t>https://www.carlislefsp.com/dinnerware/mingle/5400546</t>
  </si>
  <si>
    <t>https://catalog.carlislefsp.com/images/1600x1600/286859.jpg</t>
  </si>
  <si>
    <t>https://www.carlislefsp.com/dinnerware/melamine-dinnerware-and-serving-pieces/4374525</t>
  </si>
  <si>
    <t>https://catalog.carlislefsp.com/images/1600x1600/363135.jpg</t>
  </si>
  <si>
    <t>• Traditional nostalgic styling perfect to feature salads, sides, entrees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N43745</t>
  </si>
  <si>
    <t>10.05 in | 25.53 cm</t>
  </si>
  <si>
    <t>0.58 lb | 0.26 kg</t>
  </si>
  <si>
    <t>https://www.carlislefsp.com/dinnerware/ridge-dinnerware/5310538</t>
  </si>
  <si>
    <t>https://catalog.carlislefsp.com/images/1600x1600/302306.jpg</t>
  </si>
  <si>
    <t>https://www.carlislefsp.com/dinnerware/sierrus-dinnerware/3308205</t>
  </si>
  <si>
    <t>https://catalog.carlislefsp.com/images/1600x1600/272819.jpg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</si>
  <si>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N33082</t>
  </si>
  <si>
    <t>11.95 in | 30.35 cm</t>
  </si>
  <si>
    <t>8.99 in | 22.83 cm</t>
  </si>
  <si>
    <t>https://www.carlislefsp.com/dinnerware/durus-solid-colors/4300409</t>
  </si>
  <si>
    <t>https://catalog.carlislefsp.com/images/1600x1600/267864.jpg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</si>
  <si>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any aesthetic of your choice
• NSF Listed as N43004</t>
  </si>
  <si>
    <t>0.80 ft3 | 0.02 m3</t>
  </si>
  <si>
    <t>19.10 in | 48.51 cm</t>
  </si>
  <si>
    <t>https://www.carlislefsp.com/dinnerware/dallas-ware-dinnerware/4354035</t>
  </si>
  <si>
    <t>https://catalog.carlislefsp.com/images/1600x1600/362994.jpg</t>
  </si>
  <si>
    <t>https://www.carlislefsp.com/dinnerware/ridge-dinnerware/5310423</t>
  </si>
  <si>
    <t>https://catalog.carlislefsp.com/images/1600x1600/302399.jpg</t>
  </si>
  <si>
    <t>https://www.carlislefsp.com/dinnerware/kingline-dinnerware/KL20403</t>
  </si>
  <si>
    <t>KL20403</t>
  </si>
  <si>
    <t>https://catalog.carlislefsp.com/images/1600x1600/343820.jpg</t>
  </si>
  <si>
    <t>https://www.carlislefsp.com/dinnerware/plate-covers/198907</t>
  </si>
  <si>
    <t>https://catalog.carlislefsp.com/images/1600x1600/285436.jpg</t>
  </si>
  <si>
    <t>• Clear covers for easy viewing of food
• Highly heat- and break-resistant; quieter handling
• 1960, 1992, and 1989E also fit European "pin-fired'' footless style plates for secure stacking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</si>
  <si>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0.93 ft3 | 0.03 m3</t>
  </si>
  <si>
    <t>10.31 in | 26.19 cm</t>
  </si>
  <si>
    <t>https://www.carlislefsp.com/dinnerware/melamine-dinnerware-and-serving-pieces/4384002</t>
  </si>
  <si>
    <t>https://catalog.carlislefsp.com/images/1600x1600/339195.jpg</t>
  </si>
  <si>
    <t>• traditional styling enhances your presentation
• Dishwasher safe; safe for temperatures up to 212°F
• Melamine is resistant to staining, breaking and chipping
• NSF Listed as N43840</t>
  </si>
  <si>
    <t>21.10 in | 53.59 cm</t>
  </si>
  <si>
    <t>21.75 in | 55.24 cm</t>
  </si>
  <si>
    <t>15.81 in | 40.16 cm</t>
  </si>
  <si>
    <t xml:space="preserve">44 | </t>
  </si>
  <si>
    <t>1.92 lb | 0.87 kg</t>
  </si>
  <si>
    <t>https://www.carlislefsp.com/dinnerware/dallas-ware-dinnerware/4352802</t>
  </si>
  <si>
    <t>https://catalog.carlislefsp.com/images/1600x1600/276753.jpg</t>
  </si>
  <si>
    <t>https://www.carlislefsp.com/dinnerware/kingline-dinnerware/KL80505</t>
  </si>
  <si>
    <t>KL80505</t>
  </si>
  <si>
    <t>https://catalog.carlislefsp.com/images/1600x1600/267954.jpg</t>
  </si>
  <si>
    <t>https://www.carlislefsp.com/dinnerware/polycarbonate-dinnerware/PCD20902</t>
  </si>
  <si>
    <t>PCD20902</t>
  </si>
  <si>
    <t>https://catalog.carlislefsp.com/images/1600x1600/283242.jpg</t>
  </si>
  <si>
    <t>https://www.carlislefsp.com/dinnerware/sierrus-dinnerware/3308242</t>
  </si>
  <si>
    <t>https://www.carlislefsp.com/dinnerware/dallas-ware-dinnerware/4350102</t>
  </si>
  <si>
    <t>https://catalog.carlislefsp.com/images/1600x1600/363407.jpg</t>
  </si>
  <si>
    <t>https://www.carlislefsp.com/dinnerware/sierrus-dinnerware/3300602</t>
  </si>
  <si>
    <t>https://www.carlislefsp.com/dinnerware/stadia-dinnerware/5300402</t>
  </si>
  <si>
    <t>https://catalog.carlislefsp.com/images/1600x1600/289292.jpg</t>
  </si>
  <si>
    <t>https://www.carlislefsp.com/dinnerware/kingline-dinnerware/KL20405</t>
  </si>
  <si>
    <t>KL20405</t>
  </si>
  <si>
    <t>https://catalog.carlislefsp.com/images/1600x1600/343979.jpg</t>
  </si>
  <si>
    <t>https://www.carlislefsp.com/dinnerware/kingline-dinnerware/KL11502</t>
  </si>
  <si>
    <t>KL11502</t>
  </si>
  <si>
    <t>https://catalog.carlislefsp.com/images/1600x1600/344326.jpg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</si>
  <si>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NKL115</t>
  </si>
  <si>
    <t>2.07 in | 5.26 cm</t>
  </si>
  <si>
    <t>16.70 fl oz | 0.49 l</t>
  </si>
  <si>
    <t>6.09 in | 15.47 cm</t>
  </si>
  <si>
    <t>https://www.carlislefsp.com/dinnerware/dallas-ware-dinnerware/4356002</t>
  </si>
  <si>
    <t>https://catalog.carlislefsp.com/images/1600x1600/277271.jpg</t>
  </si>
  <si>
    <t>https://www.carlislefsp.com/dinnerware/petal-mist-plates-and-bowls/690907</t>
  </si>
  <si>
    <t>https://catalog.carlislefsp.com/images/1600x1600/276748.jpg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</si>
  <si>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N6909</t>
  </si>
  <si>
    <t>2.50 qt | 2.37 l</t>
  </si>
  <si>
    <t>2.25 qt | 2.13 l</t>
  </si>
  <si>
    <t>7.50 lb | 3.40 kg</t>
  </si>
  <si>
    <t>9.44 in | 23.98 cm</t>
  </si>
  <si>
    <t xml:space="preserve">75 | </t>
  </si>
  <si>
    <t>0.62 lb | 0.28 kg</t>
  </si>
  <si>
    <t>https://www.carlislefsp.com/dinnerware/mingle/5400152</t>
  </si>
  <si>
    <t>https://catalog.carlislefsp.com/images/1600x1600/266213.jpg</t>
  </si>
  <si>
    <t>https://www.carlislefsp.com/dinnerware/kingline-dinnerware/KL80502</t>
  </si>
  <si>
    <t>KL80502</t>
  </si>
  <si>
    <t>https://catalog.carlislefsp.com/images/1600x1600/268565.jpg</t>
  </si>
  <si>
    <t>https://www.carlislefsp.com/dinnerware/mingle/5400315</t>
  </si>
  <si>
    <t>https://catalog.carlislefsp.com/images/1600x1600/266193.jpg</t>
  </si>
  <si>
    <t>https://www.carlislefsp.com/dinnerware/kingline-dinnerware/KL20302</t>
  </si>
  <si>
    <t>KL20302</t>
  </si>
  <si>
    <t>https://catalog.carlislefsp.com/images/1600x1600/362354.jpg</t>
  </si>
  <si>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NKL203</t>
  </si>
  <si>
    <t>7.85 lb | 3.56 kg</t>
  </si>
  <si>
    <t>9.38 in | 23.83 cm</t>
  </si>
  <si>
    <t>11.13 in | 28.27 cm</t>
  </si>
  <si>
    <t>https://www.carlislefsp.com/dinnerware/dallas-ware-dinnerware/4350003</t>
  </si>
  <si>
    <t>https://catalog.carlislefsp.com/images/1600x1600/365618.jpg</t>
  </si>
  <si>
    <t>https://www.carlislefsp.com/dinnerware/sierrus-dinnerware/3303002</t>
  </si>
  <si>
    <t>https://catalog.carlislefsp.com/images/1600x1600/363264.jpg</t>
  </si>
  <si>
    <t>https://www.carlislefsp.com/dinnerware/grove/6402306</t>
  </si>
  <si>
    <t>https://catalog.carlislefsp.com/images/1600x1600/266128.jpg</t>
  </si>
  <si>
    <t>https://www.carlislefsp.com/dinnerware/stadia-dinnerware/5300580</t>
  </si>
  <si>
    <t>https://catalog.carlislefsp.com/images/1600x1600/301118.jpg</t>
  </si>
  <si>
    <t>https://www.carlislefsp.com/dinnerware/epicure-dinnerware/593302</t>
  </si>
  <si>
    <t>https://www.carlislefsp.com/dinnerware/ridge-dinnerware/5310137</t>
  </si>
  <si>
    <t>https://catalog.carlislefsp.com/images/1600x1600/364448.jpg</t>
  </si>
  <si>
    <t>https://www.carlislefsp.com/dinnerware/ridge-dinnerware/5310938</t>
  </si>
  <si>
    <t>https://catalog.carlislefsp.com/images/1600x1600/302466.jpg</t>
  </si>
  <si>
    <t>https://www.carlislefsp.com/dinnerware/kingline-dinnerware/KL12602</t>
  </si>
  <si>
    <t>KL12602</t>
  </si>
  <si>
    <t>https://catalog.carlislefsp.com/images/1600x1600/343610.jpg</t>
  </si>
  <si>
    <t>https://www.carlislefsp.com/dinnerware/sierrus-dinnerware/3308202</t>
  </si>
  <si>
    <t>https://catalog.carlislefsp.com/images/1600x1600/272743.jpg</t>
  </si>
  <si>
    <t>https://www.carlislefsp.com/dinnerware/mingle/5400553</t>
  </si>
  <si>
    <t>https://catalog.carlislefsp.com/images/1600x1600/318481.jpg</t>
  </si>
  <si>
    <t>https://www.carlislefsp.com/dinnerware/kingline-dinnerware/KL20425</t>
  </si>
  <si>
    <t>KL20425</t>
  </si>
  <si>
    <t>https://catalog.carlislefsp.com/images/1600x1600/364346.jpg</t>
  </si>
  <si>
    <t>https://www.carlislefsp.com/dinnerware/square-dinnerware/4330402</t>
  </si>
  <si>
    <t>https://catalog.carlislefsp.com/images/1600x1600/364261.jpg</t>
  </si>
  <si>
    <t>44.65 lb | 20.25 kg</t>
  </si>
  <si>
    <t>1.81 ft3 | 0.05 m3</t>
  </si>
  <si>
    <t>0.96 lb | 0.44 kg</t>
  </si>
  <si>
    <t>https://www.carlislefsp.com/dinnerware/plate-covers/1989E13</t>
  </si>
  <si>
    <t>https://catalog.carlislefsp.com/images/1600x1600/343838.jpg</t>
  </si>
  <si>
    <t>• 1960, 1992, and 1989E also fit European "pin-fired'' footless style plates for secure stacking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</si>
  <si>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10.30 lb | 4.67 kg</t>
  </si>
  <si>
    <t>11.12 in | 28.26 cm</t>
  </si>
  <si>
    <t>0.86 lb | 0.39 kg</t>
  </si>
  <si>
    <t>https://www.carlislefsp.com/dinnerware/ridge-dinnerware/5311038</t>
  </si>
  <si>
    <t>https://catalog.carlislefsp.com/images/1600x1600/302430.jpg</t>
  </si>
  <si>
    <t>https://www.carlislefsp.com/dinnerware/dallas-ware-dinnerware/4350303</t>
  </si>
  <si>
    <t>https://catalog.carlislefsp.com/images/1600x1600/277447.jpg</t>
  </si>
  <si>
    <t>https://www.carlislefsp.com/dinnerware/kingline-dinnerware/KL12703</t>
  </si>
  <si>
    <t>KL12703</t>
  </si>
  <si>
    <t>https://catalog.carlislefsp.com/images/1600x1600/344134.jpg</t>
  </si>
  <si>
    <t>https://www.carlislefsp.com/dinnerware/ridge-dinnerware/5310837</t>
  </si>
  <si>
    <t>https://catalog.carlislefsp.com/images/1600x1600/302389.jpg</t>
  </si>
  <si>
    <t>https://www.carlislefsp.com/dinnerware/kingline-dinnerware/KL20325</t>
  </si>
  <si>
    <t>KL20325</t>
  </si>
  <si>
    <t>https://catalog.carlislefsp.com/images/1600x1600/344330.jpg</t>
  </si>
  <si>
    <t>https://www.carlislefsp.com/dinnerware/polycarbonate-dinnerware/PCD31203</t>
  </si>
  <si>
    <t>PCD31203</t>
  </si>
  <si>
    <t>https://catalog.carlislefsp.com/images/1600x1600/282682.jpg</t>
  </si>
  <si>
    <t>https://www.carlislefsp.com/tabletop-accessories/melamine-ramekins/5301180</t>
  </si>
  <si>
    <t>https://catalog.carlislefsp.com/images/1600x1600/301020.jpg</t>
  </si>
  <si>
    <t>0.11 ft3 | 0.00 m3</t>
  </si>
  <si>
    <t>3.80 in | 9.65 cm</t>
  </si>
  <si>
    <t>3.12 in | 7.94 cm</t>
  </si>
  <si>
    <t>https://www.carlislefsp.com/dinnerware/stadia-dinnerware/5300980</t>
  </si>
  <si>
    <t>https://catalog.carlislefsp.com/images/1600x1600/301022.jpg</t>
  </si>
  <si>
    <t>https://www.carlislefsp.com/dinnerware/sierrus-dinnerware/3304202</t>
  </si>
  <si>
    <t>https://catalog.carlislefsp.com/images/1600x1600/272684.jpg</t>
  </si>
  <si>
    <t>https://www.carlislefsp.com/dinnerware/stadia-dinnerware/5300102</t>
  </si>
  <si>
    <t>https://catalog.carlislefsp.com/images/1600x1600/289277.jpg</t>
  </si>
  <si>
    <t>https://www.carlislefsp.com/dinnerware/ridge-dinnerware/5310872</t>
  </si>
  <si>
    <t>https://catalog.carlislefsp.com/images/1600x1600/302459.jpg</t>
  </si>
  <si>
    <t>https://www.carlislefsp.com/dinnerware/dallas-ware-dinnerware/4356303</t>
  </si>
  <si>
    <t>https://catalog.carlislefsp.com/images/1600x1600/276719.jpg</t>
  </si>
  <si>
    <t>https://www.carlislefsp.com/dinnerware/sierrus-dinnerware/3304242</t>
  </si>
  <si>
    <t>https://catalog.carlislefsp.com/images/1600x1600/272852.jpg</t>
  </si>
  <si>
    <t>https://www.carlislefsp.com/dinnerware/mingle/5400753</t>
  </si>
  <si>
    <t>https://catalog.carlislefsp.com/images/1600x1600/318486.jpg</t>
  </si>
  <si>
    <t>https://www.carlislefsp.com/dinnerware/mingle/5400515</t>
  </si>
  <si>
    <t>https://catalog.carlislefsp.com/images/1600x1600/276159.jpg</t>
  </si>
  <si>
    <t>https://www.carlislefsp.com/dinnerware/grove/6400118</t>
  </si>
  <si>
    <t>https://catalog.carlislefsp.com/images/1600x1600/267038.jpg</t>
  </si>
  <si>
    <t>https://www.carlislefsp.com/dinnerware/sierrus-dinnerware/3301214</t>
  </si>
  <si>
    <t>https://catalog.carlislefsp.com/images/1600x1600/272691.jpg</t>
  </si>
  <si>
    <t>https://www.carlislefsp.com/dinnerware/grove/6402015</t>
  </si>
  <si>
    <t>https://catalog.carlislefsp.com/images/1600x1600/266373.jpg</t>
  </si>
  <si>
    <t>https://www.carlislefsp.com/dinnerware/epicure-dinnerware/4380102</t>
  </si>
  <si>
    <t>https://catalog.carlislefsp.com/images/1600x1600/365491.jpg</t>
  </si>
  <si>
    <t>•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N43801</t>
  </si>
  <si>
    <t>9.97 in | 25.32 cm</t>
  </si>
  <si>
    <t>29.15 lb | 13.22 kg</t>
  </si>
  <si>
    <t>1.28 ft3 | 0.04 m3</t>
  </si>
  <si>
    <t>20.75 in | 52.70 cm</t>
  </si>
  <si>
    <t>0.61 lb | 0.28 kg</t>
  </si>
  <si>
    <t>https://www.carlislefsp.com/dinnerware/dallas-ware-dinnerware/4350103</t>
  </si>
  <si>
    <t>https://catalog.carlislefsp.com/images/1600x1600/363281.jpg</t>
  </si>
  <si>
    <t>https://www.carlislefsp.com/dinnerware/sierrus-dinnerware/3304214</t>
  </si>
  <si>
    <t>https://catalog.carlislefsp.com/images/1600x1600/272724.jpg</t>
  </si>
  <si>
    <t>https://www.carlislefsp.com/dinnerware/mingle/5401915</t>
  </si>
  <si>
    <t>https://catalog.carlislefsp.com/images/1600x1600/288735.jpg</t>
  </si>
  <si>
    <t>https://www.carlislefsp.com/dinnerware/mingle/5400252</t>
  </si>
  <si>
    <t>https://catalog.carlislefsp.com/images/1600x1600/266688.jpg</t>
  </si>
  <si>
    <t>https://www.carlislefsp.com/dinnerware/stadia-dinnerware/5300702</t>
  </si>
  <si>
    <t>https://catalog.carlislefsp.com/images/1600x1600/364285.jpg</t>
  </si>
  <si>
    <t>https://www.carlislefsp.com/dinnerware/dallas-ware-dinnerware/4350025</t>
  </si>
  <si>
    <t>https://catalog.carlislefsp.com/images/1600x1600/277765.jpg</t>
  </si>
  <si>
    <t>https://www.carlislefsp.com/dinnerware/dallas-ware-dinnerware/4350402</t>
  </si>
  <si>
    <t>https://catalog.carlislefsp.com/images/1600x1600/277463.jpg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</si>
  <si>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N43504</t>
  </si>
  <si>
    <t>13.62 in | 34.61 cm</t>
  </si>
  <si>
    <t>7.12 in | 18.10 cm</t>
  </si>
  <si>
    <t>6.45 in | 16.38 cm</t>
  </si>
  <si>
    <t>https://www.carlislefsp.com/dinnerware/dallas-ware-dinnerware/4354014</t>
  </si>
  <si>
    <t>https://catalog.carlislefsp.com/images/1600x1600/276769.jpg</t>
  </si>
  <si>
    <t>https://www.carlislefsp.com/dinnerware/dallas-ware-dinnerware/4350002</t>
  </si>
  <si>
    <t>https://catalog.carlislefsp.com/images/1600x1600/277790.jpg</t>
  </si>
  <si>
    <t>https://www.carlislefsp.com/dinnerware/kingline-dinnerware/KL10202</t>
  </si>
  <si>
    <t>KL10202</t>
  </si>
  <si>
    <t>https://catalog.carlislefsp.com/images/1600x1600/344074.jpg</t>
  </si>
  <si>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NKL102</t>
  </si>
  <si>
    <t>23.10 lb | 10.48 kg</t>
  </si>
  <si>
    <t>1.09 ft3 | 0.03 m3</t>
  </si>
  <si>
    <t>21.00 in | 53.34 cm</t>
  </si>
  <si>
    <t>https://www.carlislefsp.com/dinnerware/kingline-dinnerware/KL20003</t>
  </si>
  <si>
    <t>KL20003</t>
  </si>
  <si>
    <t>https://catalog.carlislefsp.com/images/1600x1600/343750.jpg</t>
  </si>
  <si>
    <t>https://www.carlislefsp.com/tabletop-accessories/melamine-ramekins/5301102</t>
  </si>
  <si>
    <t>https://catalog.carlislefsp.com/images/1600x1600/301042.jpg</t>
  </si>
  <si>
    <t>https://www.carlislefsp.com/dinnerware/sierrus-dinnerware/3300402</t>
  </si>
  <si>
    <t>https://catalog.carlislefsp.com/images/1600x1600/362321.jpg</t>
  </si>
  <si>
    <t>https://www.carlislefsp.com/dinnerware/sierrus-dinnerware/3301205</t>
  </si>
  <si>
    <t>https://www.carlislefsp.com/dinnerware/dallas-ware-dinnerware/4350152</t>
  </si>
  <si>
    <t>https://catalog.carlislefsp.com/images/1600x1600/343631.jpg</t>
  </si>
  <si>
    <t>https://www.carlislefsp.com/dinnerware/kingline-dinnerware/KL10225</t>
  </si>
  <si>
    <t>KL10225</t>
  </si>
  <si>
    <t>https://catalog.carlislefsp.com/images/1600x1600/364660.jpg</t>
  </si>
  <si>
    <t>https://www.carlislefsp.com/dinnerware/gathering/GA5500270</t>
  </si>
  <si>
    <t>GA5500270</t>
  </si>
  <si>
    <t>https://catalog.carlislefsp.com/images/1600x1600/266393.jpg</t>
  </si>
  <si>
    <t>8.40 lb | 3.81 kg</t>
  </si>
  <si>
    <t>https://www.carlislefsp.com/dinnerware/polycarbonate-dinnerware/PCD30550</t>
  </si>
  <si>
    <t>PCD30550</t>
  </si>
  <si>
    <t>https://catalog.carlislefsp.com/images/1600x1600/282347.jpg</t>
  </si>
  <si>
    <t>https://www.carlislefsp.com/dinnerware/ridge-dinnerware/5310372</t>
  </si>
  <si>
    <t>https://catalog.carlislefsp.com/images/1600x1600/302315.jpg</t>
  </si>
  <si>
    <t>https://www.carlislefsp.com/dinnerware/ridge-dinnerware/5310323</t>
  </si>
  <si>
    <t>https://catalog.carlislefsp.com/images/1600x1600/302445.jpg</t>
  </si>
  <si>
    <t>https://www.carlislefsp.com/dinnerware/dallas-ware-dinnerware/4350014</t>
  </si>
  <si>
    <t>https://catalog.carlislefsp.com/images/1600x1600/277820.jpg</t>
  </si>
  <si>
    <t>https://www.carlislefsp.com/dinnerware/melamine-dinnerware-and-serving-pieces/4374502</t>
  </si>
  <si>
    <t>https://catalog.carlislefsp.com/images/1600x1600/364196.jpg</t>
  </si>
  <si>
    <t>https://www.carlislefsp.com/dinnerware/grove/6402218</t>
  </si>
  <si>
    <t>https://catalog.carlislefsp.com/images/1600x1600/266283.jpg</t>
  </si>
  <si>
    <t>https://www.carlislefsp.com/dinnerware/mingle/5400746</t>
  </si>
  <si>
    <t>https://catalog.carlislefsp.com/images/1600x1600/275756.jpg</t>
  </si>
  <si>
    <t>https://www.carlislefsp.com/dinnerware/kingline-dinnerware/KL20525</t>
  </si>
  <si>
    <t>KL20525</t>
  </si>
  <si>
    <t>https://catalog.carlislefsp.com/images/1600x1600/362450.jpg</t>
  </si>
  <si>
    <t>https://www.carlislefsp.com/dinnerware/dallas-ware-dinnerware/4352835</t>
  </si>
  <si>
    <t>https://catalog.carlislefsp.com/images/1600x1600/364896.jpg</t>
  </si>
  <si>
    <t>https://www.carlislefsp.com/dinnerware/mingle/5400713</t>
  </si>
  <si>
    <t>https://catalog.carlislefsp.com/images/1600x1600/276025.jpg</t>
  </si>
  <si>
    <t>https://www.carlislefsp.com/dinnerware/ridge-dinnerware/5310138</t>
  </si>
  <si>
    <t>https://catalog.carlislefsp.com/images/1600x1600/302414.jpg</t>
  </si>
  <si>
    <t>https://www.carlislefsp.com/dinnerware/square-dinnerware/4330802</t>
  </si>
  <si>
    <t>https://catalog.carlislefsp.com/images/1600x1600/344201.jpg</t>
  </si>
  <si>
    <t>https://www.carlislefsp.com/dinnerware/stadia-dinnerware/5300680</t>
  </si>
  <si>
    <t>https://catalog.carlislefsp.com/images/1600x1600/301083.jpg</t>
  </si>
  <si>
    <t>https://www.carlislefsp.com/dinnerware/square-dinnerware/4330603</t>
  </si>
  <si>
    <t>https://catalog.carlislefsp.com/images/1600x1600/363821.jpg</t>
  </si>
  <si>
    <t>https://www.carlislefsp.com/dinnerware/small-plates/794202</t>
  </si>
  <si>
    <t>https://catalog.carlislefsp.com/images/1600x1600/365332.jpg</t>
  </si>
  <si>
    <t>• Scoop shaped design holds sauces,  appetizers, sushi or side dishes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</si>
  <si>
    <t>11.38 in | 28.89 cm</t>
  </si>
  <si>
    <t>0.24 lb | 0.11 kg</t>
  </si>
  <si>
    <t>https://www.carlislefsp.com/dinnerware/melamine-dinnerware-and-serving-pieces/ARR12002</t>
  </si>
  <si>
    <t>ARR12002</t>
  </si>
  <si>
    <t>https://catalog.carlislefsp.com/images/1600x1600/339220.jpg</t>
  </si>
  <si>
    <t>• Oval platter perfect for serving rice, pasta, chicken,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NARR120</t>
  </si>
  <si>
    <t>5.80 in | 14.73 cm</t>
  </si>
  <si>
    <t xml:space="preserve">136 | </t>
  </si>
  <si>
    <t>0.59 lb | 0.27 kg</t>
  </si>
  <si>
    <t>https://www.carlislefsp.com/dinnerware/polycarbonate-dinnerware/PCD21125</t>
  </si>
  <si>
    <t>PCD21125</t>
  </si>
  <si>
    <t>https://catalog.carlislefsp.com/images/1600x1600/282752.jpg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</si>
  <si>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NPCD211</t>
  </si>
  <si>
    <t>https://www.carlislefsp.com/dinnerware/kingline-dinnerware/KL10825</t>
  </si>
  <si>
    <t>KL10825</t>
  </si>
  <si>
    <t>https://catalog.carlislefsp.com/images/1600x1600/363616.jpg</t>
  </si>
  <si>
    <t>https://www.carlislefsp.com/dinnerware/melamine-dinnerware-and-serving-pieces/4373902</t>
  </si>
  <si>
    <t>https://catalog.carlislefsp.com/images/1600x1600/364962.jpg</t>
  </si>
  <si>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N43739</t>
  </si>
  <si>
    <t>4.38 in | 11.13 cm</t>
  </si>
  <si>
    <t>https://www.carlislefsp.com/dinnerware/sierrus-dinnerware/3300805</t>
  </si>
  <si>
    <t>https://www.carlislefsp.com/dinnerware/sierrus-dinnerware/3303642</t>
  </si>
  <si>
    <t>https://catalog.carlislefsp.com/images/1600x1600/272817.jpg</t>
  </si>
  <si>
    <t>https://www.carlislefsp.com/dinnerware/kingline-dinnerware/KL11802</t>
  </si>
  <si>
    <t>KL11802</t>
  </si>
  <si>
    <t>https://catalog.carlislefsp.com/images/1600x1600/364970.jpg</t>
  </si>
  <si>
    <t>https://www.carlislefsp.com/dinnerware/mingle/5401815</t>
  </si>
  <si>
    <t>https://catalog.carlislefsp.com/images/1600x1600/266498.jpg</t>
  </si>
  <si>
    <t>https://www.carlislefsp.com/dinnerware/mingle/5400353</t>
  </si>
  <si>
    <t>https://catalog.carlislefsp.com/images/1600x1600/318471.jpg</t>
  </si>
  <si>
    <t>https://www.carlislefsp.com/dinnerware/kingline-dinnerware/KL80503</t>
  </si>
  <si>
    <t>KL80503</t>
  </si>
  <si>
    <t>https://catalog.carlislefsp.com/images/1600x1600/344281.jpg</t>
  </si>
  <si>
    <t>https://www.carlislefsp.com/dinnerware/dallas-ware-dinnerware/4356325</t>
  </si>
  <si>
    <t>https://catalog.carlislefsp.com/images/1600x1600/277073.jpg</t>
  </si>
  <si>
    <t>https://www.carlislefsp.com/dinnerware/kingline-dinnerware/KL20103</t>
  </si>
  <si>
    <t>KL20103</t>
  </si>
  <si>
    <t>https://catalog.carlislefsp.com/images/1600x1600/343742.jpg</t>
  </si>
  <si>
    <t>https://www.carlislefsp.com/dinnerware/petal-mist-plates-and-bowls/695607</t>
  </si>
  <si>
    <t>https://catalog.carlislefsp.com/images/1600x1600/276743.jpg</t>
  </si>
  <si>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N6956</t>
  </si>
  <si>
    <t>8.87 in | 22.53 cm</t>
  </si>
  <si>
    <t>19.12 in | 48.58 cm</t>
  </si>
  <si>
    <t>10.44 in | 26.52 cm</t>
  </si>
  <si>
    <t>0.36 lb | 0.16 kg</t>
  </si>
  <si>
    <t>https://www.carlislefsp.com/dinnerware/dallas-ware-dinnerware/4352102</t>
  </si>
  <si>
    <t>https://catalog.carlislefsp.com/images/1600x1600/277251.jpg</t>
  </si>
  <si>
    <t>https://www.carlislefsp.com/dinnerware/ridge-dinnerware/5310923</t>
  </si>
  <si>
    <t>https://catalog.carlislefsp.com/images/1600x1600/302338.jpg</t>
  </si>
  <si>
    <t>https://www.carlislefsp.com/dinnerware/grove/6400206</t>
  </si>
  <si>
    <t>https://catalog.carlislefsp.com/images/1600x1600/362455.jpg</t>
  </si>
  <si>
    <t>https://www.carlislefsp.com/dinnerware/dallas-ware-dinnerware/4350105</t>
  </si>
  <si>
    <t>https://catalog.carlislefsp.com/images/1600x1600/344175.jpg</t>
  </si>
  <si>
    <t>https://www.carlislefsp.com/dinnerware/polycarbonate-dinnerware/PCD20602</t>
  </si>
  <si>
    <t>PCD20602</t>
  </si>
  <si>
    <t>https://catalog.carlislefsp.com/images/1600x1600/282522.jpg</t>
  </si>
  <si>
    <t>https://www.carlislefsp.com/dinnerware/kingline-dinnerware/KL20002</t>
  </si>
  <si>
    <t>KL20002</t>
  </si>
  <si>
    <t>https://catalog.carlislefsp.com/images/1600x1600/267869.jpg</t>
  </si>
  <si>
    <t>https://www.carlislefsp.com/dinnerware/ridge-dinnerware/5310937</t>
  </si>
  <si>
    <t>https://catalog.carlislefsp.com/images/1600x1600/302461.jpg</t>
  </si>
  <si>
    <t>https://www.carlislefsp.com/dinnerware/petal-mist-plates-and-bowls/690707</t>
  </si>
  <si>
    <t>https://catalog.carlislefsp.com/images/1600x1600/277048.jpg</t>
  </si>
  <si>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N6907</t>
  </si>
  <si>
    <t>16.44 in | 41.76 cm</t>
  </si>
  <si>
    <t>https://www.carlislefsp.com/dinnerware/sierrus-dinnerware/3301242</t>
  </si>
  <si>
    <t>https://www.carlislefsp.com/dinnerware/ridge-dinnerware/5311037</t>
  </si>
  <si>
    <t>https://catalog.carlislefsp.com/images/1600x1600/302332.jpg</t>
  </si>
  <si>
    <t>https://www.carlislefsp.com/dinnerware/sierrus-dinnerware/3308602</t>
  </si>
  <si>
    <t>https://catalog.carlislefsp.com/images/1600x1600/272813.jpg</t>
  </si>
  <si>
    <t>https://www.carlislefsp.com/dinnerware/grove/6402318</t>
  </si>
  <si>
    <t>https://catalog.carlislefsp.com/images/1600x1600/362600.jpg</t>
  </si>
  <si>
    <t>https://www.carlislefsp.com/dinnerware/epicure-dinnerware/4381402</t>
  </si>
  <si>
    <t>https://catalog.carlislefsp.com/images/1600x1600/364906.jpg</t>
  </si>
  <si>
    <t>• European styled serving bowl great for soups,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N43814</t>
  </si>
  <si>
    <t>1.60 in | 4.06 cm</t>
  </si>
  <si>
    <t>2.80 in | 7.11 cm</t>
  </si>
  <si>
    <t xml:space="preserve">272 | </t>
  </si>
  <si>
    <t>19.20 fl oz | 0.57 l</t>
  </si>
  <si>
    <t>https://www.carlislefsp.com/dinnerware/sierrus-dinnerware/3301002</t>
  </si>
  <si>
    <t>https://catalog.carlislefsp.com/images/1600x1600/272754.jpg</t>
  </si>
  <si>
    <t>https://www.carlislefsp.com/dinnerware/ridge-dinnerware/5310338</t>
  </si>
  <si>
    <t>https://catalog.carlislefsp.com/images/1600x1600/302382.jpg</t>
  </si>
  <si>
    <t>https://www.carlislefsp.com/dinnerware/dallas-ware-dinnerware/4354005</t>
  </si>
  <si>
    <t>https://catalog.carlislefsp.com/images/1600x1600/277432.jpg</t>
  </si>
  <si>
    <t>https://www.carlislefsp.com/dinnerware/polycarbonate-dinnerware/PCD22002</t>
  </si>
  <si>
    <t>PCD22002</t>
  </si>
  <si>
    <t>https://catalog.carlislefsp.com/images/1600x1600/283097.jpg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</si>
  <si>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NPCD220</t>
  </si>
  <si>
    <t>18.70 lb | 8.48 kg</t>
  </si>
  <si>
    <t>9.43 in | 23.95 cm</t>
  </si>
  <si>
    <t>https://www.carlislefsp.com/dinnerware/polycarbonate-dinnerware/PCD30802</t>
  </si>
  <si>
    <t>PCD30802</t>
  </si>
  <si>
    <t>https://catalog.carlislefsp.com/images/1600x1600/282422.jpg</t>
  </si>
  <si>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NPCD308</t>
  </si>
  <si>
    <t>5.35 lb | 2.43 kg</t>
  </si>
  <si>
    <t>8.40 fl oz | 0.25 l</t>
  </si>
  <si>
    <t>https://www.carlislefsp.com/dinnerware/dallas-ware-dinnerware/4352025</t>
  </si>
  <si>
    <t>https://catalog.carlislefsp.com/images/1600x1600/277369.jpg</t>
  </si>
  <si>
    <t>https://www.carlislefsp.com/dinnerware/dallas-ware-dinnerware/4350335</t>
  </si>
  <si>
    <t>https://catalog.carlislefsp.com/images/1600x1600/277088.jpg</t>
  </si>
  <si>
    <t>https://www.carlislefsp.com/dinnerware/mingle/5401953</t>
  </si>
  <si>
    <t>https://catalog.carlislefsp.com/images/1600x1600/318496.jpg</t>
  </si>
  <si>
    <t>https://www.carlislefsp.com/dinnerware/dallas-ware-dinnerware/4354042</t>
  </si>
  <si>
    <t>https://catalog.carlislefsp.com/images/1600x1600/276655.jpg</t>
  </si>
  <si>
    <t>https://www.carlislefsp.com/dinnerware/kingline-dinnerware/KL11902</t>
  </si>
  <si>
    <t>KL11902</t>
  </si>
  <si>
    <t>https://catalog.carlislefsp.com/images/1600x1600/344125.jpg</t>
  </si>
  <si>
    <t>https://www.carlislefsp.com/dinnerware/ridge-dinnerware/5310737</t>
  </si>
  <si>
    <t>https://catalog.carlislefsp.com/images/1600x1600/302411.jpg</t>
  </si>
  <si>
    <t>https://www.carlislefsp.com/dinnerware/dallas-ware-dinnerware/4353135</t>
  </si>
  <si>
    <t>https://catalog.carlislefsp.com/images/1600x1600/365669.jpg</t>
  </si>
  <si>
    <t>https://www.carlislefsp.com/drinkware/carlisle-mugs/4306803</t>
  </si>
  <si>
    <t>https://catalog.carlislefsp.com/images/1600x1600/301821.jpg</t>
  </si>
  <si>
    <t>• Made of break-resistant and BPA Free Tritan
• Specially designed, large handle allows for easy holding, keeps fingers away from hot liquids
• Available in 6 colors to coordinate with Carlisle's existing dinnerware lines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t>
  </si>
  <si>
    <t>Tritan</t>
  </si>
  <si>
    <t>6.94 in | 17.62 cm</t>
  </si>
  <si>
    <t>2.33 in | 5.93 cm</t>
  </si>
  <si>
    <t>2.60 in | 6.60 cm</t>
  </si>
  <si>
    <t>https://www.carlislefsp.com/items/557307</t>
  </si>
  <si>
    <t>https://catalog.carlislefsp.com/images/1600x1600/274445.jpg</t>
  </si>
  <si>
    <t>• made of break-resistant polycarbonate
• thick walls and optic bottom give it the look of glass
• Dishwasher Safe
• Polycarbonate (PC) is resistant to staining, breaking and chipping</t>
  </si>
  <si>
    <t xml:space="preserve">360 | </t>
  </si>
  <si>
    <t>https://www.carlislefsp.com/drinkware/polycarbonate-pitchers/553607</t>
  </si>
  <si>
    <t>https://catalog.carlislefsp.com/images/1600x1600/363323.jpg</t>
  </si>
  <si>
    <t>• Ice trap retains ice or beer foam
• made of break-resistant polycarbonate for ultimate durability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N5536</t>
  </si>
  <si>
    <t>0.53 ft3 | 0.01 m3</t>
  </si>
  <si>
    <t>3.18 in | 8.08 cm</t>
  </si>
  <si>
    <t>https://www.carlislefsp.com/drinkware/louis-tumblers/582207</t>
  </si>
  <si>
    <t>https://catalog.carlislefsp.com/images/1600x1600/365525.jpg</t>
  </si>
  <si>
    <t>• Faceted shape offers easy grip
• Appearance of glass
• Made of break resistant SAN
• Stackable space saving feature
• Usable temperature range of 0 F to 180 F.
• SAN is resistant to staining, breaking and chipping</t>
  </si>
  <si>
    <t>3.62 in | 9.19 cm</t>
  </si>
  <si>
    <t>22.50 fl oz | 0.67 l</t>
  </si>
  <si>
    <t>7.80 lb | 3.54 kg</t>
  </si>
  <si>
    <t>0.92 ft3 | 0.03 m3</t>
  </si>
  <si>
    <t>15.70 in | 39.88 cm</t>
  </si>
  <si>
    <t>https://www.carlislefsp.com/drinkware/mingle-drinkware/MIN544207</t>
  </si>
  <si>
    <t>MIN544207</t>
  </si>
  <si>
    <t>https://catalog.carlislefsp.com/images/1600x1600/266798.jpg</t>
  </si>
  <si>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</si>
  <si>
    <t>19.30 fl oz | 0.57 l</t>
  </si>
  <si>
    <t>3.95 lb | 1.79 kg</t>
  </si>
  <si>
    <t>https://www.carlislefsp.com/drinkware/crystalon-tumblers-in-caribbean-rimglow-colors/402054</t>
  </si>
  <si>
    <t>https://catalog.carlislefsp.com/images/1600x1600/274177.jpg</t>
  </si>
  <si>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</si>
  <si>
    <t>21.50 fl oz | 0.64 l</t>
  </si>
  <si>
    <t>11.90 lb | 5.40 kg</t>
  </si>
  <si>
    <t>28.50 in | 72.39 cm</t>
  </si>
  <si>
    <t>https://www.carlislefsp.com/drinkware/louis-tumblers/581807</t>
  </si>
  <si>
    <t>https://catalog.carlislefsp.com/images/1600x1600/363532.jpg</t>
  </si>
  <si>
    <t>https://www.carlislefsp.com/drinkware/louis-tumblers/581618</t>
  </si>
  <si>
    <t>https://catalog.carlislefsp.com/images/1600x1600/340934.jpg</t>
  </si>
  <si>
    <t>16.50 fl oz | 0.49 l</t>
  </si>
  <si>
    <t>6.55 lb | 2.97 kg</t>
  </si>
  <si>
    <t>14.40 in | 36.58 cm</t>
  </si>
  <si>
    <t>2.38 in | 6.05 cm</t>
  </si>
  <si>
    <t>https://www.carlislefsp.com/drinkware/stackable-tumblers/52243550G</t>
  </si>
  <si>
    <t>52243550G</t>
  </si>
  <si>
    <t>https://catalog.carlislefsp.com/images/1600x1600/268809.jpg</t>
  </si>
  <si>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</si>
  <si>
    <t>7.18 in | 18.24 cm</t>
  </si>
  <si>
    <t>26.50 fl oz | 0.78 l</t>
  </si>
  <si>
    <t>19.30 lb | 8.75 kg</t>
  </si>
  <si>
    <t>1.48 ft3 | 0.04 m3</t>
  </si>
  <si>
    <t xml:space="preserve">33 | </t>
  </si>
  <si>
    <t>https://www.carlislefsp.com/drinkware/louis-tumblers/582007</t>
  </si>
  <si>
    <t>https://catalog.carlislefsp.com/images/1600x1600/363570.jpg</t>
  </si>
  <si>
    <t>20.50 fl oz | 0.61 l</t>
  </si>
  <si>
    <t>7.25 lb | 3.29 kg</t>
  </si>
  <si>
    <t>0.96 ft3 | 0.03 m3</t>
  </si>
  <si>
    <t>https://www.carlislefsp.com/drinkware/louis-tumblers/581607</t>
  </si>
  <si>
    <t>https://catalog.carlislefsp.com/images/1600x1600/362606.jpg</t>
  </si>
  <si>
    <t>https://www.carlislefsp.com/drinkware/pebble-optic-tumblers/551207</t>
  </si>
  <si>
    <t>https://catalog.carlislefsp.com/images/1600x1600/362232.jpg</t>
  </si>
  <si>
    <t>• Attractive pebbled exterior hides scratches
• Made of dishwasher safe SAN with thick-walled construction for sturdy feel
• 5 oz, 8 oz, 9-1/2 oz, and 12 oz sizes have stacking feature on bottom
• Usable temperature range of 0 F to 140 F.
• SAN is resistant to staining, breaking and chipping</t>
  </si>
  <si>
    <t>4.87 in | 12.37 cm</t>
  </si>
  <si>
    <t>140.00 °F | 60.00 °C</t>
  </si>
  <si>
    <t>11.90 fl oz | 0.35 l</t>
  </si>
  <si>
    <t>2.43 in | 6.17 cm</t>
  </si>
  <si>
    <t>https://www.carlislefsp.com/drinkware/stackable-tumblers/52163550D</t>
  </si>
  <si>
    <t>52163550D</t>
  </si>
  <si>
    <t>https://catalog.carlislefsp.com/images/1600x1600/268196.jpg</t>
  </si>
  <si>
    <t>1.37 ft3 | 0.04 m3</t>
  </si>
  <si>
    <t>3.20 oz | 0.09 kg</t>
  </si>
  <si>
    <t>3.28 in | 8.33 cm</t>
  </si>
  <si>
    <t>2.36 in | 5.99 cm</t>
  </si>
  <si>
    <t>https://www.carlislefsp.com/drinkware/cascata-carafes/7090502</t>
  </si>
  <si>
    <t>https://catalog.carlislefsp.com/images/1600x1600/354438.jpg</t>
  </si>
  <si>
    <t>• Snap-on lids available in solid or hinged styles
• Snap-on lids available in sold or hinged styles
• Keeps spills at a minimum</t>
  </si>
  <si>
    <t>3.94 in | 10.01 cm</t>
  </si>
  <si>
    <t>0.28 in | 0.70 cm</t>
  </si>
  <si>
    <t xml:space="preserve">960 | </t>
  </si>
  <si>
    <t>https://www.carlislefsp.com/drinkware/carlisle-mugs/4306814</t>
  </si>
  <si>
    <t>https://catalog.carlislefsp.com/images/1600x1600/301846.jpg</t>
  </si>
  <si>
    <t>https://www.carlislefsp.com/drinkware/stackable-tumblers/521254</t>
  </si>
  <si>
    <t>https://catalog.carlislefsp.com/images/1600x1600/269142.jpg</t>
  </si>
  <si>
    <t>13.40 fl oz | 0.40 l</t>
  </si>
  <si>
    <t>https://www.carlislefsp.com/drinkware/bistro-tumblers/013207</t>
  </si>
  <si>
    <t>https://catalog.carlislefsp.com/images/1600x1600/265932.jpg</t>
  </si>
  <si>
    <t>• Made of dishwasher safe SAN with thick-walled construction for sturdy feel
• Attractive traditional fluted exterior compliments any tabletop presentation
• Easy stack tumblers have non-stick interior lugs to prevent jamming when stored
• Made of chip-, shatter-, and break-resistant SAN
• SAN is resistant to staining, breaking and chipping.</t>
  </si>
  <si>
    <t>33.00 fl oz | 976.00 ml</t>
  </si>
  <si>
    <t>12.85 lb | 5.83 kg</t>
  </si>
  <si>
    <t>3.92 in | 9.96 cm</t>
  </si>
  <si>
    <t>https://www.carlislefsp.com/drinkware/polycarbonate-drinkware/4366607</t>
  </si>
  <si>
    <t>https://catalog.carlislefsp.com/images/1600x1600/274585.jpg</t>
  </si>
  <si>
    <t>• Shatterproof polycarbonate drinkware is the ideal alternative to glass in any setting; outdoor, poolside, or resort use - anywhere breakage is a concern
• Unique swirl look creates a perfect glass-like tabletop beverage presentation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</si>
  <si>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12.70 fl oz | 0.38 l</t>
  </si>
  <si>
    <t>7.35 lb | 3.33 kg</t>
  </si>
  <si>
    <t>2.13 in | 5.41 cm</t>
  </si>
  <si>
    <t>https://www.carlislefsp.com/drinkware/mingle-drinkware/MIN544307</t>
  </si>
  <si>
    <t>MIN544307</t>
  </si>
  <si>
    <t>https://catalog.carlislefsp.com/images/1600x1600/362595.jpg</t>
  </si>
  <si>
    <t>2.40 qt | 2.27 l</t>
  </si>
  <si>
    <t>0.88 ft3 | 0.02 m3</t>
  </si>
  <si>
    <t>1.59 lb | 0.72 kg</t>
  </si>
  <si>
    <t>https://www.carlislefsp.com/drinkware/mingle-drinkware/MIN544318</t>
  </si>
  <si>
    <t>MIN544318</t>
  </si>
  <si>
    <t>https://catalog.carlislefsp.com/images/1600x1600/266918.jpg</t>
  </si>
  <si>
    <t>https://www.carlislefsp.com/drinkware/stackable-tumblers/5506-207</t>
  </si>
  <si>
    <t>5506-207</t>
  </si>
  <si>
    <t>https://catalog.carlislefsp.com/images/1600x1600/267635.jpg</t>
  </si>
  <si>
    <t>4.37 in | 11.10 cm</t>
  </si>
  <si>
    <t>9.20 fl oz | 0.27 l</t>
  </si>
  <si>
    <t>4.05 lb | 1.84 kg</t>
  </si>
  <si>
    <t>0.44 ft3 | 0.01 m3</t>
  </si>
  <si>
    <t>2.12 in | 5.38 cm</t>
  </si>
  <si>
    <t>https://www.carlislefsp.com/drinkware/louis-tumblers/583218</t>
  </si>
  <si>
    <t>https://catalog.carlislefsp.com/images/1600x1600/340947.jpg</t>
  </si>
  <si>
    <t>31.90 fl oz | 0.94 l</t>
  </si>
  <si>
    <t>11.05 lb | 5.01 kg</t>
  </si>
  <si>
    <t>9.20 in | 23.37 cm</t>
  </si>
  <si>
    <t>16.50 in | 41.91 cm</t>
  </si>
  <si>
    <t>0.46 lb | 0.21 kg</t>
  </si>
  <si>
    <t>https://www.carlislefsp.com/drinkware/alibi-drinkware-and-stemware/564907</t>
  </si>
  <si>
    <t>https://catalog.carlislefsp.com/images/1600x1600/281003.jpg</t>
  </si>
  <si>
    <t>• Shatterproof polycarbonate
• Great for outdoor and poolside beverage service
• Sophisticated Styling
• Light weight yet durable
• Polycarbonate (PC) is resistant to staining, breaking and chipping
• Hand wash in bar sink or 3-compartment sink</t>
  </si>
  <si>
    <t>10.13 in | 25.73 cm</t>
  </si>
  <si>
    <t>11.75 lb | 5.33 kg</t>
  </si>
  <si>
    <t>1.60 ft3 | 0.05 m3</t>
  </si>
  <si>
    <t>0.53 lb | 0.24 kg</t>
  </si>
  <si>
    <t>https://www.carlislefsp.com/drinkware/alibi-drinkware-and-stemware/564607</t>
  </si>
  <si>
    <t>https://catalog.carlislefsp.com/images/1600x1600/365054.jpg</t>
  </si>
  <si>
    <t>• Stemware is shatterproof polycarbonate
• Great for outdoor and poolside beverage service
• Sophisticated Styling
• Light weight yet durable
• Polycarbonate (PC) is resistant to staining, breaking and chipping
• Hand wash in bar sink or 3-compartment sink</t>
  </si>
  <si>
    <t>6.25 lb | 2.83 kg</t>
  </si>
  <si>
    <t>2.52 ft3 | 0.07 m3</t>
  </si>
  <si>
    <t>https://www.carlislefsp.com/drinkware/stackable-tumblers/522007</t>
  </si>
  <si>
    <t>https://catalog.carlislefsp.com/images/1600x1600/364301.jpg</t>
  </si>
  <si>
    <t>22.30 fl oz | 0.66 l</t>
  </si>
  <si>
    <t>17.35 lb | 7.87 kg</t>
  </si>
  <si>
    <t>1.36 ft3 | 0.04 m3</t>
  </si>
  <si>
    <t>3.43 in | 8.71 cm</t>
  </si>
  <si>
    <t>https://www.carlislefsp.com/drinkware/cascata-carafes/7090007</t>
  </si>
  <si>
    <t>https://catalog.carlislefsp.com/images/1600x1600/363643.jpg</t>
  </si>
  <si>
    <t>• Ergonomic shape is easy to hold and angled rim provides a drip-free pour
• Larger sizes can be used for water, juice or wine
• Smaller sizes are good for salad dressings, syrups and single-portion drinks
• A green alternative to single-serve drinks
• Shatterproof polycarbonate looks like glass
• Custom imprinting available; contact customer service for details
• Polycarbonate (PC) is resistant to staining, breaking and chipping
• Hand washing recommended in bar sinks or 3-compartment sink</t>
  </si>
  <si>
    <t>2.77 in | 7.04 cm</t>
  </si>
  <si>
    <t>2.24 in | 5.69 cm</t>
  </si>
  <si>
    <t>https://www.carlislefsp.com/drinkware/polycarbonate-drinkware/4367407</t>
  </si>
  <si>
    <t>https://catalog.carlislefsp.com/images/1600x1600/274460.jpg</t>
  </si>
  <si>
    <t>21.70 fl oz | 0.64 l</t>
  </si>
  <si>
    <t>0.84 ft3 | 0.02 m3</t>
  </si>
  <si>
    <t>https://www.carlislefsp.com/drinkware/stackable-tumblers/521647</t>
  </si>
  <si>
    <t>https://catalog.carlislefsp.com/images/1600x1600/268685.jpg</t>
  </si>
  <si>
    <t>https://www.carlislefsp.com/drinkware/louis-tumblers/580607</t>
  </si>
  <si>
    <t>https://catalog.carlislefsp.com/images/1600x1600/364475.jpg</t>
  </si>
  <si>
    <t>0.15 lb | 0.07 kg</t>
  </si>
  <si>
    <t>https://www.carlislefsp.com/drinkware/alibi-drinkware-and-stemware/561007</t>
  </si>
  <si>
    <t>https://catalog.carlislefsp.com/images/1600x1600/363388.jpg</t>
  </si>
  <si>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</si>
  <si>
    <t>5.69 in | 14.45 cm</t>
  </si>
  <si>
    <t>6.65 lb | 3.02 kg</t>
  </si>
  <si>
    <t>https://www.carlislefsp.com/drinkware/alibi-drinkware-and-stemware/561207</t>
  </si>
  <si>
    <t>https://catalog.carlislefsp.com/images/1600x1600/280998.jpg</t>
  </si>
  <si>
    <t>3.75 in | 9.53 cm</t>
  </si>
  <si>
    <t>7.45 lb | 3.38 kg</t>
  </si>
  <si>
    <t>2.94 in | 7.47 cm</t>
  </si>
  <si>
    <t>https://www.carlislefsp.com/drinkware/stackable-tumblers/522407</t>
  </si>
  <si>
    <t>https://catalog.carlislefsp.com/images/1600x1600/269043.jpg</t>
  </si>
  <si>
    <t>https://www.carlislefsp.com/drinkware/alibi-drinkware-and-stemware/564407</t>
  </si>
  <si>
    <t>https://catalog.carlislefsp.com/images/1600x1600/363846.jpg</t>
  </si>
  <si>
    <t>1.39 ft3 | 0.04 m3</t>
  </si>
  <si>
    <t>18.60 in | 47.24 cm</t>
  </si>
  <si>
    <t>https://www.carlislefsp.com/drinkware/louis-tumblers/581007</t>
  </si>
  <si>
    <t>https://catalog.carlislefsp.com/images/1600x1600/268710.jpg</t>
  </si>
  <si>
    <t>10.40 fl oz | 0.31 l</t>
  </si>
  <si>
    <t>4.80 lb | 2.18 kg</t>
  </si>
  <si>
    <t>https://www.carlislefsp.com/drinkware/disposable-lids/5810L30</t>
  </si>
  <si>
    <t>5810L30</t>
  </si>
  <si>
    <t>https://catalog.carlislefsp.com/images/1600x1600/279969.jpg</t>
  </si>
  <si>
    <t>• Stack Count: 100
• A green solution that can save you money
• Snug fitting lids fit a variety of Carlisle Tumblers
• Are slotted for use with straws
• Packed 1,000 per case</t>
  </si>
  <si>
    <t>0.30 in | 0.76 cm</t>
  </si>
  <si>
    <t>30.00 °F | -1.11 °C</t>
  </si>
  <si>
    <t>190.00 °F | 87.78 °C</t>
  </si>
  <si>
    <t>Polystyrene</t>
  </si>
  <si>
    <t>3.80 lb | 1.72 kg</t>
  </si>
  <si>
    <t>1.27 ft3 | 0.04 m3</t>
  </si>
  <si>
    <t>18.10 in | 45.97 cm</t>
  </si>
  <si>
    <t>0.00 lb | 0.00 kg</t>
  </si>
  <si>
    <t>https://www.carlislefsp.com/drinkware/disposable-lids/5812L30</t>
  </si>
  <si>
    <t>5812L30</t>
  </si>
  <si>
    <t>0.01 lb | 0.00 kg</t>
  </si>
  <si>
    <t>https://www.carlislefsp.com/drinkware/mingle-drinkware/MIN544007</t>
  </si>
  <si>
    <t>MIN544007</t>
  </si>
  <si>
    <t>https://catalog.carlislefsp.com/images/1600x1600/267033.jpg</t>
  </si>
  <si>
    <t>3.20 lb | 1.45 kg</t>
  </si>
  <si>
    <t>https://www.carlislefsp.com/drinkware/pebble-optic-tumblers/550807</t>
  </si>
  <si>
    <t>https://catalog.carlislefsp.com/images/1600x1600/266703.jpg</t>
  </si>
  <si>
    <t>• Attractive pebbled exterior hides scratches
• Made of dishwasher safe SAN with thick-walled construction for sturdy feel
• 5 oz, 8 oz, 9-1/2 oz, and 12 oz sizes have stacking feature on bottom
• SAN is resistant to staining, breaking and chipping</t>
  </si>
  <si>
    <t>4.43 in | 11.25 cm</t>
  </si>
  <si>
    <t>4.50 lb | 2.04 kg</t>
  </si>
  <si>
    <t>https://www.carlislefsp.com/drinkware/louis-tumblers/582218</t>
  </si>
  <si>
    <t>https://catalog.carlislefsp.com/images/1600x1600/340944.jpg</t>
  </si>
  <si>
    <t>https://www.carlislefsp.com/drinkware/san-pitchers/554607</t>
  </si>
  <si>
    <t>https://catalog.carlislefsp.com/images/1600x1600/274325.jpg</t>
  </si>
  <si>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t>
  </si>
  <si>
    <t>15.31 in | 38.89 cm</t>
  </si>
  <si>
    <t xml:space="preserve">55 | </t>
  </si>
  <si>
    <t>https://www.carlislefsp.com/drinkware/mingle-drinkware/MIN544015</t>
  </si>
  <si>
    <t>MIN544015</t>
  </si>
  <si>
    <t>https://catalog.carlislefsp.com/images/1600x1600/266303.jpg</t>
  </si>
  <si>
    <t>https://www.carlislefsp.com/drinkware/stackable-tumblers/553207</t>
  </si>
  <si>
    <t>https://catalog.carlislefsp.com/images/1600x1600/267610.jpg</t>
  </si>
  <si>
    <t>32.40 fl oz | 0.96 l</t>
  </si>
  <si>
    <t>15.55 lb | 7.05 kg</t>
  </si>
  <si>
    <t>4.16 in | 10.57 cm</t>
  </si>
  <si>
    <t>https://www.carlislefsp.com/drinkware/stackable-tumblers/521613</t>
  </si>
  <si>
    <t>https://catalog.carlislefsp.com/images/1600x1600/268899.jpg</t>
  </si>
  <si>
    <t>https://www.carlislefsp.com/drinkware/mingle-drinkware/MIN544107</t>
  </si>
  <si>
    <t>MIN544107</t>
  </si>
  <si>
    <t>https://catalog.carlislefsp.com/images/1600x1600/266443.jpg</t>
  </si>
  <si>
    <t>6.50 fl oz | 0.19 l</t>
  </si>
  <si>
    <t>5.29 fl oz | 0.16 l</t>
  </si>
  <si>
    <t>2.10 lb | 0.95 kg</t>
  </si>
  <si>
    <t>0.22 lb | 0.10 kg</t>
  </si>
  <si>
    <t>https://www.carlislefsp.com/drinkware/bistro-tumblers/111207</t>
  </si>
  <si>
    <t>https://catalog.carlislefsp.com/images/1600x1600/266543.jpg</t>
  </si>
  <si>
    <t>• Attractive traditional fluted exterior compliments any tabletop presentation
• Made of dishwasher safe SAN with thick-walled construction for sturdy feel
• Easy stack tumblers have non-stick interior lugs to prevent jamming when stored
• Made of chip-, shatter-, and break-resistant SAN
• SAN is resistant to staining, breaking and chipping
• Dishwasher safe with thick walled construction for a sturdy feel
• Made of dishwasher safe SAN with thick-walled construction for sturdy feel
• Easy stack tumblers have non-stick interior lugs to prevent jamming when stored</t>
  </si>
  <si>
    <t>2.83 in | 7.19 cm</t>
  </si>
  <si>
    <t>5.16 in | 13.11 cm</t>
  </si>
  <si>
    <t>12.30 fl oz | 0.36 l</t>
  </si>
  <si>
    <t>9.85 lb | 4.47 kg</t>
  </si>
  <si>
    <t>https://www.carlislefsp.com/drinkware/alibi-drinkware-and-stemware/560307</t>
  </si>
  <si>
    <t>https://catalog.carlislefsp.com/images/1600x1600/281328.jpg</t>
  </si>
  <si>
    <t>0.15 ft3 | 0.00 m3</t>
  </si>
  <si>
    <t xml:space="preserve">324 | </t>
  </si>
  <si>
    <t>3.20 fl oz | 0.09 l</t>
  </si>
  <si>
    <t>2.06 in | 5.24 cm</t>
  </si>
  <si>
    <t>https://www.carlislefsp.com/drinkware/bistro-tumblers/110807</t>
  </si>
  <si>
    <t>https://catalog.carlislefsp.com/images/1600x1600/266368.jpg</t>
  </si>
  <si>
    <t>• Attractive traditional fluted exterior compliments any tabletop presentation
• Easy stack tumblers have non-stick interior lugs to prevent jamming when stored
• Made of chip-, shatter-, and break-resistant SAN
• Made of dishwasher safe SAN with thick-walled construction for sturdy feel
• SAN is resistant to staining, breaking and chipping
• Dishwasher safe with thick walled construction for a sturdy feel
• Easy stack tumblers have non-stick interior lugs to prevent jamming when stored
• Made of chip-, shatter-, and break-resistant SAN</t>
  </si>
  <si>
    <t>2.69 in | 6.83 cm</t>
  </si>
  <si>
    <t>3.82 in | 9.70 cm</t>
  </si>
  <si>
    <t>0.95 ft3 | 0.03 m3</t>
  </si>
  <si>
    <t>2.23 in | 5.66 cm</t>
  </si>
  <si>
    <t>0.10 in | 0.25 cm</t>
  </si>
  <si>
    <t>https://www.carlislefsp.com/drinkware/alibi-drinkware-and-stemware/564107</t>
  </si>
  <si>
    <t>https://catalog.carlislefsp.com/images/1600x1600/280589.jpg</t>
  </si>
  <si>
    <t>• Great for outdoor and poolside beverage service
• Sophisticated Styling
• Stemware is shatterproof polycarbonate
• Light weight yet durable
• Polycarbonate (PC) is resistant to staining, breaking and chipping
• Hand wash in bar sink or 3-compartment sink</t>
  </si>
  <si>
    <t>7.95 lb | 3.61 kg</t>
  </si>
  <si>
    <t>2.58 ft3 | 0.07 m3</t>
  </si>
  <si>
    <t>https://www.carlislefsp.com/drinkware/louis-tumblers/581207</t>
  </si>
  <si>
    <t>https://catalog.carlislefsp.com/images/1600x1600/274305.jpg</t>
  </si>
  <si>
    <t>3.44 in | 8.74 cm</t>
  </si>
  <si>
    <t>3.44 in | 8.73 cm</t>
  </si>
  <si>
    <t>https://www.carlislefsp.com/drinkware/stackable-tumblers/52163550E</t>
  </si>
  <si>
    <t>52163550E</t>
  </si>
  <si>
    <t>https://catalog.carlislefsp.com/images/1600x1600/362674.jpg</t>
  </si>
  <si>
    <t>https://www.carlislefsp.com/drinkware/pebble-optic-tumblers/550507</t>
  </si>
  <si>
    <t>https://catalog.carlislefsp.com/images/1600x1600/267018.jpg</t>
  </si>
  <si>
    <t>3.37 in | 8.56 cm</t>
  </si>
  <si>
    <t>5.60 fl oz | 0.17 l</t>
  </si>
  <si>
    <t>3.70 lb | 1.68 kg</t>
  </si>
  <si>
    <t>15.20 in | 38.61 cm</t>
  </si>
  <si>
    <t>https://www.carlislefsp.com/drinkware/polycarbonate-pitchers/557007</t>
  </si>
  <si>
    <t>https://catalog.carlislefsp.com/images/1600x1600/364841.jpg</t>
  </si>
  <si>
    <t>• thick walls and optic bottom give it the look of glass
• made of break-resistant polycarbonate
• lid sold separately
• Polycarbonate (PC) is resistant to staining, breaking and chipping</t>
  </si>
  <si>
    <t>18.40 in | 46.74 cm</t>
  </si>
  <si>
    <t>1.58 lb | 0.72 kg</t>
  </si>
  <si>
    <t>58.00 fl oz | 1.72 l</t>
  </si>
  <si>
    <t>https://www.carlislefsp.com/drinkware/alibi-drinkware-and-stemware/560107</t>
  </si>
  <si>
    <t>https://catalog.carlislefsp.com/images/1600x1600/281118.jpg</t>
  </si>
  <si>
    <t>2.31 in | 5.88 cm</t>
  </si>
  <si>
    <t xml:space="preserve">450 | </t>
  </si>
  <si>
    <t>0.06 lb | 0.03 kg</t>
  </si>
  <si>
    <t>1.80 fl oz | 0.05 l</t>
  </si>
  <si>
    <t>1.94 in | 4.92 cm</t>
  </si>
  <si>
    <t>https://www.carlislefsp.com/drinkware/crystalon-tumblers-in-caribbean-rimglow-colors/401607</t>
  </si>
  <si>
    <t>https://catalog.carlislefsp.com/images/1600x1600/267745.jpg</t>
  </si>
  <si>
    <t>9.80 lb | 4.45 kg</t>
  </si>
  <si>
    <t>26.70 in | 67.82 cm</t>
  </si>
  <si>
    <t xml:space="preserve">49 | </t>
  </si>
  <si>
    <t>2.32 in | 5.89 cm</t>
  </si>
  <si>
    <t>https://www.carlislefsp.com/drinkware/alibi-drinkware-and-stemware/564307</t>
  </si>
  <si>
    <t>https://catalog.carlislefsp.com/images/1600x1600/365194.jpg</t>
  </si>
  <si>
    <t>• Great for outdoor and poolside beverage service
• Sophisticated Styling
• Light weight yet durable
• Stemware is shatterproof polycarbonate
• Polycarbonate (PC) is resistant to staining, breaking and chipping
• Hand wash in bar sink or 3-compartment sink</t>
  </si>
  <si>
    <t>11.00 fl oz | 0.33 l</t>
  </si>
  <si>
    <t>https://www.carlislefsp.com/drinkware/carlisle-mugs/4306802</t>
  </si>
  <si>
    <t>https://catalog.carlislefsp.com/images/1600x1600/301784.jpg</t>
  </si>
  <si>
    <t>https://www.carlislefsp.com/drinkware/stackable-tumblers/52203550A</t>
  </si>
  <si>
    <t>52203550A</t>
  </si>
  <si>
    <t>https://catalog.carlislefsp.com/images/1600x1600/363469.jpg</t>
  </si>
  <si>
    <t>https://www.carlislefsp.com/drinkware/stackable-tumblers/521210</t>
  </si>
  <si>
    <t>https://catalog.carlislefsp.com/images/1600x1600/268690.jpg</t>
  </si>
  <si>
    <t>https://www.carlislefsp.com/drinkware/pebble-optic-tumblers/551707</t>
  </si>
  <si>
    <t>https://catalog.carlislefsp.com/images/1600x1600/266143.jpg</t>
  </si>
  <si>
    <t>5.43 in | 13.79 cm</t>
  </si>
  <si>
    <t xml:space="preserve">56 | </t>
  </si>
  <si>
    <t>https://www.carlislefsp.com/drinkware/disposable-lids/1110L30</t>
  </si>
  <si>
    <t>1110L30</t>
  </si>
  <si>
    <t>https://www.carlislefsp.com/drinkware/carlisle-mugs/4306842</t>
  </si>
  <si>
    <t>https://catalog.carlislefsp.com/images/1600x1600/301765.jpg</t>
  </si>
  <si>
    <t>https://www.carlislefsp.com/drinkware/stackable-tumblers/521610</t>
  </si>
  <si>
    <t>https://catalog.carlislefsp.com/images/1600x1600/268889.jpg</t>
  </si>
  <si>
    <t>https://www.carlislefsp.com/drinkware/stackable-tumblers/550107</t>
  </si>
  <si>
    <t>https://catalog.carlislefsp.com/images/1600x1600/364605.jpg</t>
  </si>
  <si>
    <t>3.56 in | 9.04 cm</t>
  </si>
  <si>
    <t>5.20 fl oz | 0.15 l</t>
  </si>
  <si>
    <t>7.15 lb | 3.24 kg</t>
  </si>
  <si>
    <t>2.09 in | 5.31 cm</t>
  </si>
  <si>
    <t>https://www.carlislefsp.com/drinkware/stackable-tumblers/522047</t>
  </si>
  <si>
    <t>https://catalog.carlislefsp.com/images/1600x1600/268336.jpg</t>
  </si>
  <si>
    <t>https://www.carlislefsp.com/drinkware/louis-tumblers/580818</t>
  </si>
  <si>
    <t>https://catalog.carlislefsp.com/images/1600x1600/340922.jpg</t>
  </si>
  <si>
    <t>• Faceted shape offers easy grip
• Appearance of glass
• Made of break resistant SAN
• Stackable space saving feature
• Usable temperature range of 0°F to 180°F.
• SAN is resistant to staining, breaking and chipping</t>
  </si>
  <si>
    <t>3.38 in | 8.57 cm</t>
  </si>
  <si>
    <t>https://www.carlislefsp.com/drinkware/stackable-tumblers/522413</t>
  </si>
  <si>
    <t>https://catalog.carlislefsp.com/images/1600x1600/268097.jpg</t>
  </si>
  <si>
    <t>https://www.carlislefsp.com/drinkware/alibi-drinkware-and-stemware/565207</t>
  </si>
  <si>
    <t>https://catalog.carlislefsp.com/images/1600x1600/281062.jpg</t>
  </si>
  <si>
    <t>14.15 lb | 6.42 kg</t>
  </si>
  <si>
    <t>3.44 ft3 | 0.10 m3</t>
  </si>
  <si>
    <t>22.10 in | 56.13 cm</t>
  </si>
  <si>
    <t>https://www.carlislefsp.com/drinkware/stackable-tumblers/5501-207</t>
  </si>
  <si>
    <t>5501-207</t>
  </si>
  <si>
    <t>https://catalog.carlislefsp.com/images/1600x1600/268959.jpg</t>
  </si>
  <si>
    <t>2.50 lb | 1.13 kg</t>
  </si>
  <si>
    <t xml:space="preserve">224 | </t>
  </si>
  <si>
    <t>https://www.carlislefsp.com/drinkware/stackable-tumblers/522410</t>
  </si>
  <si>
    <t>https://catalog.carlislefsp.com/images/1600x1600/363023.jpg</t>
  </si>
  <si>
    <t>https://www.carlislefsp.com/drinkware/polycarbonate-pitchers/554007</t>
  </si>
  <si>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N5540</t>
  </si>
  <si>
    <t>https://www.carlislefsp.com/drinkware/stackable-tumblers/523210</t>
  </si>
  <si>
    <t>https://catalog.carlislefsp.com/images/1600x1600/268221.jpg</t>
  </si>
  <si>
    <t>34.90 fl oz | 1.03 l</t>
  </si>
  <si>
    <t>0.97 ft3 | 0.03 m3</t>
  </si>
  <si>
    <t xml:space="preserve">52 | </t>
  </si>
  <si>
    <t>2.90 in | 7.37 cm</t>
  </si>
  <si>
    <t>https://www.carlislefsp.com/drinkware/stackable-tumblers/521213</t>
  </si>
  <si>
    <t>https://catalog.carlislefsp.com/images/1600x1600/364868.jpg</t>
  </si>
  <si>
    <t>https://www.carlislefsp.com/drinkware/bistro-tumblers/110407</t>
  </si>
  <si>
    <t>https://catalog.carlislefsp.com/images/1600x1600/266728.jpg</t>
  </si>
  <si>
    <t>2.04 in | 5.18 cm</t>
  </si>
  <si>
    <t>3.55 in | 9.02 cm</t>
  </si>
  <si>
    <t>19.70 in | 50.04 cm</t>
  </si>
  <si>
    <t>1.57 in | 3.99 cm</t>
  </si>
  <si>
    <t>https://www.carlislefsp.com/drinkware/louis-tumblers/582018</t>
  </si>
  <si>
    <t>https://catalog.carlislefsp.com/images/1600x1600/340941.jpg</t>
  </si>
  <si>
    <t>https://www.carlislefsp.com/drinkware/bistro-tumblers/110507</t>
  </si>
  <si>
    <t>https://catalog.carlislefsp.com/images/1600x1600/266343.jpg</t>
  </si>
  <si>
    <t>2.26 in | 5.74 cm</t>
  </si>
  <si>
    <t>9.70 lb | 4.40 kg</t>
  </si>
  <si>
    <t>0.81 ft3 | 0.02 m3</t>
  </si>
  <si>
    <t>https://www.carlislefsp.com/drinkware/crystalon-tumblers-in-caribbean-rimglow-colors/401207</t>
  </si>
  <si>
    <t>https://catalog.carlislefsp.com/images/1600x1600/267510.jpg</t>
  </si>
  <si>
    <t>3.02 in | 7.67 cm</t>
  </si>
  <si>
    <t>5.02 in | 12.75 cm</t>
  </si>
  <si>
    <t>2.16 in | 5.49 cm</t>
  </si>
  <si>
    <t>https://www.carlislefsp.com/drinkware/stackable-tumblers/550607</t>
  </si>
  <si>
    <t>https://catalog.carlislefsp.com/images/1600x1600/268799.jpg</t>
  </si>
  <si>
    <t>11.65 lb | 5.28 kg</t>
  </si>
  <si>
    <t>https://www.carlislefsp.com/drinkware/stackable-tumblers/5220-207</t>
  </si>
  <si>
    <t>5220-207</t>
  </si>
  <si>
    <t>https://catalog.carlislefsp.com/images/1600x1600/267780.jpg</t>
  </si>
  <si>
    <t>https://www.carlislefsp.com/drinkware/polycarbonate-pitchers/554013</t>
  </si>
  <si>
    <t>https://catalog.carlislefsp.com/images/1600x1600/365649.jpg</t>
  </si>
  <si>
    <t>https://www.carlislefsp.com/drinkware/bistro-tumblers/111007</t>
  </si>
  <si>
    <t>https://catalog.carlislefsp.com/images/1600x1600/364033.jpg</t>
  </si>
  <si>
    <t>3.98 in | 10.11 cm</t>
  </si>
  <si>
    <t>10.20 fl oz | 0.30 l</t>
  </si>
  <si>
    <t>https://www.carlislefsp.com/drinkware/polycarbonate-pitchers/558307</t>
  </si>
  <si>
    <t>https://catalog.carlislefsp.com/images/1600x1600/274360.jpg</t>
  </si>
  <si>
    <t>• ice trap retains ice or beer foam
• made of break-resistant polycarbonate for ultimate durability
• tapered shape
• lip is tapered to permit controlled pouring of ice with the beverage
• secure thumb-hold on handle aids control of pitcher while pouring
• slot at skirt base deters water collection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</si>
  <si>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5.01 in | 12.73 cm</t>
  </si>
  <si>
    <t>0.83 ft3 | 0.02 m3</t>
  </si>
  <si>
    <t>0.92 lb | 0.42 kg</t>
  </si>
  <si>
    <t>48.00 fl oz | 1.42 l</t>
  </si>
  <si>
    <t>https://www.carlislefsp.com/drinkware/mingle-drinkware/MIN544018</t>
  </si>
  <si>
    <t>MIN544018</t>
  </si>
  <si>
    <t>https://catalog.carlislefsp.com/images/1600x1600/266418.jpg</t>
  </si>
  <si>
    <t>https://www.carlislefsp.com/drinkware/stackable-tumblers/52203550</t>
  </si>
  <si>
    <t>https://catalog.carlislefsp.com/images/1600x1600/362244.jpg</t>
  </si>
  <si>
    <t>https://www.carlislefsp.com/drinkware/alibi-drinkware-and-stemware/561407</t>
  </si>
  <si>
    <t>https://catalog.carlislefsp.com/images/1600x1600/364718.jpg</t>
  </si>
  <si>
    <t>13.90 fl oz | 0.41 l</t>
  </si>
  <si>
    <t>2.94 in | 7.46 cm</t>
  </si>
  <si>
    <t>https://www.carlislefsp.com/drinkware/stackable-tumblers/521607</t>
  </si>
  <si>
    <t>https://catalog.carlislefsp.com/images/1600x1600/362798.jpg</t>
  </si>
  <si>
    <t>https://www.carlislefsp.com/drinkware/lexington-polycarbonate-mug/4396507</t>
  </si>
  <si>
    <t>https://catalog.carlislefsp.com/images/1600x1600/362681.jpg</t>
  </si>
  <si>
    <t>• Unique heavy weight mug offers traditional styling in shatterproof polycarbonate
• Crystal clear mug has the look and feel of glass without the replacement
• 16 oz capacity is the perfect portion for tea, soda, or beer
• Recessed drain on the bottom for easy drying after washing;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</si>
  <si>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6.23 in | 15.82 cm</t>
  </si>
  <si>
    <t>17.50 fl oz | 0.52 l</t>
  </si>
  <si>
    <t>14.62 in | 37.15 cm</t>
  </si>
  <si>
    <t>https://www.carlislefsp.com/drinkware/stackable-tumblers/522013</t>
  </si>
  <si>
    <t>https://catalog.carlislefsp.com/images/1600x1600/268316.jpg</t>
  </si>
  <si>
    <t>https://www.carlislefsp.com/drinkware/stackable-tumblers/552607</t>
  </si>
  <si>
    <t>https://catalog.carlislefsp.com/images/1600x1600/364192.jpg</t>
  </si>
  <si>
    <t>8.10 fl oz | 0.24 l</t>
  </si>
  <si>
    <t>9.40 lb | 4.26 kg</t>
  </si>
  <si>
    <t>https://www.carlislefsp.com/drinkware/louis-tumblers/581418</t>
  </si>
  <si>
    <t>https://catalog.carlislefsp.com/images/1600x1600/340931.jpg</t>
  </si>
  <si>
    <t>5.65 lb | 2.56 kg</t>
  </si>
  <si>
    <t>https://www.carlislefsp.com/drinkware/disposable-lids/5212L30</t>
  </si>
  <si>
    <t>5212L30</t>
  </si>
  <si>
    <t>https://catalog.carlislefsp.com/images/1600x1600/354892.jpg</t>
  </si>
  <si>
    <t>• Stack Count: 100
• A green solution, that can save you money
• Snug fitting lids fit a variety of Carlisle Tumblers
• Slotted for use with straws
• Packed 1,000 per case
• Disposable Lids can also be used for room service applications</t>
  </si>
  <si>
    <t>https://www.carlislefsp.com/drinkware/louis-tumblers/581818</t>
  </si>
  <si>
    <t>https://catalog.carlislefsp.com/images/1600x1600/340995.jpg</t>
  </si>
  <si>
    <t>https://www.carlislefsp.com/drinkware/louis-tumblers/581218</t>
  </si>
  <si>
    <t>https://catalog.carlislefsp.com/images/1600x1600/365396.jpg</t>
  </si>
  <si>
    <t>https://www.carlislefsp.com/drinkware/stackable-tumblers/5212-207</t>
  </si>
  <si>
    <t>5212-207</t>
  </si>
  <si>
    <t>https://catalog.carlislefsp.com/images/1600x1600/267455.jpg</t>
  </si>
  <si>
    <t>4.15 lb | 1.88 kg</t>
  </si>
  <si>
    <t>https://www.carlislefsp.com/drinkware/stackable-tumblers/52243550H</t>
  </si>
  <si>
    <t>52243550H</t>
  </si>
  <si>
    <t>https://catalog.carlislefsp.com/images/1600x1600/268286.jpg</t>
  </si>
  <si>
    <t>https://www.carlislefsp.com/drinkware/bistro-tumblers/111607</t>
  </si>
  <si>
    <t>https://catalog.carlislefsp.com/images/1600x1600/266508.jpg</t>
  </si>
  <si>
    <t>3.01 in | 7.65 cm</t>
  </si>
  <si>
    <t>15.50 fl oz | 0.46 l</t>
  </si>
  <si>
    <t>10.75 lb | 4.88 kg</t>
  </si>
  <si>
    <t>28.30 in | 71.88 cm</t>
  </si>
  <si>
    <t>0.14 lb | 0.06 kg</t>
  </si>
  <si>
    <t>2.33 in | 5.92 cm</t>
  </si>
  <si>
    <t>https://www.carlislefsp.com/drinkware/mingle-drinkware/MIN544907</t>
  </si>
  <si>
    <t>MIN544907</t>
  </si>
  <si>
    <t>https://catalog.carlislefsp.com/images/1600x1600/285030.jpg</t>
  </si>
  <si>
    <t>23.00 fl oz | 0.68 l</t>
  </si>
  <si>
    <t>4.60 lb | 2.09 kg</t>
  </si>
  <si>
    <t>https://www.carlislefsp.com/drinkware/polycarbonate-drinkware/4366307</t>
  </si>
  <si>
    <t>https://catalog.carlislefsp.com/images/1600x1600/274250.jpg</t>
  </si>
  <si>
    <t>8.60 fl oz | 0.25 l</t>
  </si>
  <si>
    <t>5.40 lb | 2.45 kg</t>
  </si>
  <si>
    <t xml:space="preserve">91 | </t>
  </si>
  <si>
    <t>https://www.carlislefsp.com/drinkware/alibi-drinkware-and-stemware/561607</t>
  </si>
  <si>
    <t>https://catalog.carlislefsp.com/images/1600x1600/354440.jpg</t>
  </si>
  <si>
    <t>3.38 in | 8.59 cm</t>
  </si>
  <si>
    <t>https://www.carlislefsp.com/drinkware/san-pitchers/554707</t>
  </si>
  <si>
    <t>https://catalog.carlislefsp.com/images/1600x1600/364724.jpg</t>
  </si>
  <si>
    <t>https://www.carlislefsp.com/drinkware/alibi-drinkware-and-stemware/564007</t>
  </si>
  <si>
    <t>https://catalog.carlislefsp.com/images/1600x1600/280930.jpg</t>
  </si>
  <si>
    <t>India</t>
  </si>
  <si>
    <t>6.05 lb | 2.74 kg</t>
  </si>
  <si>
    <t>1.51 ft3 | 0.04 m3</t>
  </si>
  <si>
    <t>https://www.carlislefsp.com/drinkware/stackable-tumblers/5216-207</t>
  </si>
  <si>
    <t>5216-207</t>
  </si>
  <si>
    <t>https://catalog.carlislefsp.com/images/1600x1600/268750.jpg</t>
  </si>
  <si>
    <t>4.85 lb | 2.20 kg</t>
  </si>
  <si>
    <t>https://www.carlislefsp.com/drinkware/cascata-carafes/7090307</t>
  </si>
  <si>
    <t>https://catalog.carlislefsp.com/images/1600x1600/355454.jpg</t>
  </si>
  <si>
    <t>• Ergonomic shape is easy to hold and angled rim provides a drip-free pour
• Larger sizes can be used for water, juice or wine
• Smaller sizes are good for salad dressings, syrups and single-portion drinks
• A green alternative to single-serve drinks
• Snap-on lids available in solid or hinged styles
• Shatterproof polycarbonate looks like glass
• Custom imprinting available; contact customer service for details
• Polycarbonate (PC) is resistant to staining, breaking and chipping</t>
  </si>
  <si>
    <t>4.82 in | 12.24 cm</t>
  </si>
  <si>
    <t>56.00 fl oz | 1.66 l</t>
  </si>
  <si>
    <t>1.87 ft3 | 0.05 m3</t>
  </si>
  <si>
    <t>0.57 lb | 0.26 kg</t>
  </si>
  <si>
    <t>https://www.carlislefsp.com/drinkware/louis-tumblers/580618</t>
  </si>
  <si>
    <t>https://catalog.carlislefsp.com/images/1600x1600/340919.jpg</t>
  </si>
  <si>
    <t>https://www.carlislefsp.com/drinkware/pebble-optic-tumblers/551907</t>
  </si>
  <si>
    <t>https://catalog.carlislefsp.com/images/1600x1600/266353.jpg</t>
  </si>
  <si>
    <t>19.60 fl oz | 0.58 l</t>
  </si>
  <si>
    <t>1.11 ft3 | 0.03 m3</t>
  </si>
  <si>
    <t>19.62 in | 49.85 cm</t>
  </si>
  <si>
    <t>13.19 in | 33.50 cm</t>
  </si>
  <si>
    <t>7.44 in | 18.89 cm</t>
  </si>
  <si>
    <t>https://www.carlislefsp.com/drinkware/alibi-drinkware-and-stemware/560907</t>
  </si>
  <si>
    <t>https://catalog.carlislefsp.com/images/1600x1600/281755.jpg</t>
  </si>
  <si>
    <t xml:space="preserve">88 | </t>
  </si>
  <si>
    <t xml:space="preserve">22 | </t>
  </si>
  <si>
    <t>8.30 fl oz | 0.25 l</t>
  </si>
  <si>
    <t>https://www.carlislefsp.com/drinkware/crystalon-tumblers-in-caribbean-rimglow-colors/400807</t>
  </si>
  <si>
    <t>https://catalog.carlislefsp.com/images/1600x1600/268102.jpg</t>
  </si>
  <si>
    <t>2.78 in | 7.06 cm</t>
  </si>
  <si>
    <t>4.02 in | 10.21 cm</t>
  </si>
  <si>
    <t>6.45 lb | 2.93 kg</t>
  </si>
  <si>
    <t>https://www.carlislefsp.com/drinkware/stackable-tumblers/52203550S</t>
  </si>
  <si>
    <t>52203550S</t>
  </si>
  <si>
    <t>https://catalog.carlislefsp.com/images/1600x1600/253475.jpg</t>
  </si>
  <si>
    <t>https://www.carlislefsp.com/drinkware/louis-tumblers/581018</t>
  </si>
  <si>
    <t>https://catalog.carlislefsp.com/images/1600x1600/340925.jpg</t>
  </si>
  <si>
    <t>https://www.carlislefsp.com/drinkware/pebble-optic-tumblers/550907</t>
  </si>
  <si>
    <t>https://catalog.carlislefsp.com/images/1600x1600/365000.jpg</t>
  </si>
  <si>
    <t>4.41 in | 11.20 cm</t>
  </si>
  <si>
    <t>10.90 fl oz | 0.32 l</t>
  </si>
  <si>
    <t>0.77 ft3 | 0.02 m3</t>
  </si>
  <si>
    <t>https://www.carlislefsp.com/drinkware/mingle-drinkware/MIN544218</t>
  </si>
  <si>
    <t>MIN544218</t>
  </si>
  <si>
    <t>https://catalog.carlislefsp.com/images/1600x1600/266293.jpg</t>
  </si>
  <si>
    <t>https://www.carlislefsp.com/drinkware/crystalon-tumblers-in-caribbean-rimglow-colors/402007</t>
  </si>
  <si>
    <t>https://catalog.carlislefsp.com/images/1600x1600/268720.jpg</t>
  </si>
  <si>
    <t>https://www.carlislefsp.com/drinkware/alibi-drinkware-and-stemware/564807</t>
  </si>
  <si>
    <t>https://catalog.carlislefsp.com/images/1600x1600/280584.jpg</t>
  </si>
  <si>
    <t>6.96 in | 17.68 cm</t>
  </si>
  <si>
    <t>1.30 ft3 | 0.04 m3</t>
  </si>
  <si>
    <t>https://www.carlislefsp.com/drinkware/stackable-tumblers/5526-207</t>
  </si>
  <si>
    <t>5526-207</t>
  </si>
  <si>
    <t>https://catalog.carlislefsp.com/images/1600x1600/267615.jpg</t>
  </si>
  <si>
    <t>3.30 lb | 1.50 kg</t>
  </si>
  <si>
    <t xml:space="preserve">192 | </t>
  </si>
  <si>
    <t>https://www.carlislefsp.com/drinkware/alibi-drinkware-and-stemware/560207</t>
  </si>
  <si>
    <t>https://catalog.carlislefsp.com/images/1600x1600/281384.jpg</t>
  </si>
  <si>
    <t>1.81 in | 4.61 cm</t>
  </si>
  <si>
    <t>https://www.carlislefsp.com/drinkware/alibi-drinkware-and-stemware/564507</t>
  </si>
  <si>
    <t>https://catalog.carlislefsp.com/images/1600x1600/281617.jpg</t>
  </si>
  <si>
    <t>• Great for outdoor and poolside beverage service
• Sophisticated Styling
• Light weight yet durable
• Polycarbonate (PC) is resistant to staining, breaking and chipping
• Hand wash in bar sink or 3-compartment sink</t>
  </si>
  <si>
    <t>6.94 in | 17.63 cm</t>
  </si>
  <si>
    <t>4.70 lb | 2.13 kg</t>
  </si>
  <si>
    <t>https://www.carlislefsp.com/drinkware/polycarbonate-drinkware/4366807</t>
  </si>
  <si>
    <t>https://catalog.carlislefsp.com/images/1600x1600/268819.jpg</t>
  </si>
  <si>
    <t>16.90 fl oz | 0.50 l</t>
  </si>
  <si>
    <t>7.65 lb | 3.47 kg</t>
  </si>
  <si>
    <t>https://www.carlislefsp.com/drinkware/alibi-drinkware-and-stemware/564207</t>
  </si>
  <si>
    <t>https://catalog.carlislefsp.com/images/1600x1600/365212.jpg</t>
  </si>
  <si>
    <t>7.30 lb | 3.31 kg</t>
  </si>
  <si>
    <t>2.07 ft3 | 0.06 m3</t>
  </si>
  <si>
    <t>https://www.carlislefsp.com/drinkware/crystalon-tumblers-in-caribbean-rimglow-colors/402907</t>
  </si>
  <si>
    <t>https://catalog.carlislefsp.com/images/1600x1600/362928.jpg</t>
  </si>
  <si>
    <t>24.40 in | 61.98 cm</t>
  </si>
  <si>
    <t>https://www.carlislefsp.com/drinkware/bistro-tumblers/012007</t>
  </si>
  <si>
    <t>https://catalog.carlislefsp.com/images/1600x1600/265937.jpg</t>
  </si>
  <si>
    <t>21.10 fl oz | 624.00 ml</t>
  </si>
  <si>
    <t>13.90 lb | 6.30 kg</t>
  </si>
  <si>
    <t>1.44 ft3 | 0.04 m3</t>
  </si>
  <si>
    <t>https://www.carlislefsp.com/drinkware/stackable-tumblers/523207</t>
  </si>
  <si>
    <t>https://catalog.carlislefsp.com/images/1600x1600/268331.jpg</t>
  </si>
  <si>
    <t>https://www.carlislefsp.com/drinkware/cascata-carafes/7090107</t>
  </si>
  <si>
    <t>https://catalog.carlislefsp.com/images/1600x1600/365544.jpg</t>
  </si>
  <si>
    <t>3.45 in | 8.76 cm</t>
  </si>
  <si>
    <t>0.70 ft3 | 0.02 m3</t>
  </si>
  <si>
    <t>https://www.carlislefsp.com/drinkware/stackable-tumblers/521654</t>
  </si>
  <si>
    <t>https://catalog.carlislefsp.com/images/1600x1600/269008.jpg</t>
  </si>
  <si>
    <t>https://www.carlislefsp.com/drinkware/disposable-lids/5506L30</t>
  </si>
  <si>
    <t>5506L30</t>
  </si>
  <si>
    <t>• Stack Count: 100
• A green solution that can save you money
• Snug fitting lids fit a variety of Carlisle Tumblers
• Are slotted for use with straws</t>
  </si>
  <si>
    <t>3.60 lb | 1.63 kg</t>
  </si>
  <si>
    <t>1.29 ft3 | 0.04 m3</t>
  </si>
  <si>
    <t>https://www.carlislefsp.com/drinkware/stackable-tumblers/522010</t>
  </si>
  <si>
    <t>https://catalog.carlislefsp.com/images/1600x1600/364653.jpg</t>
  </si>
  <si>
    <t>https://www.carlislefsp.com/drinkware/louis-tumblers/583207</t>
  </si>
  <si>
    <t>https://catalog.carlislefsp.com/images/1600x1600/274172.jpg</t>
  </si>
  <si>
    <t>https://www.carlislefsp.com/drinkware/louis-tumblers/580807</t>
  </si>
  <si>
    <t>https://catalog.carlislefsp.com/images/1600x1600/363562.jpg</t>
  </si>
  <si>
    <t>https://www.carlislefsp.com/drinkware/stackable-tumblers/553210</t>
  </si>
  <si>
    <t>https://www.carlislefsp.com/drinkware/alibi-drinkware-and-stemware/565007</t>
  </si>
  <si>
    <t>https://catalog.carlislefsp.com/images/1600x1600/281394.jpg</t>
  </si>
  <si>
    <t>9.09 in | 23.09 cm</t>
  </si>
  <si>
    <t>https://www.carlislefsp.com/drinkware/stackable-tumblers/522054</t>
  </si>
  <si>
    <t>https://catalog.carlislefsp.com/images/1600x1600/268311.jpg</t>
  </si>
  <si>
    <t>https://www.carlislefsp.com/drinkware/louis-tumblers/581407</t>
  </si>
  <si>
    <t>https://catalog.carlislefsp.com/images/1600x1600/274202.jpg</t>
  </si>
  <si>
    <t>https://www.carlislefsp.com/drinkware/mingle-drinkware/MIN544118</t>
  </si>
  <si>
    <t>MIN544118</t>
  </si>
  <si>
    <t>https://catalog.carlislefsp.com/images/1600x1600/266858.jpg</t>
  </si>
  <si>
    <t>https://www.carlislefsp.com/drinkware/stackable-tumblers/552907</t>
  </si>
  <si>
    <t>https://catalog.carlislefsp.com/images/1600x1600/355442.jpg</t>
  </si>
  <si>
    <t>10.60 fl oz | 0.31 l</t>
  </si>
  <si>
    <t>https://www.carlislefsp.com/drinkware/stackable-tumblers/521207</t>
  </si>
  <si>
    <t>https://catalog.carlislefsp.com/images/1600x1600/365740.jpg</t>
  </si>
  <si>
    <t>https://www.carlislefsp.com/drinkware/carlisle-mugs/4306614</t>
  </si>
  <si>
    <t>https://catalog.carlislefsp.com/images/1600x1600/301762.jpg</t>
  </si>
  <si>
    <t>• Made of break-resistant and BPA Free Tritan
• Specially designed, large handle allows for easy holding, keeps fingers away from hot liquids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
• Tritan is resistant to staining, breaking and chipping.</t>
  </si>
  <si>
    <t>2.52 in | 6.40 cm</t>
  </si>
  <si>
    <t>7.62 in | 19.37 cm</t>
  </si>
  <si>
    <t>2.42 in | 6.15 cm</t>
  </si>
  <si>
    <t>https://www.carlislefsp.com/drinkware/polycarbonate-pitchers/558707</t>
  </si>
  <si>
    <t>https://catalog.carlislefsp.com/images/1600x1600/274295.jpg</t>
  </si>
  <si>
    <t>• ice trap retains ice or beer foam
• made of break-resistant polycarbonate for ultimate durability
• tapered shape
• lip is tapered to permit controlled pouring of ice with the beverage
• secure thumb-hold on handle aids control of pitcher while pouring
• slot at skirt base deters water collection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N5587</t>
  </si>
  <si>
    <t>9.06 in | 23.01 cm</t>
  </si>
  <si>
    <t>1.12 ft3 | 0.03 m3</t>
  </si>
  <si>
    <t>https://www.carlislefsp.com/drinkware/cascata-carafes/7090207</t>
  </si>
  <si>
    <t>https://catalog.carlislefsp.com/images/1600x1600/364992.jpg</t>
  </si>
  <si>
    <t>41.00 fl oz | 1.21 l</t>
  </si>
  <si>
    <t>https://www.carlislefsp.com/tabletop-accessories/ramekins-and-sauce-cups/087560</t>
  </si>
  <si>
    <t>https://catalog.carlislefsp.com/images/1600x1600/268082.jpg</t>
  </si>
  <si>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</si>
  <si>
    <t>1.34 in | 3.40 cm</t>
  </si>
  <si>
    <t>https://www.carlislefsp.com/tabletop-accessories/ramekins-and-sauce-cups/41003</t>
  </si>
  <si>
    <t>https://catalog.carlislefsp.com/images/1600x1600/278499.jpg</t>
  </si>
  <si>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</si>
  <si>
    <t>8.00 lb | 3.63 kg</t>
  </si>
  <si>
    <t>https://www.carlislefsp.com/tabletop-accessories/coffee-service/456302</t>
  </si>
  <si>
    <t>https://catalog.carlislefsp.com/images/1600x1600/362180.jpg</t>
  </si>
  <si>
    <t>• easy pouring, no-drip lip design
• stain-resistant containers can be used for syrup, cream, salad dressings, sauces, etc.
• made of dishwasher safe SAN
• safe in temperatures from 0° to 180°F
• SAN is resistant to staining, breaking and chipping</t>
  </si>
  <si>
    <t>2.90 fl oz | 0.09 l</t>
  </si>
  <si>
    <t>2.64 in | 6.71 cm</t>
  </si>
  <si>
    <t>https://www.carlislefsp.com/tabletop-accessories/ramekins-and-sauce-cups/S27509</t>
  </si>
  <si>
    <t>S27509</t>
  </si>
  <si>
    <t>https://catalog.carlislefsp.com/images/1600x1600/268161.jpg</t>
  </si>
  <si>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</si>
  <si>
    <t>2.49 in | 6.32 cm</t>
  </si>
  <si>
    <t>1.53 in | 3.89 cm</t>
  </si>
  <si>
    <t>5.15 lb | 2.34 kg</t>
  </si>
  <si>
    <t xml:space="preserve">231 | </t>
  </si>
  <si>
    <t>https://www.carlislefsp.com/tabletop-accessories/melamine-ramekins/S28352</t>
  </si>
  <si>
    <t>S28352</t>
  </si>
  <si>
    <t>https://catalog.carlislefsp.com/images/1600x1600/267919.jpg</t>
  </si>
  <si>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</si>
  <si>
    <t>5.29 lb | 2.40 kg</t>
  </si>
  <si>
    <t>7.48 in | 19.00 cm</t>
  </si>
  <si>
    <t>8.11 in | 20.60 cm</t>
  </si>
  <si>
    <t>https://www.carlislefsp.com/tabletop-accessories/melamine-ramekins/S28303</t>
  </si>
  <si>
    <t>S28303</t>
  </si>
  <si>
    <t>https://catalog.carlislefsp.com/images/1600x1600/355425.jpg</t>
  </si>
  <si>
    <t>https://www.carlislefsp.com/tabletop-accessories/aztec-tortilla-servers/047528</t>
  </si>
  <si>
    <t>https://catalog.carlislefsp.com/images/1600x1600/301848.jpg</t>
  </si>
  <si>
    <t>• Interlocking base/lid design allows for stacking several tortilla servers at one time
• Lid has easy-grip, recessed handle
• Polypropylene (PPY) tortilla servers are easy-clean, long-lasting, and economical; withstand temperatures up to 190°F
• BPA Free
• NSF Listed as N0475</t>
  </si>
  <si>
    <t>8.55 lb | 3.88 kg</t>
  </si>
  <si>
    <t>23.70 in | 60.20 cm</t>
  </si>
  <si>
    <t>https://www.carlislefsp.com/tabletop-accessories/scalloped-melamine-ramekins/4394342</t>
  </si>
  <si>
    <t>https://catalog.carlislefsp.com/images/1600x1600/279452.jpg</t>
  </si>
  <si>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</si>
  <si>
    <t>3.09 in | 7.85 cm</t>
  </si>
  <si>
    <t>1.47 in | 3.73 cm</t>
  </si>
  <si>
    <t>7.75 lb | 3.52 kg</t>
  </si>
  <si>
    <t xml:space="preserve">168 | </t>
  </si>
  <si>
    <t>2.36 fl oz | 0.07 l</t>
  </si>
  <si>
    <t>https://www.carlislefsp.com/tabletop-accessories/straight-sided-ramekins/41002</t>
  </si>
  <si>
    <t>https://catalog.carlislefsp.com/images/1600x1600/278982.jpg</t>
  </si>
  <si>
    <t>https://www.carlislefsp.com/tabletop-accessories/square-melamine-ramekins/086203</t>
  </si>
  <si>
    <t>https://catalog.carlislefsp.com/images/1600x1600/279254.jpg</t>
  </si>
  <si>
    <t>• Always useful in a cafe, bar, restaurant and home
• Great for soy sauce, ginger, wasabi, sauces, condiments, spices and more
• Smooth double square design has heft and feel of ceramic or glass
• Durable and economical; reuse instead of replace
• Stain resistant and colorfast
• Stackable for easy storage and space savings
• Safe for temperatures up to 212° F
• Featuring (2) 2 oz. melamine ramekins and a unique design that's sure to attract customer attention at sushi restaurants, tapas bars, or cafes
• The smooth surface is easy to clean and is colorfast so it looks like new after every wash
• This dish withstands temperatures up to 212 degrees Fahrenheit for versatile use with both hot or cold foods</t>
  </si>
  <si>
    <t>6.38 in | 16.19 cm</t>
  </si>
  <si>
    <t>https://www.carlislefsp.com/tabletop-accessories/oval-melanine-ramekin/S31403</t>
  </si>
  <si>
    <t>S31403</t>
  </si>
  <si>
    <t>https://catalog.carlislefsp.com/images/1600x1600/278430.jpg</t>
  </si>
  <si>
    <t>• Always useful in a cafe, bar, restaurant and home_x000D_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</si>
  <si>
    <t>2.81 in | 7.14 cm</t>
  </si>
  <si>
    <t xml:space="preserve">336 | </t>
  </si>
  <si>
    <t>https://www.carlislefsp.com/tabletop-accessories/melamine-ramekins/S85260</t>
  </si>
  <si>
    <t>S85260</t>
  </si>
  <si>
    <t>https://catalog.carlislefsp.com/images/1600x1600/355459.jpg</t>
  </si>
  <si>
    <t>https://www.carlislefsp.com/items/911401</t>
  </si>
  <si>
    <t>https://catalog.carlislefsp.com/images/1600x1600/359136.jpg</t>
  </si>
  <si>
    <t>• Built-in Antimicrobial: Eliminates the growth of odor-causing bacteria
• Durable: The polypropylene construction is sturdy and lightweight with a weight capacity of 50lbs
• ASTM Certified Straps: Effectively secures the child around the waist in harness configuration
• Integrated Cup Holder: A tumbler or sippy cup remains in arm's reach
• Stackable: Nested design for space efficiency</t>
  </si>
  <si>
    <t>14.72 in | 37.39 cm</t>
  </si>
  <si>
    <t>4.28 lb | 1.94 kg</t>
  </si>
  <si>
    <t>50.00 lb | 22.68 kg</t>
  </si>
  <si>
    <t>https://www.carlislefsp.com/tabletop-accessories/melamine-ramekins/S29202</t>
  </si>
  <si>
    <t>S29202</t>
  </si>
  <si>
    <t>https://catalog.carlislefsp.com/images/1600x1600/354781.jpg</t>
  </si>
  <si>
    <t>3.66 lb | 1.66 kg</t>
  </si>
  <si>
    <t>6.69 in | 17.00 cm</t>
  </si>
  <si>
    <t>8.27 in | 21.00 cm</t>
  </si>
  <si>
    <t>https://www.carlislefsp.com/tabletop-accessories/ramekins-and-sauce-cups/250007</t>
  </si>
  <si>
    <t>https://catalog.carlislefsp.com/images/1600x1600/279171.jpg</t>
  </si>
  <si>
    <t>• 2.5 Ounce Capacity – Fits individual condiment servings
• Shatter Resistant – Stands up to daily use in commercial environments
• Stain Resistant – Smooth surfaces resist coloring from acidic and hot contents
• Glasslike – Looks like glass without the added costs
• NSF Listed as N2500</t>
  </si>
  <si>
    <t>1.87 in | 4.75 cm</t>
  </si>
  <si>
    <t>11.81 in | 30.01 cm</t>
  </si>
  <si>
    <t>2.50 fl oz | 0.07 l</t>
  </si>
  <si>
    <t>https://www.carlislefsp.com/tabletop-accessories/melamine-ramekins/S85202</t>
  </si>
  <si>
    <t>S85202</t>
  </si>
  <si>
    <t>https://catalog.carlislefsp.com/images/1600x1600/354763.jpg</t>
  </si>
  <si>
    <t>9.75 lb | 4.42 kg</t>
  </si>
  <si>
    <t>https://www.carlislefsp.com/tabletop-accessories/melamine-ramekins/S85258</t>
  </si>
  <si>
    <t>S85258</t>
  </si>
  <si>
    <t>https://catalog.carlislefsp.com/images/1600x1600/355144.jpg</t>
  </si>
  <si>
    <t>https://www.carlislefsp.com/tabletop-accessories/coffee-service/455103</t>
  </si>
  <si>
    <t>https://catalog.carlislefsp.com/images/1600x1600/363410.jpg</t>
  </si>
  <si>
    <t>• Merchandiser Caddy has pockets for salt and pepper shakers plus sign clip
• Large compartment size -2.0” x 3.38”
• Small compartment size-1.88” x 2.06”
• NSF Listed as N4551</t>
  </si>
  <si>
    <t>Styrene (STY)</t>
  </si>
  <si>
    <t>8.45 lb | 3.83 kg</t>
  </si>
  <si>
    <t>0.87 ft3 | 0.02 m3</t>
  </si>
  <si>
    <t>https://www.carlislefsp.com/tabletop-accessories/ramekins-and-sauce-cups/S28058</t>
  </si>
  <si>
    <t>S28058</t>
  </si>
  <si>
    <t>https://catalog.carlislefsp.com/images/1600x1600/269087.jpg</t>
  </si>
  <si>
    <t>1.43 in | 3.63 cm</t>
  </si>
  <si>
    <t>8.60 lb | 3.90 kg</t>
  </si>
  <si>
    <t>https://www.carlislefsp.com/tabletop-accessories/scalloped-melamine-ramekins/4394203</t>
  </si>
  <si>
    <t>https://catalog.carlislefsp.com/images/1600x1600/279224.jpg</t>
  </si>
  <si>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</si>
  <si>
    <t>1.32 in | 3.35 cm</t>
  </si>
  <si>
    <t>1.56 fl oz | 0.05 l</t>
  </si>
  <si>
    <t>https://www.carlislefsp.com/tabletop-accessories/ramekins-and-sauce-cups/S28002</t>
  </si>
  <si>
    <t>S28002</t>
  </si>
  <si>
    <t>https://catalog.carlislefsp.com/images/1600x1600/267660.jpg</t>
  </si>
  <si>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NS280</t>
  </si>
  <si>
    <t>https://www.carlislefsp.com/tabletop-accessories/ramekins-and-sauce-cups/4312303</t>
  </si>
  <si>
    <t>https://catalog.carlislefsp.com/images/1600x1600/362795.jpg</t>
  </si>
  <si>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</si>
  <si>
    <t>https://www.carlislefsp.com/tabletop-accessories/ramekins-and-sauce-cups/S27522</t>
  </si>
  <si>
    <t>S27522</t>
  </si>
  <si>
    <t>https://catalog.carlislefsp.com/images/1600x1600/267770.jpg</t>
  </si>
  <si>
    <t>https://www.carlislefsp.com/tabletop-accessories/melamine-ramekins/S29242</t>
  </si>
  <si>
    <t>S29242</t>
  </si>
  <si>
    <t>https://catalog.carlislefsp.com/images/1600x1600/355250.jpg</t>
  </si>
  <si>
    <t>https://www.carlislefsp.com/tabletop-accessories/scalloped-melamine-ramekins/4394302</t>
  </si>
  <si>
    <t>https://catalog.carlislefsp.com/images/1600x1600/278648.jpg</t>
  </si>
  <si>
    <t>https://www.carlislefsp.com/tabletop-accessories/ramekins-and-sauce-cups/4394202</t>
  </si>
  <si>
    <t>https://catalog.carlislefsp.com/images/1600x1600/279107.jpg</t>
  </si>
  <si>
    <t>https://www.carlislefsp.com/tabletop-accessories/san-ramekins/084302</t>
  </si>
  <si>
    <t>https://catalog.carlislefsp.com/images/1600x1600/278929.jpg</t>
  </si>
  <si>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N0843</t>
  </si>
  <si>
    <t xml:space="preserve">250 | </t>
  </si>
  <si>
    <t>1.00 fl oz | 0.03 l</t>
  </si>
  <si>
    <t>https://www.carlislefsp.com/tabletop-accessories/san-ramekins/4312203</t>
  </si>
  <si>
    <t>https://catalog.carlislefsp.com/images/1600x1600/278653.jpg</t>
  </si>
  <si>
    <t>1.49 in | 3.78 cm</t>
  </si>
  <si>
    <t>https://www.carlislefsp.com/tabletop-accessories/ramekins-and-sauce-cups/S31003</t>
  </si>
  <si>
    <t>S31003</t>
  </si>
  <si>
    <t>https://catalog.carlislefsp.com/images/1600x1600/279185.jpg</t>
  </si>
  <si>
    <t>• Always useful in a cafe, bar, restaurant and home
• Great for salsa, dressing, ketchup, sauces, condiments, spices and more
• Oval design has heft and feel of ceramic or glass
• NSF Listed as NS310</t>
  </si>
  <si>
    <t>1.72 lb | 0.78 kg</t>
  </si>
  <si>
    <t>https://www.carlislefsp.com/tabletop-accessories/straight-sided-ramekins/41403</t>
  </si>
  <si>
    <t>https://catalog.carlislefsp.com/images/1600x1600/278805.jpg</t>
  </si>
  <si>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</si>
  <si>
    <t>7.31 in | 18.58 cm</t>
  </si>
  <si>
    <t>https://www.carlislefsp.com/tabletop-accessories/ramekins-and-sauce-cups/S28069</t>
  </si>
  <si>
    <t>S28069</t>
  </si>
  <si>
    <t>https://catalog.carlislefsp.com/images/1600x1600/268361.jpg</t>
  </si>
  <si>
    <t>https://www.carlislefsp.com/tabletop-accessories/melamine-ramekins/S29260</t>
  </si>
  <si>
    <t>S29260</t>
  </si>
  <si>
    <t>https://catalog.carlislefsp.com/images/1600x1600/355063.jpg</t>
  </si>
  <si>
    <t>https://www.carlislefsp.com/tabletop-accessories/ramekins-and-sauce-cups/S31442</t>
  </si>
  <si>
    <t>S31442</t>
  </si>
  <si>
    <t>https://catalog.carlislefsp.com/images/1600x1600/278271.jpg</t>
  </si>
  <si>
    <t>https://www.carlislefsp.com/tabletop-accessories/melamine-ramekins/S85252</t>
  </si>
  <si>
    <t>S85252</t>
  </si>
  <si>
    <t>https://www.carlislefsp.com/tabletop-accessories/aztec-tortilla-servers/071703</t>
  </si>
  <si>
    <t>https://catalog.carlislefsp.com/images/1600x1600/301783.jpg</t>
  </si>
  <si>
    <t>• Unique Aztec design is at home in any traditional Mexican or Tex-Mex restaurant
• 8" and 12" servers available in a lift off lid model
• Thick walled polypropylene material helps keep tortillas warm for tabletop service; microwavable, safe for temperatures up to 150Â°F
• Servers are stackable and dishwasher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12" tortillas.</t>
  </si>
  <si>
    <t>18.95 lb | 8.60 kg</t>
  </si>
  <si>
    <t>2.08 ft3 | 0.06 m3</t>
  </si>
  <si>
    <t>3.17 lb | 1.44 kg</t>
  </si>
  <si>
    <t>https://www.carlislefsp.com/tabletop-accessories/ramekins-and-sauce-cups/S31402</t>
  </si>
  <si>
    <t>S31402</t>
  </si>
  <si>
    <t>https://catalog.carlislefsp.com/images/1600x1600/278355.jpg</t>
  </si>
  <si>
    <t>https://www.carlislefsp.com/tabletop-accessories/ramekins-and-sauce-cups/4394203</t>
  </si>
  <si>
    <t>https://www.carlislefsp.com/tabletop-accessories/san-ramekins/4312142</t>
  </si>
  <si>
    <t>https://catalog.carlislefsp.com/images/1600x1600/365416.jpg</t>
  </si>
  <si>
    <t>0.05 lb | 0.02 kg</t>
  </si>
  <si>
    <t>https://www.carlislefsp.com/tabletop-accessories/melamine-ramekins/S28302</t>
  </si>
  <si>
    <t>S28302</t>
  </si>
  <si>
    <t>https://catalog.carlislefsp.com/images/1600x1600/355164.jpg</t>
  </si>
  <si>
    <t>https://www.carlislefsp.com/tabletop-accessories/ramekins-and-sauce-cups/41202</t>
  </si>
  <si>
    <t>https://catalog.carlislefsp.com/images/1600x1600/278919.jpg</t>
  </si>
  <si>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</si>
  <si>
    <t>https://www.carlislefsp.com/tabletop-accessories/straight-sided-ramekins/41202</t>
  </si>
  <si>
    <t>https://www.carlislefsp.com/tabletop-accessories/melamine-ramekins/S85209</t>
  </si>
  <si>
    <t>S85209</t>
  </si>
  <si>
    <t>https://catalog.carlislefsp.com/images/1600x1600/355099.jpg</t>
  </si>
  <si>
    <t>https://www.carlislefsp.com/tabletop-accessories/square-melamine-ramekins/086003</t>
  </si>
  <si>
    <t>https://catalog.carlislefsp.com/images/1600x1600/279156.jpg</t>
  </si>
  <si>
    <t>• Always useful in a cafe, bar, restaurant and home
• Great for soy sauce, ginger, wasabi, sauces, condiments, spices and more
• Smooth square design has heft and feel of ceramic or glass
• Durable and economical; reuse instead of replace
• Stain resistant and colorfast
• Stackable for easy storage and space savings
• Safe for temperatures up to 212° F
• Made of durable melamine, this ramekin is both break- and stain-resistant to ensure longevity in your establishment
• The smooth surface is easy to clean and is colorfast so it looks like new after every wash
• This dish withstands temperatures up to 212 degrees Fahrenheit for versatile use with both hot or cold foods</t>
  </si>
  <si>
    <t>https://www.carlislefsp.com/tabletop-accessories/melamine-ramekins/S29203</t>
  </si>
  <si>
    <t>S29203</t>
  </si>
  <si>
    <t>https://catalog.carlislefsp.com/images/1600x1600/355051.jpg</t>
  </si>
  <si>
    <t>https://www.carlislefsp.com/tabletop-accessories/ramekins-and-sauce-cups/4312142</t>
  </si>
  <si>
    <t>https://www.carlislefsp.com/tabletop-accessories/scalloped-melamine-ramekins/4394303</t>
  </si>
  <si>
    <t>https://catalog.carlislefsp.com/images/1600x1600/278331.jpg</t>
  </si>
  <si>
    <t>https://www.carlislefsp.com/tabletop-accessories/ramekins-and-sauce-cups/4312560</t>
  </si>
  <si>
    <t>https://catalog.carlislefsp.com/images/1600x1600/278321.jpg</t>
  </si>
  <si>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</si>
  <si>
    <t>1.80 in | 4.57 cm</t>
  </si>
  <si>
    <t>https://www.carlislefsp.com/tabletop-accessories/ramekins-and-sauce-cups/087502</t>
  </si>
  <si>
    <t>https://catalog.carlislefsp.com/images/1600x1600/267999.jpg</t>
  </si>
  <si>
    <t>https://www.carlislefsp.com/tabletop-accessories/munchie-baskets/4403103</t>
  </si>
  <si>
    <t>https://catalog.carlislefsp.com/images/1600x1600/301346.jpg</t>
  </si>
  <si>
    <t>• excellent for serving a deli sandwich or a specialty appetizer
• stackable and dishwasher safe</t>
  </si>
  <si>
    <t>https://www.carlislefsp.com/tabletop-accessories/ramekins-and-sauce-cups/S28042</t>
  </si>
  <si>
    <t>S28042</t>
  </si>
  <si>
    <t>https://catalog.carlislefsp.com/images/1600x1600/267560.jpg</t>
  </si>
  <si>
    <t>https://www.carlislefsp.com/tabletop-accessories/oval-melanine-ramekin/S31442</t>
  </si>
  <si>
    <t>https://www.carlislefsp.com/tabletop-accessories/san-ramekins/036207</t>
  </si>
  <si>
    <t>https://catalog.carlislefsp.com/images/1600x1600/278810.jpg</t>
  </si>
  <si>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
• NSF Listed as N0362</t>
  </si>
  <si>
    <t>3.90 lb | 1.77 kg</t>
  </si>
  <si>
    <t>https://www.carlislefsp.com/tabletop-accessories/coffee-service/456007</t>
  </si>
  <si>
    <t>https://catalog.carlislefsp.com/images/1600x1600/301830.jpg</t>
  </si>
  <si>
    <t>• easy pouring, no-drip lip design
• stain-resistant containers can be used for syrup, cream, salad dressings, sauces, etc.
• made of dishwasher safe SAN
• safe in temperatures from 0° to 180°F
• SAN is resistant to staining, breaking and chipping
• NSF Listed as N4560</t>
  </si>
  <si>
    <t>13.75 in | 34.92 cm</t>
  </si>
  <si>
    <t>5.31 in | 13.50 cm</t>
  </si>
  <si>
    <t>0.12 lb | 0.06 kg</t>
  </si>
  <si>
    <t>2.10 fl oz | 0.06 l</t>
  </si>
  <si>
    <t>https://www.carlislefsp.com/tabletop-accessories/ramekins-and-sauce-cups/4394303</t>
  </si>
  <si>
    <t>https://www.carlislefsp.com/tabletop-accessories/ramekins-and-sauce-cups/S31002</t>
  </si>
  <si>
    <t>S31002</t>
  </si>
  <si>
    <t>https://catalog.carlislefsp.com/images/1600x1600/279413.jpg</t>
  </si>
  <si>
    <t>https://www.carlislefsp.com/tabletop-accessories/coffee-service/331907</t>
  </si>
  <si>
    <t>https://catalog.carlislefsp.com/images/1600x1600/286391.jpg</t>
  </si>
  <si>
    <t>• Popular size base is made of durable, break-resistant SAN
• Threaded containers fit standard shaker or pourer caps
• SAN is resistant to staining, breaking and chipping</t>
  </si>
  <si>
    <t>Stainless Steel</t>
  </si>
  <si>
    <t>2.28 in | 5.79 cm</t>
  </si>
  <si>
    <t>https://www.carlislefsp.com/tabletop-accessories/melamine-ramekins/S28342</t>
  </si>
  <si>
    <t>S28342</t>
  </si>
  <si>
    <t>https://catalog.carlislefsp.com/images/1600x1600/354605.jpg</t>
  </si>
  <si>
    <t>https://www.carlislefsp.com/tabletop-accessories/straight-sided-ramekins/41442</t>
  </si>
  <si>
    <t>https://catalog.carlislefsp.com/images/1600x1600/278236.jpg</t>
  </si>
  <si>
    <t>https://www.carlislefsp.com/tabletop-accessories/ramekins-and-sauce-cups/41402</t>
  </si>
  <si>
    <t>https://catalog.carlislefsp.com/images/1600x1600/279543.jpg</t>
  </si>
  <si>
    <t>https://www.carlislefsp.com/tabletop-accessories/melamine-ramekins/S29160</t>
  </si>
  <si>
    <t>S29160</t>
  </si>
  <si>
    <t>https://catalog.carlislefsp.com/images/1600x1600/355327.jpg</t>
  </si>
  <si>
    <t>7.68 in | 19.50 cm</t>
  </si>
  <si>
    <t>7.28 in | 18.49 cm</t>
  </si>
  <si>
    <t>https://www.carlislefsp.com/tabletop-accessories/ramekins-and-sauce-cups/4312660</t>
  </si>
  <si>
    <t>https://catalog.carlislefsp.com/images/1600x1600/278206.jpg</t>
  </si>
  <si>
    <t>https://www.carlislefsp.com/tabletop-accessories/straight-sided-ramekins/41042</t>
  </si>
  <si>
    <t>https://catalog.carlislefsp.com/images/1600x1600/278405.jpg</t>
  </si>
  <si>
    <t>https://www.carlislefsp.com/tabletop-accessories/san-ramekins/4312342</t>
  </si>
  <si>
    <t>https://catalog.carlislefsp.com/images/1600x1600/279002.jpg</t>
  </si>
  <si>
    <t>https://www.carlislefsp.com/items/911405</t>
  </si>
  <si>
    <t>https://catalog.carlislefsp.com/images/1600x1600/359126.jpg</t>
  </si>
  <si>
    <t>https://www.carlislefsp.com/tabletop-accessories/weavewear-baskets-and-platter/650467</t>
  </si>
  <si>
    <t>https://catalog.carlislefsp.com/images/1600x1600/301798.jpg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</si>
  <si>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N6504</t>
  </si>
  <si>
    <t>3.75 lb | 1.70 kg</t>
  </si>
  <si>
    <t>https://www.carlislefsp.com/tabletop-accessories/ramekins-and-sauce-cups/4312342</t>
  </si>
  <si>
    <t>https://www.carlislefsp.com/tabletop-accessories/straight-sided-ramekins/41242</t>
  </si>
  <si>
    <t>https://catalog.carlislefsp.com/images/1600x1600/279382.jpg</t>
  </si>
  <si>
    <t>https://www.carlislefsp.com/tabletop-accessories/salsa-dishes/087560</t>
  </si>
  <si>
    <t>https://www.carlislefsp.com/tabletop-accessories/ramekins-and-sauce-cups/S27502</t>
  </si>
  <si>
    <t>S27502</t>
  </si>
  <si>
    <t>https://catalog.carlislefsp.com/images/1600x1600/267964.jpg</t>
  </si>
  <si>
    <t>https://www.carlislefsp.com/tabletop-accessories/stainless-steel-ramekin-and-sauce-cup/602500</t>
  </si>
  <si>
    <t>https://catalog.carlislefsp.com/images/1600x1600/278246.jpg</t>
  </si>
  <si>
    <t>• 2.5 Ounce Capacity – Fits individual condiment servings
• Durable – Stainless steel resists rust and staining
• Flared Rim – Catches spills and offers a reliable carrying grip
• Stain Resistant – Smooth surfaces resist coloring from acidic and hot contents</t>
  </si>
  <si>
    <t>1.48 in | 3.76 cm</t>
  </si>
  <si>
    <t>200 Series Stainless Steel</t>
  </si>
  <si>
    <t>8.10 lb | 3.67 kg</t>
  </si>
  <si>
    <t>https://www.carlislefsp.com/tabletop-accessories/san-ramekins/084507</t>
  </si>
  <si>
    <t>https://catalog.carlislefsp.com/images/1600x1600/278825.jpg</t>
  </si>
  <si>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N0845</t>
  </si>
  <si>
    <t>https://www.carlislefsp.com/tabletop-accessories/san-ramekins/250007</t>
  </si>
  <si>
    <t>https://www.carlislefsp.com/tabletop-accessories/weavewear-baskets-and-platter/650409</t>
  </si>
  <si>
    <t>https://catalog.carlislefsp.com/images/1600x1600/365502.jpg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</si>
  <si>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t>
  </si>
  <si>
    <t>https://www.carlislefsp.com/tabletop-accessories/aztec-tortilla-servers/047505</t>
  </si>
  <si>
    <t>https://catalog.carlislefsp.com/images/1600x1600/301788.jpg</t>
  </si>
  <si>
    <t>https://www.carlislefsp.com/tabletop-accessories/san-ramekins/4312660</t>
  </si>
  <si>
    <t>https://www.carlislefsp.com/tabletop-accessories/ramekins-and-sauce-cups/41002</t>
  </si>
  <si>
    <t>https://www.carlislefsp.com/tabletop-accessories/melamine-ramekins/S29342</t>
  </si>
  <si>
    <t>S29342</t>
  </si>
  <si>
    <t>https://catalog.carlislefsp.com/images/1600x1600/354893.jpg</t>
  </si>
  <si>
    <t>4.54 lb | 2.06 kg</t>
  </si>
  <si>
    <t>7.28 in | 18.50 cm</t>
  </si>
  <si>
    <t>0.09 lb | 0.04 kg</t>
  </si>
  <si>
    <t>https://www.carlislefsp.com/tabletop-accessories/aztec-tortilla-servers/070703</t>
  </si>
  <si>
    <t>https://catalog.carlislefsp.com/images/1600x1600/301717.jpg</t>
  </si>
  <si>
    <t>• Unique Aztec design is at home in any traditional Mexican or Tex-Mex restaurant
• 8" and 12" servers available in a lift off lid model
• Thick walled polypropylene material helps keep tortillas warm for tabletop service; microwavable, safe for temperatures up to 150°F
• Servers are stackable and dishwasher safe
• BPA Free
• Designed for use with your 12" polypropylene black-colored tortilla server
• Made of durable, easy to clean polypropylene
• distinctive Aztec design and can withstand temperatures up to 190 degrees Fahrenheit</t>
  </si>
  <si>
    <t>13.12 in | 33.34 cm</t>
  </si>
  <si>
    <t>https://www.carlislefsp.com/tabletop-accessories/san-ramekins/4312303</t>
  </si>
  <si>
    <t>https://www.carlislefsp.com/tabletop-accessories/ramekins-and-sauce-cups/41403</t>
  </si>
  <si>
    <t>https://www.carlislefsp.com/tabletop-accessories/ramekins-and-sauce-cups/086203</t>
  </si>
  <si>
    <t>https://www.carlislefsp.com/tabletop-accessories/san-ramekins/4312642</t>
  </si>
  <si>
    <t>https://catalog.carlislefsp.com/images/1600x1600/363858.jpg</t>
  </si>
  <si>
    <t>https://www.carlislefsp.com/tabletop-accessories/ramekins-and-sauce-cups/S27560</t>
  </si>
  <si>
    <t>S27560</t>
  </si>
  <si>
    <t>https://catalog.carlislefsp.com/images/1600x1600/267675.jpg</t>
  </si>
  <si>
    <t>https://www.carlislefsp.com/tabletop-accessories/melamine-ramekins/S29103</t>
  </si>
  <si>
    <t>S29103</t>
  </si>
  <si>
    <t>https://catalog.carlislefsp.com/images/1600x1600/355364.jpg</t>
  </si>
  <si>
    <t>https://www.carlislefsp.com/tabletop-accessories/san-ramekins/036228</t>
  </si>
  <si>
    <t>https://catalog.carlislefsp.com/images/1600x1600/278965.jpg</t>
  </si>
  <si>
    <t>https://www.carlislefsp.com/tabletop-accessories/aztec-tortilla-servers/070729</t>
  </si>
  <si>
    <t>https://catalog.carlislefsp.com/images/1600x1600/301692.jpg</t>
  </si>
  <si>
    <t>https://www.carlislefsp.com/tabletop-accessories/melamine-ramekins/S29142</t>
  </si>
  <si>
    <t>S29142</t>
  </si>
  <si>
    <t>https://catalog.carlislefsp.com/images/1600x1600/355437.jpg</t>
  </si>
  <si>
    <t>https://www.carlislefsp.com/tabletop-accessories/san-ramekins/084502</t>
  </si>
  <si>
    <t>https://catalog.carlislefsp.com/images/1600x1600/279461.jpg</t>
  </si>
  <si>
    <t>https://www.carlislefsp.com/tabletop-accessories/oval-melanine-ramekin/S31402</t>
  </si>
  <si>
    <t>https://www.carlislefsp.com/tabletop-accessories/melamine-ramekins/S85203</t>
  </si>
  <si>
    <t>S85203</t>
  </si>
  <si>
    <t>https://catalog.carlislefsp.com/images/1600x1600/355100.jpg</t>
  </si>
  <si>
    <t>https://www.carlislefsp.com/tabletop-accessories/ramekins-and-sauce-cups/S27552</t>
  </si>
  <si>
    <t>S27552</t>
  </si>
  <si>
    <t>https://catalog.carlislefsp.com/images/1600x1600/268231.jpg</t>
  </si>
  <si>
    <t>https://www.carlislefsp.com/tabletop-accessories/ramekins-and-sauce-cups/083007</t>
  </si>
  <si>
    <t>https://catalog.carlislefsp.com/images/1600x1600/279214.jpg</t>
  </si>
  <si>
    <t>• 1 Ounce Capacity – Fits individual condiment servings
• Shatter Resistant – Stands up to daily use in commercial environments
• Stain Resistant – Smooth surfaces resist coloring from acidic and hot contents
• Glasslike – Looks like glass without the added costs
• Simple yet stylish, this clear 1.1 oz. souffle cup is a useful addition to any tabletop! From salsas and dressings to sauces and butter, this easy to clean cup is the perfect accompaniment to any meal. Thanks to its petite size it can fit on plates and platters without a problem! This convenient souffle cup is made from durable SAN construction to make it break resistant, perfect for busy restaurants and cafes. In addition, its clear color allows it to blend with other dishware seamlessly.</t>
  </si>
  <si>
    <t>2.02 in | 5.13 cm</t>
  </si>
  <si>
    <t>1.10 fl oz | 0.03 l</t>
  </si>
  <si>
    <t>https://www.carlislefsp.com/tabletop-accessories/san-ramekins/4312560</t>
  </si>
  <si>
    <t>https://www.carlislefsp.com/tabletop-accessories/aztec-tortilla-servers/071003</t>
  </si>
  <si>
    <t>https://catalog.carlislefsp.com/images/1600x1600/301774.jpg</t>
  </si>
  <si>
    <t>• thick walled polypropylene material helps keep tortillas warm for tabletop service; microwavable, safe for temperatures up to 150°F
• unique Aztec design is at home in any traditional Mexican or Tex-Mex restaurant
• integrated hinge allows one hand operation
• servers are stackable, microwave, and diswasher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7" tortillas.
• The simple hinged lid design is easy to open and makes it easy for guests to access freshly warmed tortillas at will</t>
  </si>
  <si>
    <t>12.25 lb | 5.56 kg</t>
  </si>
  <si>
    <t>1.13 ft3 | 0.03 m3</t>
  </si>
  <si>
    <t>https://www.carlislefsp.com/tabletop-accessories/ramekins-and-sauce-cups/S27542</t>
  </si>
  <si>
    <t>S27542</t>
  </si>
  <si>
    <t>https://catalog.carlislefsp.com/images/1600x1600/267844.jpg</t>
  </si>
  <si>
    <t>https://www.carlislefsp.com/tabletop-accessories/ramekins-and-sauce-cups/084402</t>
  </si>
  <si>
    <t>https://catalog.carlislefsp.com/images/1600x1600/278638.jpg</t>
  </si>
  <si>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N0844</t>
  </si>
  <si>
    <t>2.95 lb | 1.34 kg</t>
  </si>
  <si>
    <t>https://www.carlislefsp.com/tabletop-accessories/weavewear-baskets-and-platter/652403</t>
  </si>
  <si>
    <t>https://catalog.carlislefsp.com/images/1600x1600/301775.jpg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</si>
  <si>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N6524</t>
  </si>
  <si>
    <t>1.60 qt | 1.51 l</t>
  </si>
  <si>
    <t>https://www.carlislefsp.com/tabletop-accessories/ramekins-and-sauce-cups/4394302</t>
  </si>
  <si>
    <t>https://www.carlislefsp.com/tabletop-accessories/weavewear-baskets-and-platter/652603</t>
  </si>
  <si>
    <t>https://catalog.carlislefsp.com/images/1600x1600/363792.jpg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</si>
  <si>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N6526</t>
  </si>
  <si>
    <t>https://www.carlislefsp.com/tabletop-accessories/ramekins-and-sauce-cups/087542</t>
  </si>
  <si>
    <t>https://catalog.carlislefsp.com/images/1600x1600/268560.jpg</t>
  </si>
  <si>
    <t>https://www.carlislefsp.com/tabletop-accessories/salsa-dishes/087542</t>
  </si>
  <si>
    <t>https://www.carlislefsp.com/tabletop-accessories/ramekins-and-sauce-cups/4394342</t>
  </si>
  <si>
    <t>https://www.carlislefsp.com/tabletop-accessories/aztec-tortilla-servers/047005</t>
  </si>
  <si>
    <t>https://catalog.carlislefsp.com/images/1600x1600/301793.jpg</t>
  </si>
  <si>
    <t>• Interlocking base/lid design allows for stacking several tortilla servers at one time
• Lid has easy-grip, recessed handle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N0470-PC</t>
  </si>
  <si>
    <t>1.82 ft3 | 0.05 m3</t>
  </si>
  <si>
    <t>8.44 in | 21.43 cm</t>
  </si>
  <si>
    <t>https://www.carlislefsp.com/tabletop-accessories/ramekins-and-sauce-cups/602500</t>
  </si>
  <si>
    <t>https://www.carlislefsp.com/tabletop-accessories/ramekins-and-sauce-cups/41242</t>
  </si>
  <si>
    <t>https://www.carlislefsp.com/tabletop-accessories/ramekins-and-sauce-cups/086002</t>
  </si>
  <si>
    <t>https://catalog.carlislefsp.com/images/1600x1600/271641.jpg</t>
  </si>
  <si>
    <t>https://www.carlislefsp.com/tabletop-accessories/coffee-service/455003</t>
  </si>
  <si>
    <t>https://catalog.carlislefsp.com/images/1600x1600/268271.jpg</t>
  </si>
  <si>
    <t>• SAN is resistant to staining, breaking and chipping
• SAN is resistant to staining, breaking, and chipping
• Ideal for organization
• NSF Listed as N4550</t>
  </si>
  <si>
    <t>4.81 in | 12.22 cm</t>
  </si>
  <si>
    <t>https://www.carlislefsp.com/tabletop-accessories/roll-top-covered-dish/609131</t>
  </si>
  <si>
    <t>https://catalog.carlislefsp.com/images/1600x1600/280722.jpg</t>
  </si>
  <si>
    <t>• Multi-purpose roll-top dishes are perfect for serving sugar, candies, sauces or dressings
• High-polish 18-8 stainless steel
• Handwashing recommended</t>
  </si>
  <si>
    <t>https://www.carlislefsp.com/items/911414</t>
  </si>
  <si>
    <t>https://catalog.carlislefsp.com/images/1600x1600/359102.jpg</t>
  </si>
  <si>
    <t>https://www.carlislefsp.com/tabletop-accessories/san-ramekins/083007</t>
  </si>
  <si>
    <t>https://www.carlislefsp.com/tabletop-accessories/stainless-steel-ramekin-and-sauce-cup/602400</t>
  </si>
  <si>
    <t>https://catalog.carlislefsp.com/images/1600x1600/364406.jpg</t>
  </si>
  <si>
    <t>• 1.5 Ounce Capacity – Fits individual condiment servings
• Durable – Stainless steel resists rust and staining
• Flared Rim – Catches spills and offers a reliable carrying grip
• Stain Resistant – Smooth surfaces resist coloring from acidic and hot contents</t>
  </si>
  <si>
    <t>2.45 in | 6.22 cm</t>
  </si>
  <si>
    <t>https://www.carlislefsp.com/tabletop-accessories/oval-melanine-ramekin/S31002</t>
  </si>
  <si>
    <t>https://www.carlislefsp.com/tabletop-accessories/square-melamine-ramekins/086002</t>
  </si>
  <si>
    <t>https://www.carlislefsp.com/tabletop-accessories/ramekins-and-sauce-cups/086003</t>
  </si>
  <si>
    <t>https://www.carlislefsp.com/tabletop-accessories/oval-melanine-ramekin/S31003</t>
  </si>
  <si>
    <t>https://www.carlislefsp.com/tabletop-accessories/ramekins-and-sauce-cups/41042</t>
  </si>
  <si>
    <t>https://www.carlislefsp.com/tabletop-accessories/melamine-ramekins/S29302</t>
  </si>
  <si>
    <t>S29302</t>
  </si>
  <si>
    <t>https://catalog.carlislefsp.com/images/1600x1600/354993.jpg</t>
  </si>
  <si>
    <t>https://www.carlislefsp.com/tabletop-accessories/melamine-ramekins/S29303</t>
  </si>
  <si>
    <t>S29303</t>
  </si>
  <si>
    <t>https://catalog.carlislefsp.com/images/1600x1600/355408.jpg</t>
  </si>
  <si>
    <t>https://www.carlislefsp.com/tabletop-accessories/serving-trays/130060</t>
  </si>
  <si>
    <t>https://catalog.carlislefsp.com/images/1600x1600/280803.jpg</t>
  </si>
  <si>
    <t>• 13" round tray has 1.42" deep rim to prevent spills
• perfect for serving individual meals
• BPA free
• Dishwasher safe; safe for temperatures up to 212F
• NSF Listed as N1300</t>
  </si>
  <si>
    <t>1.42 in | 3.61 cm</t>
  </si>
  <si>
    <t>12.35 lb | 5.60 kg</t>
  </si>
  <si>
    <t>1.08 lb | 0.49 kg</t>
  </si>
  <si>
    <t>https://www.carlislefsp.com/tabletop-accessories/straight-sided-ramekins/41203</t>
  </si>
  <si>
    <t>https://catalog.carlislefsp.com/images/1600x1600/278425.jpg</t>
  </si>
  <si>
    <t>https://www.carlislefsp.com/tabletop-accessories/salsa-dishes/087502</t>
  </si>
  <si>
    <t>https://www.carlislefsp.com/tabletop-accessories/scalloped-melamine-ramekins/4394242</t>
  </si>
  <si>
    <t>https://catalog.carlislefsp.com/images/1600x1600/278860.jpg</t>
  </si>
  <si>
    <t>https://www.carlislefsp.com/tabletop-accessories/ramekins-and-sauce-cups/086202</t>
  </si>
  <si>
    <t>https://catalog.carlislefsp.com/images/1600x1600/278435.jpg</t>
  </si>
  <si>
    <t>https://www.carlislefsp.com/tabletop-accessories/ramekins-and-sauce-cups/S27514</t>
  </si>
  <si>
    <t>S27514</t>
  </si>
  <si>
    <t>https://catalog.carlislefsp.com/images/1600x1600/268176.jpg</t>
  </si>
  <si>
    <t>https://www.carlislefsp.com/tabletop-accessories/melamine-ramekins/S29102</t>
  </si>
  <si>
    <t>S29102</t>
  </si>
  <si>
    <t>https://catalog.carlislefsp.com/images/1600x1600/351774.jpg</t>
  </si>
  <si>
    <t>https://www.carlislefsp.com/tabletop-accessories/ramekins-and-sauce-cups/602400</t>
  </si>
  <si>
    <t>https://www.carlislefsp.com/items/911403</t>
  </si>
  <si>
    <t>https://catalog.carlislefsp.com/images/1600x1600/359114.jpg</t>
  </si>
  <si>
    <t>https://www.carlislefsp.com/tabletop-accessories/san-ramekins/036202</t>
  </si>
  <si>
    <t>https://catalog.carlislefsp.com/images/1600x1600/279249.jpg</t>
  </si>
  <si>
    <t>https://www.carlislefsp.com/tabletop-accessories/ramekins-and-sauce-cups/41442</t>
  </si>
  <si>
    <t>https://www.carlislefsp.com/tabletop-accessories/melamine-ramekins/S29003</t>
  </si>
  <si>
    <t>S29003</t>
  </si>
  <si>
    <t>https://catalog.carlislefsp.com/images/1600x1600/354599.jpg</t>
  </si>
  <si>
    <t>6.94 lb | 3.15 kg</t>
  </si>
  <si>
    <t>8.78 in | 22.30 cm</t>
  </si>
  <si>
    <t>https://www.carlislefsp.com/tabletop-accessories/ramekins-and-sauce-cups/084507</t>
  </si>
  <si>
    <t>https://www.carlislefsp.com/tabletop-accessories/ramekins-and-sauce-cups/4312603</t>
  </si>
  <si>
    <t>https://catalog.carlislefsp.com/images/1600x1600/365179.jpg</t>
  </si>
  <si>
    <t>https://www.carlislefsp.com/tabletop-accessories/ramekins-and-sauce-cups/4312203</t>
  </si>
  <si>
    <t>https://www.carlislefsp.com/tabletop-accessories/cheese-shaker-sugar-pourer/331907</t>
  </si>
  <si>
    <t>https://www.carlislefsp.com/tabletop-accessories/straight-sided-ramekins/41003</t>
  </si>
  <si>
    <t>https://www.carlislefsp.com/tabletop-accessories/melamine-ramekins/S85269</t>
  </si>
  <si>
    <t>S85269</t>
  </si>
  <si>
    <t>https://catalog.carlislefsp.com/images/1600x1600/354780.jpg</t>
  </si>
  <si>
    <t>https://www.carlislefsp.com/tabletop-accessories/ramekins-and-sauce-cups/S28060</t>
  </si>
  <si>
    <t>S28060</t>
  </si>
  <si>
    <t>https://catalog.carlislefsp.com/images/1600x1600/268440.jpg</t>
  </si>
  <si>
    <t>https://www.carlislefsp.com/tabletop-accessories/weavewear-baskets-and-platter/652703</t>
  </si>
  <si>
    <t>https://catalog.carlislefsp.com/images/1600x1600/301763.jpg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</si>
  <si>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N6527</t>
  </si>
  <si>
    <t>1.00 ft3 | 0.03 m3</t>
  </si>
  <si>
    <t>https://www.carlislefsp.com/tabletop-accessories/san-ramekins/4312603</t>
  </si>
  <si>
    <t>https://www.carlislefsp.com/tabletop-accessories/melamine-ramekins/S29060</t>
  </si>
  <si>
    <t>S29060</t>
  </si>
  <si>
    <t>https://catalog.carlislefsp.com/images/1600x1600/355435.jpg</t>
  </si>
  <si>
    <t>https://www.carlislefsp.com/tabletop-accessories/ramekins-and-sauce-cups/4394242</t>
  </si>
  <si>
    <t>https://www.carlislefsp.com/tabletop-accessories/melamine-ramekins/S29042</t>
  </si>
  <si>
    <t>S29042</t>
  </si>
  <si>
    <t>https://catalog.carlislefsp.com/images/1600x1600/355315.jpg</t>
  </si>
  <si>
    <t>https://www.carlislefsp.com/tabletop-accessories/ramekins-and-sauce-cups/087503</t>
  </si>
  <si>
    <t>https://catalog.carlislefsp.com/images/1600x1600/364694.jpg</t>
  </si>
  <si>
    <t>https://www.carlislefsp.com/tabletop-accessories/aztec-tortilla-servers/071029</t>
  </si>
  <si>
    <t>https://catalog.carlislefsp.com/images/1600x1600/301803.jpg</t>
  </si>
  <si>
    <t>https://www.carlislefsp.com/tabletop-accessories/melamine-ramekins/S29002</t>
  </si>
  <si>
    <t>S29002</t>
  </si>
  <si>
    <t>https://catalog.carlislefsp.com/images/1600x1600/351777.jpg</t>
  </si>
  <si>
    <t>https://www.carlislefsp.com/tabletop-accessories/melamine-ramekins/S28314</t>
  </si>
  <si>
    <t>S28314</t>
  </si>
  <si>
    <t>https://www.carlislefsp.com/tabletop-accessories/coffee-service/454907</t>
  </si>
  <si>
    <t>https://catalog.carlislefsp.com/images/1600x1600/301781.jpg</t>
  </si>
  <si>
    <t>• SAN is resistant to staining, breaking and chipping
• SAN is resistant to staining, breaking, and chipping
• Ideal for organization
• NSF Listed as N4549</t>
  </si>
  <si>
    <t>4.10 lb | 1.86 kg</t>
  </si>
  <si>
    <t>https://www.carlislefsp.com/tabletop-accessories/aztec-tortilla-servers/047503</t>
  </si>
  <si>
    <t>https://catalog.carlislefsp.com/images/1600x1600/301805.jpg</t>
  </si>
  <si>
    <t>https://www.carlislefsp.com/tabletop-accessories/melamine-ramekins/S28360</t>
  </si>
  <si>
    <t>S28360</t>
  </si>
  <si>
    <t>https://catalog.carlislefsp.com/images/1600x1600/355263.jpg</t>
  </si>
  <si>
    <t>https://www.carlislefsp.com/tabletop-accessories/ramekins-and-sauce-cups/084302</t>
  </si>
  <si>
    <t>https://www.carlislefsp.com/tabletop-accessories/ramekins-and-sauce-cups/41203</t>
  </si>
  <si>
    <t>https://www.carlislefsp.com/tabletop-accessories/san-ramekins/084402</t>
  </si>
  <si>
    <t>https://www.carlislefsp.com/tabletop-accessories/ramekins-and-sauce-cups/084502</t>
  </si>
  <si>
    <t>https://www.carlislefsp.com/tabletop-accessories/straight-sided-ramekins/41402</t>
  </si>
  <si>
    <t>https://www.carlislefsp.com/tabletop-accessories/melamine-ramekins/S29360</t>
  </si>
  <si>
    <t>S29360</t>
  </si>
  <si>
    <t>https://catalog.carlislefsp.com/images/1600x1600/354552.jpg</t>
  </si>
  <si>
    <t>https://www.carlislefsp.com/tabletop-accessories/coffee-service/455002</t>
  </si>
  <si>
    <t>https://catalog.carlislefsp.com/images/1600x1600/268211.jpg</t>
  </si>
  <si>
    <t>https://www.carlislefsp.com/tabletop-accessories/melamine-ramekins/S85242</t>
  </si>
  <si>
    <t>S85242</t>
  </si>
  <si>
    <t>https://catalog.carlislefsp.com/images/1600x1600/354441.jpg</t>
  </si>
  <si>
    <t>https://www.carlislefsp.com/tabletop-accessories/scalloped-melamine-ramekins/4394202</t>
  </si>
  <si>
    <t>https://www.carlislefsp.com/tabletop-accessories/salsa-dishes/4312560</t>
  </si>
  <si>
    <t>https://www.carlislefsp.com/tabletop-accessories/weavewear-baskets-and-platter/650403</t>
  </si>
  <si>
    <t>https://catalog.carlislefsp.com/images/1600x1600/365452.jpg</t>
  </si>
  <si>
    <t>https://www.carlislefsp.com/tabletop-accessories/salsa-dishes/087503</t>
  </si>
  <si>
    <t>https://www.carlislefsp.com/tabletop-accessories/ramekins-and-sauce-cups/4312642</t>
  </si>
  <si>
    <t>https://www.carlislefsp.com/tabletop-accessories/square-melamine-ramekins/086202</t>
  </si>
  <si>
    <t>https://www.carlislefsp.com/tabletop-accessories/ramekins-and-sauce-cups/S31403</t>
  </si>
  <si>
    <t>https://www.carlislefsp.com/displayware/flared-square-bowls/3336202</t>
  </si>
  <si>
    <t>https://catalog.carlislefsp.com/images/1600x1600/278316.jpg</t>
  </si>
  <si>
    <t>• Sleek shape coordinates with many other Carlisle pieces.
• Made of heavy-weight Melamine.
• Dishwasher safe.
• Dishwasher safe; safe for temperatures up to 212F</t>
  </si>
  <si>
    <t>8.00 qt | 7.57 l</t>
  </si>
  <si>
    <t>3.13 lb | 1.42 kg</t>
  </si>
  <si>
    <t>https://www.carlislefsp.com/displayware/petal-mist-plates-and-bowls/690907</t>
  </si>
  <si>
    <t>https://www.carlislefsp.com/displayware/stack-bowls/810003</t>
  </si>
  <si>
    <t>https://catalog.carlislefsp.com/images/1600x1600/278291.jpg</t>
  </si>
  <si>
    <t>• use for food bars, buffets, or table service
• 1-1/2" deep rim gives a stylish bowl appearance when placed into ice or refrigerated food bar templates
• Diswasher Safe and for use in temperatures from 32° to 160°F</t>
  </si>
  <si>
    <t>3.00 qt | 2.84 l</t>
  </si>
  <si>
    <t>2.75 qt | 2.60 l</t>
  </si>
  <si>
    <t>8.55 in | 21.72 cm</t>
  </si>
  <si>
    <t>https://www.carlislefsp.com/displayware/balsam-displayware/5553437</t>
  </si>
  <si>
    <t>https://catalog.carlislefsp.com/images/1600x1600/339126.jpg</t>
  </si>
  <si>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</si>
  <si>
    <t>12.60 lb | 5.72 kg</t>
  </si>
  <si>
    <t>https://www.carlislefsp.com/displayware/round-polycarbonate-pebbled-bowls/721807</t>
  </si>
  <si>
    <t>https://catalog.carlislefsp.com/images/1600x1600/364781.jpg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</si>
  <si>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N7218PC</t>
  </si>
  <si>
    <t>18.75 in | 47.62 cm</t>
  </si>
  <si>
    <t>5.62 in | 14.27 cm</t>
  </si>
  <si>
    <t>18.00 qt | 17.03 l</t>
  </si>
  <si>
    <t>16.00 qt | 15.14 l</t>
  </si>
  <si>
    <t>2.03 ft3 | 0.06 m3</t>
  </si>
  <si>
    <t>2.63 lb | 1.19 kg</t>
  </si>
  <si>
    <t>https://www.carlislefsp.com/displayware/epicure-displayware-and-coordinating-pieces/4373802</t>
  </si>
  <si>
    <t>https://www.carlislefsp.com/displayware/round-polycarbonate-pebbled-bowls/721207</t>
  </si>
  <si>
    <t>https://catalog.carlislefsp.com/images/1600x1600/363382.jpg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</si>
  <si>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N7212PC</t>
  </si>
  <si>
    <t>12.81 in | 32.54 cm</t>
  </si>
  <si>
    <t>5.50 qt | 5.20 l</t>
  </si>
  <si>
    <t>13.25 lb | 6.01 kg</t>
  </si>
  <si>
    <t>https://www.carlislefsp.com/displayware/palette-designer-displayware/4446003</t>
  </si>
  <si>
    <t>https://catalog.carlislefsp.com/images/1600x1600/278460.jpg</t>
  </si>
  <si>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N44460</t>
  </si>
  <si>
    <t>6.87 in | 17.45 cm</t>
  </si>
  <si>
    <t>7.70 lb | 3.49 kg</t>
  </si>
  <si>
    <t>1.28 lb | 0.58 kg</t>
  </si>
  <si>
    <t>0.56 in | 1.43 cm</t>
  </si>
  <si>
    <t>https://www.carlislefsp.com/displayware/round-polycarbonate-pebbled-bowls/722307</t>
  </si>
  <si>
    <t>https://catalog.carlislefsp.com/images/1600x1600/278875.jpg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</si>
  <si>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N7223PC</t>
  </si>
  <si>
    <t>7.37 in | 18.72 cm</t>
  </si>
  <si>
    <t>40.00 qt | 37.85 l</t>
  </si>
  <si>
    <t>33.00 qt | 31.23 l</t>
  </si>
  <si>
    <t>18.30 lb | 8.30 kg</t>
  </si>
  <si>
    <t>4.12 ft3 | 0.12 m3</t>
  </si>
  <si>
    <t>4.38 lb | 1.99 kg</t>
  </si>
  <si>
    <t>https://www.carlislefsp.com/displayware/petal-mist-plates-and-bowls/690707</t>
  </si>
  <si>
    <t>https://www.carlislefsp.com/displayware/rimmed-melamine-displayware/4374525</t>
  </si>
  <si>
    <t>https://www.carlislefsp.com/displayware/rectangular-deli-crocks-and-platters/882103</t>
  </si>
  <si>
    <t>https://catalog.carlislefsp.com/images/1600x1600/278296.jpg</t>
  </si>
  <si>
    <t>• Rectangular deli crocks save space in display cases
• BPA free
• Diswasher Safe and for use in temperatures from 32° to 16°F
• erfect for holding and displaying salads, pasta salads, deli meats, cheeses and other assortments</t>
  </si>
  <si>
    <t>12.12 in | 30.78 cm</t>
  </si>
  <si>
    <t>10.15 in | 25.78 cm</t>
  </si>
  <si>
    <t>https://www.carlislefsp.com/displayware/acrylic-pebbled-bowls/SB7207</t>
  </si>
  <si>
    <t>SB7207</t>
  </si>
  <si>
    <t>https://catalog.carlislefsp.com/images/1600x1600/279017.jpg</t>
  </si>
  <si>
    <t>• Heat polished, high gloss rim on bowls
• Dishwasher safe acrylic; pebbled  finish resists scratches
• Diswasher Safe and for use in temperatures from 32° to 16°F</t>
  </si>
  <si>
    <t>12.06 in | 30.63 cm</t>
  </si>
  <si>
    <t>3.95 in | 10.03 cm</t>
  </si>
  <si>
    <t>5.00 qt | 4.73 l</t>
  </si>
  <si>
    <t>4.30 lb | 1.95 kg</t>
  </si>
  <si>
    <t>1.43 ft3 | 0.04 m3</t>
  </si>
  <si>
    <t>15.30 in | 38.86 cm</t>
  </si>
  <si>
    <t>https://www.carlislefsp.com/displayware/balsam-displayware/5552437</t>
  </si>
  <si>
    <t>https://catalog.carlislefsp.com/images/1600x1600/339098.jpg</t>
  </si>
  <si>
    <t>20.88 in | 53.02 cm</t>
  </si>
  <si>
    <t>27.63 lb | 12.53 kg</t>
  </si>
  <si>
    <t>2.83 ft3 | 0.08 m3</t>
  </si>
  <si>
    <t>14.96 in | 38.00 cm</t>
  </si>
  <si>
    <t>4.61 lb | 2.09 kg</t>
  </si>
  <si>
    <t>https://www.carlislefsp.com/displayware/petal-mist-plates-and-bowls/695607</t>
  </si>
  <si>
    <t>https://www.carlislefsp.com/displayware/palette-designer-displayware/4443202</t>
  </si>
  <si>
    <t>https://catalog.carlislefsp.com/images/1600x1600/278395.jpg</t>
  </si>
  <si>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N44432</t>
  </si>
  <si>
    <t>https://www.carlislefsp.com/displayware/petal-mist-plates-and-bowls/690807</t>
  </si>
  <si>
    <t>https://www.carlislefsp.com/displayware/display-covers-cover-only/PSD13EH07</t>
  </si>
  <si>
    <t>PSD13EH07</t>
  </si>
  <si>
    <t>https://catalog.carlislefsp.com/images/1600x1600/285958.jpg</t>
  </si>
  <si>
    <t>• Polycarbonate dome covers add increased durability and can be used in more extreme foodservice applications
• Cutouts on polycarbonate display covers retain frame and seal at base for increased strength and durability
• Use for merchandising fresh fruits, desserts, salads, sandwiches, or bakery items
• Covers enhance and protect the look of your food items; helps keep food fresh
• Polycarbonate (PC) is resistant to staining, breaking and chipping</t>
  </si>
  <si>
    <t>2.20 lb | 1.00 kg</t>
  </si>
  <si>
    <t>1.47 ft3 | 0.04 m3</t>
  </si>
  <si>
    <t>1.74 lb | 0.79 kg</t>
  </si>
  <si>
    <t>https://www.carlislefsp.com/displayware/rimmed-melamine-displayware/4374502</t>
  </si>
  <si>
    <t>https://www.carlislefsp.com/displayware/balsam-displayware/5553837</t>
  </si>
  <si>
    <t>https://catalog.carlislefsp.com/images/1600x1600/274704.jpg</t>
  </si>
  <si>
    <t>6.88 in | 17.46 cm</t>
  </si>
  <si>
    <t>6.97 lb | 3.16 kg</t>
  </si>
  <si>
    <t>13.38 in | 33.99 cm</t>
  </si>
  <si>
    <t>7.87 in | 19.99 cm</t>
  </si>
  <si>
    <t>https://www.carlislefsp.com/displayware/balsam-displayware/5552637</t>
  </si>
  <si>
    <t>https://catalog.carlislefsp.com/images/1600x1600/339111.jpg</t>
  </si>
  <si>
    <t>1.66 lb | 0.75 kg</t>
  </si>
  <si>
    <t>https://www.carlislefsp.com/displayware/epicure-displayware-and-coordinating-pieces/ARR24002</t>
  </si>
  <si>
    <t>https://www.carlislefsp.com/displayware/epicure-displayware-and-coordinating-pieces/4373702</t>
  </si>
  <si>
    <t>https://www.carlislefsp.com/displayware/scoop-bowl/041102</t>
  </si>
  <si>
    <t>https://catalog.carlislefsp.com/images/1600x1600/278914.jpg</t>
  </si>
  <si>
    <t>• Perfect for presenting seafood, salads, and appetizers in a buffet or salad bar
• Large buffet-size bowls can be used for fruits and salads
• Durable SAN plastic is resistant to food oils and acids; dishwasher safe
• For use in temperatures from 0° to 180°F
• SAN is resistant to staining, breaking and chipping.</t>
  </si>
  <si>
    <t>5.55 in | 14.10 cm</t>
  </si>
  <si>
    <t>3.60 qt | 3.41 l</t>
  </si>
  <si>
    <t>3.30 qt | 3.12 l</t>
  </si>
  <si>
    <t>5.70 lb | 2.59 kg</t>
  </si>
  <si>
    <t>https://www.carlislefsp.com/displayware/rimmed-melamine-displayware/4384002</t>
  </si>
  <si>
    <t>https://www.carlislefsp.com/displayware/rave-displayware/3330202</t>
  </si>
  <si>
    <t>https://catalog.carlislefsp.com/images/1600x1600/339224.jpg</t>
  </si>
  <si>
    <t>• new Rave™  Displayware has a clean, contemporary design and upscale look
• the wide range of silhouettes allow operators even greater versatility for setting up trendy buffets, catered events, deli displays or tabletop arrangements
• heavy-weight, break-resistant melamine provides the look and feel of china without the replacement cost
• Dishwasher safe; safe for temperatures up to 212F</t>
  </si>
  <si>
    <t>5.87 in | 14.91 cm</t>
  </si>
  <si>
    <t>https://www.carlislefsp.com/displayware/acrylic-pebbled-bowls/SB7807</t>
  </si>
  <si>
    <t>SB7807</t>
  </si>
  <si>
    <t>https://catalog.carlislefsp.com/images/1600x1600/278216.jpg</t>
  </si>
  <si>
    <t>17.75 in | 45.09 cm</t>
  </si>
  <si>
    <t>2.72 ft3 | 0.08 m3</t>
  </si>
  <si>
    <t>https://www.carlislefsp.com/displayware/display-covers-cover-only/PSD21EH07</t>
  </si>
  <si>
    <t>PSD21EH07</t>
  </si>
  <si>
    <t>https://catalog.carlislefsp.com/images/1600x1600/285589.jpg</t>
  </si>
  <si>
    <t>• polycarbonate dome covers add increased durability and can be used in more extreme foodservice applications
• cutouts on polycarbonate display covers retain frame and seal at base for increased strength and durability
• use for merchandising fresh fruits, desserts, salads, sandwiches, or bakery items
• covers enhance and protect the look of your food items; helps keep food fresh
• Polycarbonate (PC) is resistant to staining, breaking and chipping</t>
  </si>
  <si>
    <t>21.25 in | 53.98 cm</t>
  </si>
  <si>
    <t>13.37 in | 33.96 cm</t>
  </si>
  <si>
    <t>3.25 lb | 1.47 kg</t>
  </si>
  <si>
    <t>2.30 ft3 | 0.07 m3</t>
  </si>
  <si>
    <t>23.50 in | 59.69 cm</t>
  </si>
  <si>
    <t>https://www.carlislefsp.com/displayware/balsam-displayware/5552837</t>
  </si>
  <si>
    <t>https://catalog.carlislefsp.com/images/1600x1600/339118.jpg</t>
  </si>
  <si>
    <t>13.64 lb | 6.19 kg</t>
  </si>
  <si>
    <t>7.88 in | 20.02 cm</t>
  </si>
  <si>
    <t>2.27 lb | 1.03 kg</t>
  </si>
  <si>
    <t>https://www.carlislefsp.com/displayware/modular-displayware/698207</t>
  </si>
  <si>
    <t>https://catalog.carlislefsp.com/images/1600x1600/278495.jpg</t>
  </si>
  <si>
    <t>• Wave shape offers visual interest while enhancing the display
• Unique, flexible displayware provides an attractive solution for merchandising prepared food
• Made of tough, break-resistant polycarbonate
• Safe for use in temperatures ranging from -40° to 212° F
• Patents Pending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N6982</t>
  </si>
  <si>
    <t>20.38 in | 51.77 cm</t>
  </si>
  <si>
    <t>8.85 lb | 4.01 kg</t>
  </si>
  <si>
    <t>1.26 ft3 | 0.04 m3</t>
  </si>
  <si>
    <t>4.45 qt | 4.21 l</t>
  </si>
  <si>
    <t>0.12 in | 0.32 cm</t>
  </si>
  <si>
    <t>https://www.carlislefsp.com/displayware/flared-square-bowls/3336003</t>
  </si>
  <si>
    <t>https://catalog.carlislefsp.com/images/1600x1600/278566.jpg</t>
  </si>
  <si>
    <t>• Made of heavy-weight Melamine.
• Dishwasher safe.
• Colors: Black(03), White(02)
• Dishwasher safe; safe for temperatures up to 212F</t>
  </si>
  <si>
    <t>5.60 qt | 5.30 l</t>
  </si>
  <si>
    <t>3.75 qt | 3.55 l</t>
  </si>
  <si>
    <t>2.38 lb | 1.08 kg</t>
  </si>
  <si>
    <t>https://www.carlislefsp.com/displayware/designer-displayware/8919406</t>
  </si>
  <si>
    <t>https://catalog.carlislefsp.com/images/1600x1600/278385.jpg</t>
  </si>
  <si>
    <t>• Unique two-tone design provides maximum food appeal and a spectacular deli case or tabletop display
• Heavy china/ceramic feel and look without the breakage
• Perfect for salads and entrees in family style dining, banquets, buffets, or deli display cases in supermarkets and delis
• Low-profile design and larger sizes reduce food waste while providing the ultimate food presentation
• NSF Listed; FDA approved material is dishwasher safe for temperatures up to 212°F
• Melamine is resistant to staining, breaking and chipping
• NSF Listed as N8919</t>
  </si>
  <si>
    <t>12.94 in | 32.86 cm</t>
  </si>
  <si>
    <t>1.75 lb | 0.79 kg</t>
  </si>
  <si>
    <t>2.90 qt | 2.74 l</t>
  </si>
  <si>
    <t>https://www.carlislefsp.com/displayware/petal-mist-plates-and-bowls/691907</t>
  </si>
  <si>
    <t>https://www.carlislefsp.com/displayware/scalloped-deliware-and-inset/793403</t>
  </si>
  <si>
    <t>https://www.carlislefsp.com/displayware/epicure-displayware-and-coordinating-pieces/4373902</t>
  </si>
  <si>
    <t>https://www.carlislefsp.com/displayware/palette-designer-displayware/4446202</t>
  </si>
  <si>
    <t>https://catalog.carlislefsp.com/images/1600x1600/278977.jpg</t>
  </si>
  <si>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N44462</t>
  </si>
  <si>
    <t>9.95 lb | 4.51 kg</t>
  </si>
  <si>
    <t>1.73 lb | 0.78 kg</t>
  </si>
  <si>
    <t>https://www.carlislefsp.com/displayware/petal-mist-plates-and-bowls/691407</t>
  </si>
  <si>
    <t>https://www.carlislefsp.com/displayware/designer-displayware/791303</t>
  </si>
  <si>
    <t>https://catalog.carlislefsp.com/images/1600x1600/279062.jpg</t>
  </si>
  <si>
    <t>• perfect for deli/supermarket, family style dining, banquets, buffets, and more
• Melamine is resistant to staining, breaking and chipping
• Break-resistant melamine is safe for temperatures up to 212°F
• NSF Listed as N7913</t>
  </si>
  <si>
    <t>14.19 in | 36.04 cm</t>
  </si>
  <si>
    <t>2.13 lb | 0.97 kg</t>
  </si>
  <si>
    <t>https://www.carlislefsp.com/displayware/balsam-displayware/5552237</t>
  </si>
  <si>
    <t>https://catalog.carlislefsp.com/images/1600x1600/339124.jpg</t>
  </si>
  <si>
    <t>22.88 lb | 10.38 kg</t>
  </si>
  <si>
    <t>3.81 lb | 1.73 kg</t>
  </si>
  <si>
    <t>https://www.carlislefsp.com/displayware/cake-covers-and-tray/251207</t>
  </si>
  <si>
    <t>https://www.carlislefsp.com/displayware/petal-mist-plates-and-bowls/695407</t>
  </si>
  <si>
    <t>https://www.carlislefsp.com/displayware/palette-designer-displayware/4446002</t>
  </si>
  <si>
    <t>https://catalog.carlislefsp.com/images/1600x1600/279468.jpg</t>
  </si>
  <si>
    <t>https://www.carlislefsp.com/displayware/round-polycarbonate-pebbled-bowls/721007</t>
  </si>
  <si>
    <t>https://catalog.carlislefsp.com/images/1600x1600/363278.jpg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</si>
  <si>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N7210PC</t>
  </si>
  <si>
    <t>3.25 qt | 3.08 l</t>
  </si>
  <si>
    <t>https://www.carlislefsp.com/displayware/epicure-displayware-and-coordinating-pieces/593302</t>
  </si>
  <si>
    <t>https://www.carlislefsp.com/displayware/cake-covers-and-tray/300407</t>
  </si>
  <si>
    <t>https://www.carlislefsp.com/displayware/rimmed-melamine-displayware/ARR12002</t>
  </si>
  <si>
    <t>https://www.carlislefsp.com/displayware/petal-mist-plates-and-bowls/690407</t>
  </si>
  <si>
    <t>https://www.carlislefsp.com/displayware/terra-displayware/4452003</t>
  </si>
  <si>
    <t>https://catalog.carlislefsp.com/images/1600x1600/339051.jpg</t>
  </si>
  <si>
    <t>• •BPA free
• Dishwasher safe; safe for temperatures up to 212°F
• Melamine is resistant to staining, breaking and chipping
• This high quality, heavy weight platter features a modern design and upscale look
• eye-catching textured surface and scalloped edge that is sure to add depth and style to any display</t>
  </si>
  <si>
    <t>6.41 lb | 2.91 kg</t>
  </si>
  <si>
    <t>14.17 in | 35.99 cm</t>
  </si>
  <si>
    <t>10.12 in | 25.70 cm</t>
  </si>
  <si>
    <t>https://www.carlislefsp.com/displayware/deliware-rectangular-crocks/811203</t>
  </si>
  <si>
    <t>https://catalog.carlislefsp.com/images/1600x1600/278509.jpg</t>
  </si>
  <si>
    <t>• economical durable polypropylene for maximum impact resistance in cold temperatures
• safe for use in temperatures from 32° to 170°F</t>
  </si>
  <si>
    <t>12.43 in | 31.57 cm</t>
  </si>
  <si>
    <t>10.66 in | 27.08 cm</t>
  </si>
  <si>
    <t>https://www.carlislefsp.com/displayware/palette-designer-displayware/4440603</t>
  </si>
  <si>
    <t>https://catalog.carlislefsp.com/images/1600x1600/278800.jpg</t>
  </si>
  <si>
    <t>• Palette Designer Displayware™ is lighter weight than comparable ceramic or enamel pieces
• construction is break resistant, reducing the cost and risks associated with broken ceramic
• high quality, heavy-weight melamine
• enjoy the look and feel of china without the replacement cost
• classic wide rim (WR) styling in a variety of shapes looks great with almost any decor, menu trend, or deli landscape
• Dishwasher safe; safe for temperatures up to 212°F
• Melamine is resistant to staining, breaking and chipping
• NSF Listed as N44406</t>
  </si>
  <si>
    <t>0.74 ft3 | 0.02 m3</t>
  </si>
  <si>
    <t>20.12 in | 51.12 cm</t>
  </si>
  <si>
    <t>20.25 in | 51.44 cm</t>
  </si>
  <si>
    <t>4.13 lb | 1.87 kg</t>
  </si>
  <si>
    <t>https://www.carlislefsp.com/displayware/deliware-rectangular-crocks/811003</t>
  </si>
  <si>
    <t>https://catalog.carlislefsp.com/images/1600x1600/278561.jpg</t>
  </si>
  <si>
    <t>• economical durable polypropylene for maximum impact resistance in cold temperatures
• safe for use in temperatures from 32° to 17°F</t>
  </si>
  <si>
    <t>https://www.carlislefsp.com/displayware/designer-displayware/8920406</t>
  </si>
  <si>
    <t>https://catalog.carlislefsp.com/images/1600x1600/279047.jpg</t>
  </si>
  <si>
    <t>• unique two-tone design provides maximum food appeal and a spectacular deli case or tabletop display
• heavy china/ceramic feel and look without the breakage
• perfect for salads and entrees in family style dining, banquets, buffets, or deli display cases in supermarkets and delis
• low-profile design and larger sizes reduce food waste while providing the ultimate food presentation
• NSF Listed; FDA approved material is dishwasher safe for temperatures up to 212°F
• 1" deep ABS plastic false bottom (7921) for 10" x 14" Bakers reduces food waste and keeps Bakers looking full
• Melamine is resistant to staining, breaking and chipping
• NSF Listed as N8920</t>
  </si>
  <si>
    <t>1.88 lb | 0.85 kg</t>
  </si>
  <si>
    <t>https://www.carlislefsp.com/displayware/acrylic-pebbled-bowls/SB7007</t>
  </si>
  <si>
    <t>SB7007</t>
  </si>
  <si>
    <t>https://catalog.carlislefsp.com/images/1600x1600/278760.jpg</t>
  </si>
  <si>
    <t>2.80 lb | 1.27 kg</t>
  </si>
  <si>
    <t>https://www.carlislefsp.com/displayware/round-polycarbonate-pebbled-bowls/720607</t>
  </si>
  <si>
    <t>https://catalog.carlislefsp.com/images/1600x1600/362761.jpg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</si>
  <si>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N7206PC</t>
  </si>
  <si>
    <t>https://www.carlislefsp.com/displayware/acrylic-pebbled-bowls/SB6807</t>
  </si>
  <si>
    <t>SB6807</t>
  </si>
  <si>
    <t>https://catalog.carlislefsp.com/images/1600x1600/279523.jpg</t>
  </si>
  <si>
    <t>0.51 lb | 0.23 kg</t>
  </si>
  <si>
    <t>https://www.carlislefsp.com/displayware/round-polycarbonate-pebbled-bowls/721507</t>
  </si>
  <si>
    <t>https://catalog.carlislefsp.com/images/1600x1600/363419.jpg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</si>
  <si>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N7215PC</t>
  </si>
  <si>
    <t>11.00 qt | 10.41 l</t>
  </si>
  <si>
    <t>9.25 qt | 8.75 l</t>
  </si>
  <si>
    <t>1.40 lb | 0.64 kg</t>
  </si>
  <si>
    <t>https://www.carlislefsp.com/buffet-service/servingware/607687</t>
  </si>
  <si>
    <t>https://catalog.carlislefsp.com/images/1600x1600/339078.jpg</t>
  </si>
  <si>
    <t>• Beautiful gleaming 18-8 mirror polished stainless steel
• Dishwasher safe
• Durable sanitary one-piece construction
• Elegant, functional designs for use in a wide variety of settings
• Multiple sizes and styles to custom fit virtually any application
• Scissor tongs are two-piece satin finish construction</t>
  </si>
  <si>
    <t>Pakistan</t>
  </si>
  <si>
    <t xml:space="preserve">264 | </t>
  </si>
  <si>
    <t>https://www.carlislefsp.com/buffet-service/servingware/604606</t>
  </si>
  <si>
    <t>https://catalog.carlislefsp.com/images/1600x1600/362986.jpg</t>
  </si>
  <si>
    <t>• beautiful gleaming 18-8 mirror polished stainless steel
• durable sanitary one-piece construction
• heavy-duty, polished 18-8 stainless steel
• more economical than comparable hollow handle items
• one-piece construction, dishwasher safe
• ladles have one ounce oval shaped bowl for pouring dressings from either side</t>
  </si>
  <si>
    <t xml:space="preserve">1368 | </t>
  </si>
  <si>
    <t>https://www.carlislefsp.com/buffet-service/terra-servingware/60207</t>
  </si>
  <si>
    <t>https://catalog.carlislefsp.com/images/1600x1600/295362.jpg</t>
  </si>
  <si>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</si>
  <si>
    <t>0.47 in | 1.19 cm</t>
  </si>
  <si>
    <t>400 Series Stainless</t>
  </si>
  <si>
    <t>0.47 in | 12.00 mm</t>
  </si>
  <si>
    <t>https://www.carlislefsp.com/buffet-service/servingware/609001</t>
  </si>
  <si>
    <t>https://catalog.carlislefsp.com/images/1600x1600/339117.jpg</t>
  </si>
  <si>
    <t>3.15 lb | 1.43 kg</t>
  </si>
  <si>
    <t>https://www.carlislefsp.com/buffet-service/chafer-replacement-parts/6071A</t>
  </si>
  <si>
    <t>https://www.carlislefsp.com/buffet-service/terra-servingware/60211</t>
  </si>
  <si>
    <t>https://catalog.carlislefsp.com/images/1600x1600/295382.jpg</t>
  </si>
  <si>
    <t xml:space="preserve">13.00 ga | </t>
  </si>
  <si>
    <t>https://www.carlislefsp.com/buffet-service/terra-servingware/60206</t>
  </si>
  <si>
    <t>https://catalog.carlislefsp.com/images/1600x1600/363378.jpg</t>
  </si>
  <si>
    <t>https://www.carlislefsp.com/buffet-service/servingware/604609</t>
  </si>
  <si>
    <t>https://catalog.carlislefsp.com/images/1600x1600/339070.jpg</t>
  </si>
  <si>
    <t>https://www.carlislefsp.com/buffet-service/chafer-replacement-parts/607122</t>
  </si>
  <si>
    <t>https://catalog.carlislefsp.com/images/1600x1600/331660.jpg</t>
  </si>
  <si>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</si>
  <si>
    <t>4.40 qt | 4.16 l</t>
  </si>
  <si>
    <t>4.79 lb | 2.17 kg</t>
  </si>
  <si>
    <t xml:space="preserve">24.00 ga | </t>
  </si>
  <si>
    <t>https://www.carlislefsp.com/buffet-service/chafer-replacement-parts/607002D</t>
  </si>
  <si>
    <t>607002D</t>
  </si>
  <si>
    <t>https://catalog.carlislefsp.com/images/1600x1600/331821.jpg</t>
  </si>
  <si>
    <t>• Divided Sections – Faciliate serving two sides or entrees simultaneously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</si>
  <si>
    <t>8.80 qt | 8.33 l</t>
  </si>
  <si>
    <t>5.40 qt | 5.11 l</t>
  </si>
  <si>
    <t>8.73 lb | 3.96 kg</t>
  </si>
  <si>
    <t>1.20 ft3 | 0.03 m3</t>
  </si>
  <si>
    <t>https://www.carlislefsp.com/buffet-service/terra-servingware/60202</t>
  </si>
  <si>
    <t>https://catalog.carlislefsp.com/images/1600x1600/295337.jpg</t>
  </si>
  <si>
    <t>0.53 in | 1.35 cm</t>
  </si>
  <si>
    <t>6.60 lb | 2.99 kg</t>
  </si>
  <si>
    <t>0.55 lb | 0.25 kg</t>
  </si>
  <si>
    <t>0.53 in | 13.50 mm</t>
  </si>
  <si>
    <t>https://www.carlislefsp.com/buffet-service/chafer-replacement-parts/607002</t>
  </si>
  <si>
    <t>https://catalog.carlislefsp.com/images/1600x1600/332147.jpg</t>
  </si>
  <si>
    <t>9.20 qt | 8.71 l</t>
  </si>
  <si>
    <t>5.70 qt | 5.39 l</t>
  </si>
  <si>
    <t>8.29 lb | 3.76 kg</t>
  </si>
  <si>
    <t>1.23 ft3 | 0.03 m3</t>
  </si>
  <si>
    <t>https://www.carlislefsp.com/buffet-service/servingware/607683</t>
  </si>
  <si>
    <t>https://catalog.carlislefsp.com/images/1600x1600/339086.jpg</t>
  </si>
  <si>
    <t>https://www.carlislefsp.com/buffet-service/terra-servingware/60210</t>
  </si>
  <si>
    <t>https://catalog.carlislefsp.com/images/1600x1600/362183.jpg</t>
  </si>
  <si>
    <t xml:space="preserve">18.00 ga | </t>
  </si>
  <si>
    <t>https://www.carlislefsp.com/buffet-service/chafer-replacement-parts/6070A</t>
  </si>
  <si>
    <t>https://www.carlislefsp.com/buffet-service/terra-servingware/60200</t>
  </si>
  <si>
    <t>https://catalog.carlislefsp.com/images/1600x1600/295327.jpg</t>
  </si>
  <si>
    <t>• Stainless Steel 43
• Forged / Hammer / Mirror finish
• this spoon is particularly ideal for front-of-house use at buffets, catered events, and parties</t>
  </si>
  <si>
    <t>0.60 lb | 0.27 kg</t>
  </si>
  <si>
    <t>https://www.carlislefsp.com/buffet-service/terra-servingware/60204</t>
  </si>
  <si>
    <t>https://catalog.carlislefsp.com/images/1600x1600/295347.jpg</t>
  </si>
  <si>
    <t>5.20 lb | 2.36 kg</t>
  </si>
  <si>
    <t xml:space="preserve">78 | </t>
  </si>
  <si>
    <t>0.43 lb | 0.20 kg</t>
  </si>
  <si>
    <t>https://www.carlislefsp.com/buffet-service/servingware/607690</t>
  </si>
  <si>
    <t>https://catalog.carlislefsp.com/images/1600x1600/339105.jpg</t>
  </si>
  <si>
    <t>4.10 in | 10.41 cm</t>
  </si>
  <si>
    <t>https://www.carlislefsp.com/buffet-service/servingware/604460</t>
  </si>
  <si>
    <t>https://catalog.carlislefsp.com/images/1600x1600/365571.jpg</t>
  </si>
  <si>
    <t>0.04 ft3 | 0.00 m3</t>
  </si>
  <si>
    <t>https://www.carlislefsp.com/buffet-service/chafer-replacement-parts/607000H</t>
  </si>
  <si>
    <t>607000H</t>
  </si>
  <si>
    <t>https://catalog.carlislefsp.com/images/1600x1600/331683.jpg</t>
  </si>
  <si>
    <t>• Hinged Design – Opens on both sides while covering (2) full-size food pans
• Durable – Heavy gauge stainless steel is built to last in high-traffic kitchens and foodservice areas
• Pull Handles – Allows each side to open independently</t>
  </si>
  <si>
    <t>7.74 lb | 3.51 kg</t>
  </si>
  <si>
    <t>1.01 ft3 | 0.03 m3</t>
  </si>
  <si>
    <t>https://www.carlislefsp.com/buffet-service/terra-servingware/60205</t>
  </si>
  <si>
    <t>https://catalog.carlislefsp.com/images/1600x1600/363315.jpg</t>
  </si>
  <si>
    <t>https://www.carlislefsp.com/buffet-service/terra-servingware/60209</t>
  </si>
  <si>
    <t>https://catalog.carlislefsp.com/images/1600x1600/295372.jpg</t>
  </si>
  <si>
    <t xml:space="preserve">152 | </t>
  </si>
  <si>
    <t>0.29 lb | 0.13 kg</t>
  </si>
  <si>
    <t>https://www.carlislefsp.com/buffet-service/servingware/607680</t>
  </si>
  <si>
    <t>https://catalog.carlislefsp.com/images/1600x1600/364629.jpg</t>
  </si>
  <si>
    <t>• Beautiful gleaming 18-8 mirror polished stainless steel
• Durable sanitary one-piece construction
• Elegant, functional designs for use in a wide variety of settings
• Multiple sizes and styles to custom fit virtually any application
• Scissor tongs are two-piece satin finish construction</t>
  </si>
  <si>
    <t>https://www.carlislefsp.com/buffet-service/terra-servingware/60201</t>
  </si>
  <si>
    <t>https://catalog.carlislefsp.com/images/1600x1600/295332.jpg</t>
  </si>
  <si>
    <t>https://www.carlislefsp.com/buffet-service/terra-servingware/60208</t>
  </si>
  <si>
    <t>https://catalog.carlislefsp.com/images/1600x1600/295367.jpg</t>
  </si>
  <si>
    <t>https://www.carlislefsp.com/buffet-service/servingware/607682</t>
  </si>
  <si>
    <t>https://catalog.carlislefsp.com/images/1600x1600/364734.jpg</t>
  </si>
  <si>
    <t>https://www.carlislefsp.com/buffet-service/terra-servingware/60203</t>
  </si>
  <si>
    <t>https://catalog.carlislefsp.com/images/1600x1600/295342.jpg</t>
  </si>
  <si>
    <t>23.60 in | 59.94 cm</t>
  </si>
  <si>
    <t>https://www.carlislefsp.com/buffet-service/servingware/607691</t>
  </si>
  <si>
    <t>https://catalog.carlislefsp.com/images/1600x1600/339097.jpg</t>
  </si>
  <si>
    <t>0.01 ft3 | 0.00 m3</t>
  </si>
  <si>
    <t xml:space="preserve">3850 | </t>
  </si>
  <si>
    <t xml:space="preserve">154 | </t>
  </si>
  <si>
    <t>0.02 lb | 0.01 kg</t>
  </si>
  <si>
    <t>https://www.carlislefsp.com/bar-supplies/store-n-pour/PS80200</t>
  </si>
  <si>
    <t>PS80200</t>
  </si>
  <si>
    <t>https://catalog.carlislefsp.com/images/1600x1600/282567.jpg</t>
  </si>
  <si>
    <t>• Made of high density, break-resistant polyethylene
• Easy clean containers have straight wall design with no sharp interior edges that can collect food or bacteria
• Color-coordinated spouts and caps for easy product identification
• Prepare mixes and juices in advance
• Backup unit includes cap and container
• dishwasher safe
• BPA free
• Assorted packs include 1 each of following colors: red, green, yellow, orange, brown and white
• Exclusive manufacturing process delivers strong leak resistant seal
• Economical polyethylene will withstand temperatures from -40° to 180° F</t>
  </si>
  <si>
    <t>5.97 in | 15.16 cm</t>
  </si>
  <si>
    <t>3.04 in | 7.72 cm</t>
  </si>
  <si>
    <t>https://www.carlislefsp.com/bar-supplies/ice-buckets/609190</t>
  </si>
  <si>
    <t>https://catalog.carlislefsp.com/images/1600x1600/339100.jpg</t>
  </si>
  <si>
    <t>• Double walled construction (609190, 609193) holds ice longerand prevents surface condensation
• 609190 has flat handle, hinged lid and comes complete with perforated drain tray and tong
• 18-8 stainless steel never requires polishing
• Handwash only</t>
  </si>
  <si>
    <t>4.32 lb | 1.96 kg</t>
  </si>
  <si>
    <t>https://www.carlislefsp.com/bar-supplies/bar-mats-and-service-mats/1060103</t>
  </si>
  <si>
    <t>https://catalog.carlislefsp.com/images/1600x1600/365167.jpg</t>
  </si>
  <si>
    <t>• Non-slip mats help keep counter tops clean: use anywhere mixed drinks are served
• Molded-in pattern provides drainage for spilled drinks and wash downs with a sure grip for wet glassware
• Bar Mats have drainage area for jigger, main area holds up to six glasses</t>
  </si>
  <si>
    <t>Thermoplastic Rubber</t>
  </si>
  <si>
    <t>Taiwan</t>
  </si>
  <si>
    <t>12.79 lb | 5.80 kg</t>
  </si>
  <si>
    <t>18.12 in | 46.04 cm</t>
  </si>
  <si>
    <t>3.54 in | 8.99 cm</t>
  </si>
  <si>
    <t>0.60 in | 1.52 cm</t>
  </si>
  <si>
    <t>https://www.carlislefsp.com/bar-supplies/store-n-pour/PS601N09</t>
  </si>
  <si>
    <t>PS601N09</t>
  </si>
  <si>
    <t>https://catalog.carlislefsp.com/images/1600x1600/282677.jpg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</si>
  <si>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</si>
  <si>
    <t>13.15 in | 33.40 cm</t>
  </si>
  <si>
    <t>3.20 in | 8.13 cm</t>
  </si>
  <si>
    <t>https://www.carlislefsp.com/bar-supplies/store-n-pour/PS601N04</t>
  </si>
  <si>
    <t>PS601N04</t>
  </si>
  <si>
    <t>https://catalog.carlislefsp.com/images/1600x1600/283252.jpg</t>
  </si>
  <si>
    <t>https://www.carlislefsp.com/bar-supplies/maximizer-portable-bar/755003</t>
  </si>
  <si>
    <t>https://catalog.carlislefsp.com/images/1600x1600/6809.jpg</t>
  </si>
  <si>
    <t>• Portable – Locking casters allow easy navigation anywhere on smooth surfaces like wood, linoleum and tile
• Durable Design – Ultra-sturdy molded construction for sustained use
• Sleek Look – Blends into any environment like banquet rooms, lobbies and poolside areas
• Removable Cutting Board – Serves as a prep area and is detachable for easy cleaning
• 15 Gallon Ice Bin &amp; Lid – Keeps ice contained and is easy to clean featuring an integrated drain
• Stainless Steel Speed Rak® – Holds six bottles or six Stor N’ Pour® containers
• Storage Drawers – Hold small bottles and cans, tools, cups and other drink accessories
• Multi-Sized Storage Areas – Accommodate washracks, liquor bottles, prepped ingredients and accessories</t>
  </si>
  <si>
    <t>56.00 in | 142.24 cm</t>
  </si>
  <si>
    <t>48.50 in | 123.19 cm</t>
  </si>
  <si>
    <t>LDPE</t>
  </si>
  <si>
    <t>230.00 lb | 104.33 kg</t>
  </si>
  <si>
    <t>46.72 ft3 | 1.32 m3</t>
  </si>
  <si>
    <t>57.50 in | 146.05 cm</t>
  </si>
  <si>
    <t>27.80 in | 70.61 cm</t>
  </si>
  <si>
    <t>50.50 in | 128.27 cm</t>
  </si>
  <si>
    <t>https://www.carlislefsp.com/bar-supplies/free-flowing-liquor-pourers/WPM2538</t>
  </si>
  <si>
    <t>WPM2538</t>
  </si>
  <si>
    <t>https://catalog.carlislefsp.com/images/1600x1600/19219.jpg</t>
  </si>
  <si>
    <t>• Extra-long neck for more accurate pouring
• Pour Rite® bottle top unit for free-flowing liquid
• Curved spout for reducing product spillage
• Sturdy metal construction
• Choice of three flow rates
• Chrome plated for attractive appearance and longer life
• Choose plastic or metal style pourer with sanitary screen
• SAN is resistant to staining, breaking and chipping</t>
  </si>
  <si>
    <t>0.03 ft3 | 0.00 m3</t>
  </si>
  <si>
    <t>0.03 lb | 0.01 kg</t>
  </si>
  <si>
    <t>https://www.carlislefsp.com/bar-supplies/free-flowing-liquor-pourers/WPM4538</t>
  </si>
  <si>
    <t>WPM4538</t>
  </si>
  <si>
    <t>https://catalog.carlislefsp.com/images/1600x1600/300517.jpg</t>
  </si>
  <si>
    <t>https://www.carlislefsp.com/bar-supplies/mingle-drinkware/MIN544015</t>
  </si>
  <si>
    <t>https://www.carlislefsp.com/bar-supplies/store-n-pour/PS601N01</t>
  </si>
  <si>
    <t>PS601N01</t>
  </si>
  <si>
    <t>https://catalog.carlislefsp.com/images/1600x1600/282342.jpg</t>
  </si>
  <si>
    <t>https://www.carlislefsp.com/bar-supplies/store-n-pour/PS30405</t>
  </si>
  <si>
    <t>PS30405</t>
  </si>
  <si>
    <t>https://catalog.carlislefsp.com/images/1600x1600/282632.jpg</t>
  </si>
  <si>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</si>
  <si>
    <t xml:space="preserve">320 | </t>
  </si>
  <si>
    <t>https://www.carlislefsp.com/bar-supplies/store-n-pour/PS602N00</t>
  </si>
  <si>
    <t>PS602N00</t>
  </si>
  <si>
    <t>https://catalog.carlislefsp.com/images/1600x1600/362639.jpg</t>
  </si>
  <si>
    <t>• Exclusive manufacturing process ensures leak resistance
• Made of high density, break-resistant polyethylene
• Easy clean containers have straight wall design with no sharp interior edges that can collect food or bacteria
• Unique stacking ridge on quart and pint caps make storage on shelf in refrigerator easy and secue
• Color-coordinated caps for easy product identification
• Prepare mixes and juices in advance
• Backup unit includes cap and container
• Dishwasher safe
• BPA free
• Assorted packs contain 2 lids of each of the pictured colors
• Economical polyethylene will withstand temperatures from -40° to 180° F</t>
  </si>
  <si>
    <t>https://www.carlislefsp.com/bar-supplies/maximizer-portable-bar/7550094</t>
  </si>
  <si>
    <t>https://catalog.carlislefsp.com/images/1600x1600/6810.jpg</t>
  </si>
  <si>
    <t>https://www.carlislefsp.com/bar-supplies/mingle-drinkware/MIN544307</t>
  </si>
  <si>
    <t>https://www.carlislefsp.com/bar-supplies/store-n-pour/PS70200</t>
  </si>
  <si>
    <t>PS70200</t>
  </si>
  <si>
    <t>https://catalog.carlislefsp.com/images/1600x1600/282857.jpg</t>
  </si>
  <si>
    <t>• Exclusive manufacturing process ensures leak resistance
• Made of high density, break-resistant polyethylene
• Easy clean containers have straight wall design with no sharp interior edges that can collect food or bacteria
• Color-coordinated spouts and caps for easy product identification
• Prepare mixes and juices in advance
• Backup unit includes cap and container
• dishwasher safe
• BPA free
• Assorted packs include 1 each of following colors: red, green, yellow, orange, brown and white</t>
  </si>
  <si>
    <t>https://www.carlislefsp.com/bar-supplies/store-n-pour/PS601N02</t>
  </si>
  <si>
    <t>PS601N02</t>
  </si>
  <si>
    <t>https://catalog.carlislefsp.com/images/1600x1600/282662.jpg</t>
  </si>
  <si>
    <t>https://www.carlislefsp.com/bar-supplies/store-n-pour/PS304AT00</t>
  </si>
  <si>
    <t>PS304AT00</t>
  </si>
  <si>
    <t>https://catalog.carlislefsp.com/images/1600x1600/362444.jpg</t>
  </si>
  <si>
    <t>• Made of high density, break-resistant polyethylene
• Color-coordinated caps for easy product identification
• Case pack consists of 2 of each color as pictured
• BPA free
• Exclusive manufacturing process delivers strong leak resistant seal
• Economical polyethylene will withstand temperatures from -40° to 180° F</t>
  </si>
  <si>
    <t xml:space="preserve">495 | </t>
  </si>
  <si>
    <t>https://www.carlislefsp.com/bar-supplies/glass-rimmers/GR0903</t>
  </si>
  <si>
    <t>GR0903</t>
  </si>
  <si>
    <t>https://catalog.carlislefsp.com/images/1600x1600/364657.jpg</t>
  </si>
  <si>
    <t>• The best and fastest way to salt the rim of any glass
• Three-tier unit provides consistent and even coat of salt every time
• Diswasher Safe and for use in temperatures from 32° to 160°F</t>
  </si>
  <si>
    <t>14.60 lb | 6.62 kg</t>
  </si>
  <si>
    <t>1.17 ft3 | 0.03 m3</t>
  </si>
  <si>
    <t>https://www.carlislefsp.com/bar-supplies/store-n-pour/PS30424</t>
  </si>
  <si>
    <t>PS30424</t>
  </si>
  <si>
    <t>https://catalog.carlislefsp.com/images/1600x1600/282562.jpg</t>
  </si>
  <si>
    <t>https://www.carlislefsp.com/bar-supplies/store-n-pour/PS502N00</t>
  </si>
  <si>
    <t>PS502N00</t>
  </si>
  <si>
    <t>•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Backup unit includes cap and container
• Dishwasher safe
• BPA free
• Assorted packs include 2 each of following colors: red, green, yellow, orange, brown and white
• Exclusive manufacturing process delivers strong leak resistant seal
• Economical polyethylene will withstand temperatures from -40° to 180° F</t>
  </si>
  <si>
    <t>1.96 lb | 0.89 kg</t>
  </si>
  <si>
    <t>3.47 in | 8.81 cm</t>
  </si>
  <si>
    <t>3.11 in | 7.90 cm</t>
  </si>
  <si>
    <t>https://www.carlislefsp.com/bar-supplies/mingle-drinkware/MIN544007</t>
  </si>
  <si>
    <t>https://www.carlislefsp.com/bar-supplies/store-n-pour/PS601N05</t>
  </si>
  <si>
    <t>PS601N05</t>
  </si>
  <si>
    <t>https://catalog.carlislefsp.com/images/1600x1600/282762.jpg</t>
  </si>
  <si>
    <t>https://www.carlislefsp.com/bar-supplies/store-n-pour/PS30401</t>
  </si>
  <si>
    <t>PS30401</t>
  </si>
  <si>
    <t>https://catalog.carlislefsp.com/images/1600x1600/283072.jpg</t>
  </si>
  <si>
    <t>https://www.carlislefsp.com/bar-supplies/store-n-pour/PS30409</t>
  </si>
  <si>
    <t>PS30409</t>
  </si>
  <si>
    <t>https://catalog.carlislefsp.com/images/1600x1600/283027.jpg</t>
  </si>
  <si>
    <t>https://www.carlislefsp.com/bar-supplies/mingle-drinkware/MIN544318</t>
  </si>
  <si>
    <t>https://www.carlislefsp.com/bar-supplies/store-n-pour/PS501N00</t>
  </si>
  <si>
    <t>PS501N00</t>
  </si>
  <si>
    <t>https://catalog.carlislefsp.com/images/1600x1600/373382.jpg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</si>
  <si>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Backup unit includes cap and container
• Dishwasher safe
• BPA free
• Assortment contains 2 each of the following colors: red, green, yellow, orange, brown and white
• Exclusive manufacturing process delivers strong leak resistant seal
• Economical polyethylene will withstand temperatures from -40° to 180° F</t>
  </si>
  <si>
    <t>10.07 in | 25.58 cm</t>
  </si>
  <si>
    <t>https://www.carlislefsp.com/bar-supplies/glass-rimmers/GR09RS03</t>
  </si>
  <si>
    <t>GR09RS03</t>
  </si>
  <si>
    <t>https://catalog.carlislefsp.com/images/1600x1600/273355.jpg</t>
  </si>
  <si>
    <t>• The best and fastest way to salt the rim of any glass
• Two-tier unit provides consistent and even coat of salt every time
• BPA free</t>
  </si>
  <si>
    <t>13.39 in | 34.00 cm</t>
  </si>
  <si>
    <t>https://www.carlislefsp.com/bar-supplies/tip-trays-and-check-holder/302203</t>
  </si>
  <si>
    <t>https://catalog.carlislefsp.com/images/1600x1600/281904.jpg</t>
  </si>
  <si>
    <t>• Check Holder's handy clip keeps checks, credit cards, or cash securely in place
• Dishwasher safe
• BPA material is sturdy and resists chipping
• NSF Listed as N3022</t>
  </si>
  <si>
    <t>0.44 in | 1.11 cm</t>
  </si>
  <si>
    <t>6.81 in | 17.31 cm</t>
  </si>
  <si>
    <t>8.88 in | 22.54 cm</t>
  </si>
  <si>
    <t>https://www.carlislefsp.com/bar-supplies/store-n-pour/PS20302</t>
  </si>
  <si>
    <t>PS20302</t>
  </si>
  <si>
    <t>https://catalog.carlislefsp.com/images/1600x1600/362821.jpg</t>
  </si>
  <si>
    <t>• Two-piece spout and neck design for easy cleaning
• Made of high density, break-resistant polyethylene
• Easy clean containers have straight wall design with no sharp interior edges that can collect food or bacteria
• BPA free
• Exclusive manufacturing process delivers strong leak resistant seal
• Economical polyethylene will withstand temperatures from -40° to 180° F</t>
  </si>
  <si>
    <t>1.38 in | 3.49 cm</t>
  </si>
  <si>
    <t>https://www.carlislefsp.com/bar-supplies/mingle-drinkware/MIN544107</t>
  </si>
  <si>
    <t>https://www.carlislefsp.com/bar-supplies/mingle-drinkware/MIN544218</t>
  </si>
  <si>
    <t>https://www.carlislefsp.com/bar-supplies/maximizer-portable-bar/755044</t>
  </si>
  <si>
    <t>https://catalog.carlislefsp.com/images/1600x1600/7204.jpg</t>
  </si>
  <si>
    <t>https://www.carlislefsp.com/bar-supplies/free-flowing-liquor-pourers/WPM8538</t>
  </si>
  <si>
    <t>WPM8538</t>
  </si>
  <si>
    <t>https://catalog.carlislefsp.com/images/1600x1600/11420.jpg</t>
  </si>
  <si>
    <t>https://www.carlislefsp.com/bar-supplies/money-maid-combo-packs/140101</t>
  </si>
  <si>
    <t>https://catalog.carlislefsp.com/images/1600x1600/285286.jpg</t>
  </si>
  <si>
    <t>• Saves time and labor by allowing serving and making change on a single trip
• Contains a locking coin and bill compartment, napkin holder, and utility pocket
• Helps keep multiple cash drawers accurate
• Round Clip-On (1401) fits all standard 14" round trays
• 1400 Round Tray Money Maid™ combination offers a 14" Cork Tray/Round Money Maid™ permanently attached
• BPA free</t>
  </si>
  <si>
    <t>9.94 in | 25.24 cm</t>
  </si>
  <si>
    <t>https://www.carlislefsp.com/bar-supplies/store-n-pour/PS801B00</t>
  </si>
  <si>
    <t>PS801B00</t>
  </si>
  <si>
    <t>https://catalog.carlislefsp.com/images/1600x1600/282357.jpg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</si>
  <si>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1 each of the following colors: red, green, yellow, orange, brown and white
• Exclusive manufacturing process delivers strong leak resistant seal
• Economical polyethylene will withstand temperatures from -40° to 180° F</t>
  </si>
  <si>
    <t>16.47 in | 41.83 cm</t>
  </si>
  <si>
    <t>https://www.carlislefsp.com/bar-supplies/mingle-drinkware/MIN544118</t>
  </si>
  <si>
    <t>https://www.carlislefsp.com/bar-supplies/store-n-pour/PS103AT00</t>
  </si>
  <si>
    <t>PS103AT00</t>
  </si>
  <si>
    <t>https://catalog.carlislefsp.com/images/1600x1600/364294.jpg</t>
  </si>
  <si>
    <t>• Pour a perfect 2-1 drink every time with our patented vented spout design
• Two-piece spout and neck (neck not included) designed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Exclusive manufacturing process delivers strong leak resistant seal
• SAN is resistant to staining, breaking and chipping</t>
  </si>
  <si>
    <t>45.00 in | 114.30 cm</t>
  </si>
  <si>
    <t xml:space="preserve">504 | </t>
  </si>
  <si>
    <t>https://www.carlislefsp.com/bar-supplies/tip-trays-and-check-holder/302003</t>
  </si>
  <si>
    <t>https://catalog.carlislefsp.com/images/1600x1600/267440.jpg</t>
  </si>
  <si>
    <t>• 38CC25 check holder holds up to 18 guest checks at bar or register
• Check Holder's handy clip keeps checks, credit cards, or cash securely in place
• Dishwasher safe
• BPA free
• NSF Listed as N3020</t>
  </si>
  <si>
    <t xml:space="preserve">420 | </t>
  </si>
  <si>
    <t>0.38 in | 0.95 cm</t>
  </si>
  <si>
    <t>https://www.carlislefsp.com/bar-supplies/store-n-pour/PS30404</t>
  </si>
  <si>
    <t>PS30404</t>
  </si>
  <si>
    <t>https://catalog.carlislefsp.com/images/1600x1600/282957.jpg</t>
  </si>
  <si>
    <t>https://www.carlislefsp.com/bar-supplies/mingle-drinkware/MIN544018</t>
  </si>
  <si>
    <t>https://www.carlislefsp.com/bar-supplies/mingle-drinkware/MIN544207</t>
  </si>
  <si>
    <t>https://www.carlislefsp.com/bar-supplies/pourplus-store-n-pour-spout/PS601NC02</t>
  </si>
  <si>
    <t>PS601NC02</t>
  </si>
  <si>
    <t>https://catalog.carlislefsp.com/images/1600x1600/363664.jpg</t>
  </si>
  <si>
    <t>• Store 'N Pour Complete units includes neck, container, color coordinated pouring spout and cap
• PourPlus™  fits all Store 'N Pour™  Containers
• Integrated neck and spout designed for fast free flowing pouring; easy clean-up
• Textured neck provides sure grip - even when wet
• Necks are color-coded for easy product identification
• Made of high density, break-resistant polyethylene
• Economical polyethylene will withstand temperatures from -40° to 180° F</t>
  </si>
  <si>
    <t>https://www.carlislefsp.com/bar-supplies/store-n-pour/PS601N00</t>
  </si>
  <si>
    <t>PS601N00</t>
  </si>
  <si>
    <t>https://catalog.carlislefsp.com/images/1600x1600/363271.jpg</t>
  </si>
  <si>
    <t>https://www.carlislefsp.com/bar-supplies/bar-scoops/430607</t>
  </si>
  <si>
    <t>https://catalog.carlislefsp.com/images/1600x1600/332144.jpg</t>
  </si>
  <si>
    <t>• 6 oz scoops are tapered to make pouring of ice into glasses easy
• 4306 features a hole for hanging or tying to a container; durable polycarbonate material for long-lasting use; dishwasher safe
• Polycarbonate (PC) is resistant to staining, breaking and chipping
• NSF Listed as N4306</t>
  </si>
  <si>
    <t>10.87 in | 27.61 cm</t>
  </si>
  <si>
    <t>https://www.carlislefsp.com/bar-supplies/pourplus-store-n-pour-spout/PS601NC00</t>
  </si>
  <si>
    <t>PS601NC00</t>
  </si>
  <si>
    <t>https://catalog.carlislefsp.com/images/1600x1600/267645.jpg</t>
  </si>
  <si>
    <t>https://www.carlislefsp.com/bar-supplies/mingle-drinkware/MIN544907</t>
  </si>
  <si>
    <t>https://www.carlislefsp.com/bar-supplies/plastic-condiment-caddies/SS10702</t>
  </si>
  <si>
    <t>SS10702</t>
  </si>
  <si>
    <t>https://catalog.carlislefsp.com/images/1600x1600/3128.jpg</t>
  </si>
  <si>
    <t>• Keyhole slots make installation and cleaning easy
• Perfect for all bar condiments; cherries and olives to lime and lemon wedges
• Includes caddy and individual containers
• Mounts to bar sink w/screws provided or use optional Hanger Straps for use on sinks or rails
• BPA Free</t>
  </si>
  <si>
    <t>3.16 lb | 1.43 kg</t>
  </si>
  <si>
    <t>7.94 in | 20.16 cm</t>
  </si>
  <si>
    <t>https://www.carlislefsp.com/bar-supplies/store-n-pour/PS30403</t>
  </si>
  <si>
    <t>PS30403</t>
  </si>
  <si>
    <t>https://catalog.carlislefsp.com/images/1600x1600/318000.jpg</t>
  </si>
  <si>
    <t>https://www.carlislefsp.com/bar-supplies/store-n-pour/PS603N02</t>
  </si>
  <si>
    <t>PS603N02</t>
  </si>
  <si>
    <t>https://catalog.carlislefsp.com/images/1600x1600/283212.jpg</t>
  </si>
  <si>
    <t>• Made of high density, break-resistant polyethylene
• Easy clean containers have straight wall design with no sharp interior edges that can collect food or bacteria
• Exclusive manufacturing process delivers strong leak resistant seal
• Economical polyethylene will withstand temperatures from -40° to 180° F</t>
  </si>
  <si>
    <t>https://www.carlislefsp.com/bar-supplies/store-n-pour/PS10307</t>
  </si>
  <si>
    <t>PS10307</t>
  </si>
  <si>
    <t>https://catalog.carlislefsp.com/images/1600x1600/283232.jpg</t>
  </si>
  <si>
    <t>• Pour a perfect 2-1 drink every time with our patented vented spout design
• Made of high density, break-resistant polyethylene
• Color-coordinated spouts and caps for easy product identification
• BPA free
• Exclusive manufacturing process delivers strong leak resistant seal
• Usable temperature range of 0 F to 140 F.
• SAN is resistant to staining, breaking and chipping</t>
  </si>
  <si>
    <t>https://www.carlislefsp.com/bar-supplies/pourplus-store-n-pour-spout/PS20402</t>
  </si>
  <si>
    <t>PS20402</t>
  </si>
  <si>
    <t>https://catalog.carlislefsp.com/images/1600x1600/282447.jpg</t>
  </si>
  <si>
    <t>• PourPlus™  fits all Store 'N Pour™  Containers
• Integrated neck and spout designed for fast free flowing pouring; easy clean-up
• Textured neck provides sure grip - even when wet
• Necks are color-coded for easy product identification
• Made of high density, break-resistant polyethylene
• BPA free
• Economical polyethylene will withstand temperatures from -40° to 180° F
• BPA Free</t>
  </si>
  <si>
    <t>6.19 in | 15.72 cm</t>
  </si>
  <si>
    <t>https://www.carlislefsp.com/bar-supplies/store-n-pour/PS30402</t>
  </si>
  <si>
    <t>PS30402</t>
  </si>
  <si>
    <t>https://catalog.carlislefsp.com/images/1600x1600/364483.jpg</t>
  </si>
  <si>
    <t>https://www.carlislefsp.com/bar-supplies/store-n-pour/PS601N24</t>
  </si>
  <si>
    <t>PS601N24</t>
  </si>
  <si>
    <t>https://catalog.carlislefsp.com/images/1600x1600/282702.jpg</t>
  </si>
  <si>
    <t>https://www.carlislefsp.com/bar-supplies/store-n-pour/PS701B00</t>
  </si>
  <si>
    <t>PS701B00</t>
  </si>
  <si>
    <t>https://catalog.carlislefsp.com/images/1600x1600/282537.jpg</t>
  </si>
  <si>
    <t>• Pour a perfect 2-1 drink every time with our patented vented spout design
• Two-piece spout and neck design for easy cleaning
• Exclusive manufacturing process ensures leak resistance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Backup unit includes cap and container
• Dishwasher safe
• BPA free
• Assortment contains 2 each of the following colors: red, green, yellow, orange, brown and white</t>
  </si>
  <si>
    <t>2.90 lb | 1.32 kg</t>
  </si>
  <si>
    <t>https://www.carlislefsp.com/bar-supplies/pourplus-store-n-pour-spout/PS204AST00</t>
  </si>
  <si>
    <t>PS204AST00</t>
  </si>
  <si>
    <t>https://catalog.carlislefsp.com/images/1600x1600/368050.jpg</t>
  </si>
  <si>
    <t>• PourPlus™  fits all Store 'N Pour™  Containers
• Integrated neck and spout designed for fast free flowing pouring; easy clean-up
• Textured neck provides sure grip - even when wet
• Necks are color-coded for easy product identification
• Made of high density, break-resistant polyethylene
• Economical polyethylene will withstand temperatures from -40° to 180° F</t>
  </si>
  <si>
    <t>https://www.carlislefsp.com/bar-supplies/store-n-pour/PS601200</t>
  </si>
  <si>
    <t>PS601200</t>
  </si>
  <si>
    <t>https://catalog.carlislefsp.com/images/1600x1600/373377.jpg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</si>
  <si>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Six quart complete units (container, neck, and color-coordinated spout and cap)
• Eighteen quart backup units (container and cap)
• One gallon backup unit (container with cap) for mixing
• Spouts and caps in assorted colors
• BPA free
• Exclusive manufacturing process delivers strong leak resistant seal
• Economical polyethylene will withstand temperatures from -40° to 180° F</t>
  </si>
  <si>
    <t>7.40 lb | 3.36 kg</t>
  </si>
  <si>
    <t>https://www.carlislefsp.com/foodservice-trays/cafe-trays/CT141805</t>
  </si>
  <si>
    <t>CT141805</t>
  </si>
  <si>
    <t>https://catalog.carlislefsp.com/images/1600x1600/354398.jpg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</si>
  <si>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</si>
  <si>
    <t>17.87 in | 45.39 cm</t>
  </si>
  <si>
    <t>0.98 in | 2.49 cm</t>
  </si>
  <si>
    <t>https://www.carlislefsp.com/foodservice-trays/glasteel-fiberglass-trays/2216FGQ024</t>
  </si>
  <si>
    <t>2216FGQ024</t>
  </si>
  <si>
    <t>https://catalog.carlislefsp.com/images/1600x1600/271583.jpg</t>
  </si>
  <si>
    <t>• Engineered to be the most durable fiberglass trays available
• Top-of-the-line Glasteel construction increases strength, creating an extremely rugged tray
• So tough that we back them with a FIVE YEAR GUARANTEE against breakage under normal use
• Dishwasher safe</t>
  </si>
  <si>
    <t>22.12 in | 562.00 mm</t>
  </si>
  <si>
    <t>16.00 in | 406.00 mm</t>
  </si>
  <si>
    <t>-20.00 °F | -28.89 °C</t>
  </si>
  <si>
    <t>275.00 °F | 135.00 °C</t>
  </si>
  <si>
    <t>Fiberglass</t>
  </si>
  <si>
    <t>23.90 in | 60.71 cm</t>
  </si>
  <si>
    <t>2.08 lb | 0.94 kg</t>
  </si>
  <si>
    <t>https://www.carlislefsp.com/foodservice-trays/compartment-trays/P614R25</t>
  </si>
  <si>
    <t>P614R25</t>
  </si>
  <si>
    <t>https://catalog.carlislefsp.com/images/1600x1600/355140.jpg</t>
  </si>
  <si>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BPA free</t>
  </si>
  <si>
    <t>14.37 in | 36.50 cm</t>
  </si>
  <si>
    <t>16.75 lb | 7.60 kg</t>
  </si>
  <si>
    <t>https://www.carlislefsp.com/foodservice-trays/compartment-trays/4398192</t>
  </si>
  <si>
    <t>https://catalog.carlislefsp.com/images/1600x1600/365141.jpg</t>
  </si>
  <si>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N43981</t>
  </si>
  <si>
    <t>0.72 in | 1.83 cm</t>
  </si>
  <si>
    <t>https://www.carlislefsp.com/foodservice-trays/cafe-trays/CT121614</t>
  </si>
  <si>
    <t>CT121614</t>
  </si>
  <si>
    <t>https://catalog.carlislefsp.com/images/1600x1600/267765.jpg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</si>
  <si>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</si>
  <si>
    <t>17.15 lb | 7.78 kg</t>
  </si>
  <si>
    <t>https://www.carlislefsp.com/foodservice-trays/cafe-trays/CT121669</t>
  </si>
  <si>
    <t>CT121669</t>
  </si>
  <si>
    <t>https://catalog.carlislefsp.com/images/1600x1600/269107.jpg</t>
  </si>
  <si>
    <t>https://www.carlislefsp.com/foodservice-trays/glasteel-fiberglass-trays/2216FGQ011</t>
  </si>
  <si>
    <t>2216FGQ011</t>
  </si>
  <si>
    <t>https://catalog.carlislefsp.com/images/1600x1600/12179.jpg</t>
  </si>
  <si>
    <t>https://www.carlislefsp.com/foodservice-trays/beer-serving-trays/130060</t>
  </si>
  <si>
    <t>https://www.carlislefsp.com/foodservice-trays/cafe-trays/CT121603</t>
  </si>
  <si>
    <t>CT121603</t>
  </si>
  <si>
    <t>https://catalog.carlislefsp.com/images/1600x1600/355221.jpg</t>
  </si>
  <si>
    <t>https://www.carlislefsp.com/foodservice-trays/polycarbonate-tray/CT141869</t>
  </si>
  <si>
    <t>CT141869</t>
  </si>
  <si>
    <t>https://catalog.carlislefsp.com/images/1600x1600/267979.jpg</t>
  </si>
  <si>
    <t>https://www.carlislefsp.com/foodservice-trays/cafe-trays/CT121605</t>
  </si>
  <si>
    <t>CT121605</t>
  </si>
  <si>
    <t>https://catalog.carlislefsp.com/images/1600x1600/267505.jpg</t>
  </si>
  <si>
    <t>https://www.carlislefsp.com/foodservice-trays/compartment-trays/4398805</t>
  </si>
  <si>
    <t>https://catalog.carlislefsp.com/images/1600x1600/364563.jpg</t>
  </si>
  <si>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</si>
  <si>
    <t>14.50 lb | 6.58 kg</t>
  </si>
  <si>
    <t xml:space="preserve">66 | </t>
  </si>
  <si>
    <t>0.69 in | 1.75 cm</t>
  </si>
  <si>
    <t>https://www.carlislefsp.com/foodservice-trays/tray-stands/C3620W11</t>
  </si>
  <si>
    <t>C3620W11</t>
  </si>
  <si>
    <t>https://catalog.carlislefsp.com/images/1600x1600/277161.jpg</t>
  </si>
  <si>
    <t>• Constructed of kiln-dried hardwood
• Economy Tray Stand features durable, lightweight construction, reinforced joints
• Folding design saves you space</t>
  </si>
  <si>
    <t>Wood - other</t>
  </si>
  <si>
    <t>30.65 lb | 13.90 kg</t>
  </si>
  <si>
    <t>9.06 ft3 | 0.26 m3</t>
  </si>
  <si>
    <t>36.70 in | 93.22 cm</t>
  </si>
  <si>
    <t>20.60 in | 52.32 cm</t>
  </si>
  <si>
    <t>5.51 lb | 2.50 kg</t>
  </si>
  <si>
    <t>https://www.carlislefsp.com/foodservice-trays/compartment-trays/614R03</t>
  </si>
  <si>
    <t>614R03</t>
  </si>
  <si>
    <t>https://catalog.carlislefsp.com/images/1600x1600/354982.jpg</t>
  </si>
  <si>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</si>
  <si>
    <t>20.21 lb | 9.17 kg</t>
  </si>
  <si>
    <t>1.05 ft3 | 0.03 m3</t>
  </si>
  <si>
    <t>0.84 lb | 0.38 kg</t>
  </si>
  <si>
    <t>https://www.carlislefsp.com/foodservice-trays/fiberglass-market-trays-and-pans/1230FMT309</t>
  </si>
  <si>
    <t>1230FMT309</t>
  </si>
  <si>
    <t>https://catalog.carlislefsp.com/images/1600x1600/290937.jpg</t>
  </si>
  <si>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</si>
  <si>
    <t>26.95 lb | 12.22 kg</t>
  </si>
  <si>
    <t>31.00 in | 78.74 cm</t>
  </si>
  <si>
    <t>https://www.carlislefsp.com/foodservice-trays/fiberglass-market-trays-and-pans/1318FMT301</t>
  </si>
  <si>
    <t>1318FMT301</t>
  </si>
  <si>
    <t>https://catalog.carlislefsp.com/images/1600x1600/362439.jpg</t>
  </si>
  <si>
    <t>19.90 lb | 9.03 kg</t>
  </si>
  <si>
    <t>https://www.carlislefsp.com/foodservice-trays/compartment-trays/61425</t>
  </si>
  <si>
    <t>https://catalog.carlislefsp.com/images/1600x1600/355260.jpg</t>
  </si>
  <si>
    <t xml:space="preserve">98 | </t>
  </si>
  <si>
    <t>https://www.carlislefsp.com/foodservice-trays/cafe-trays/CT101423</t>
  </si>
  <si>
    <t>CT101423</t>
  </si>
  <si>
    <t>https://catalog.carlislefsp.com/images/1600x1600/268655.jpg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</si>
  <si>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</si>
  <si>
    <t>13.87 in | 35.23 cm</t>
  </si>
  <si>
    <t>0.79 in | 2.01 cm</t>
  </si>
  <si>
    <t>https://www.carlislefsp.com/foodservice-trays/glasteel-fiberglass-trays/1410FG001</t>
  </si>
  <si>
    <t>1410FG001</t>
  </si>
  <si>
    <t>https://catalog.carlislefsp.com/images/1600x1600/362834.jpg</t>
  </si>
  <si>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</si>
  <si>
    <t>10.78 in | 27.38 cm</t>
  </si>
  <si>
    <t>https://www.carlislefsp.com/foodservice-trays/glasteel-fiberglass-trays/1814FG068</t>
  </si>
  <si>
    <t>1814FG068</t>
  </si>
  <si>
    <t>https://catalog.carlislefsp.com/images/1600x1600/355288.jpg</t>
  </si>
  <si>
    <t>22.95 lb | 10.41 kg</t>
  </si>
  <si>
    <t>https://www.carlislefsp.com/foodservice-trays/fiberglass-market-trays-and-pans/1030FMT301</t>
  </si>
  <si>
    <t>1030FMT301</t>
  </si>
  <si>
    <t>https://catalog.carlislefsp.com/images/1600x1600/291051.jpg</t>
  </si>
  <si>
    <t>25.35 lb | 11.50 kg</t>
  </si>
  <si>
    <t>31.10 in | 78.99 cm</t>
  </si>
  <si>
    <t>https://www.carlislefsp.com/foodservice-trays/glasteel-fiberglass-trays/2015FG068</t>
  </si>
  <si>
    <t>2015FG068</t>
  </si>
  <si>
    <t>https://catalog.carlislefsp.com/images/1600x1600/346796.jpg</t>
  </si>
  <si>
    <t>• engineered to be the most durable fiberglass trays available
• top-of-the-line Glasteel construction increases strength, creating an extremely rugged tray
• so tough that we back them with a FIVE YEAR GUARANTEE against breakage under normal use
• Dishwasher safe
• Tray floor dimensions are 13.3” x 18.5”</t>
  </si>
  <si>
    <t>23.00 lb | 10.43 kg</t>
  </si>
  <si>
    <t>https://www.carlislefsp.com/foodservice-trays/compartment-trays/4398808</t>
  </si>
  <si>
    <t>https://catalog.carlislefsp.com/images/1600x1600/277374.jpg</t>
  </si>
  <si>
    <t>https://www.carlislefsp.com/foodservice-trays/cafe-trays/CT121661</t>
  </si>
  <si>
    <t>CT121661</t>
  </si>
  <si>
    <t>https://catalog.carlislefsp.com/images/1600x1600/267680.jpg</t>
  </si>
  <si>
    <t>https://www.carlislefsp.com/foodservice-trays/cafe-trays/CT121608</t>
  </si>
  <si>
    <t>CT121608</t>
  </si>
  <si>
    <t>https://catalog.carlislefsp.com/images/1600x1600/363416.jpg</t>
  </si>
  <si>
    <t>https://www.carlislefsp.com/foodservice-trays/cafe-trays/CT141806</t>
  </si>
  <si>
    <t>CT141806</t>
  </si>
  <si>
    <t>https://catalog.carlislefsp.com/images/1600x1600/364902.jpg</t>
  </si>
  <si>
    <t>https://www.carlislefsp.com/foodservice-trays/glasteel-fiberglass-trays/2216FGQ076</t>
  </si>
  <si>
    <t>2216FGQ076</t>
  </si>
  <si>
    <t>https://www.carlislefsp.com/foodservice-trays/compartment-trays/4398850</t>
  </si>
  <si>
    <t>https://catalog.carlislefsp.com/images/1600x1600/363124.jpg</t>
  </si>
  <si>
    <t>https://www.carlislefsp.com/foodservice-trays/cork-trays/301401</t>
  </si>
  <si>
    <t>https://catalog.carlislefsp.com/images/1600x1600/285604.jpg</t>
  </si>
  <si>
    <t>• Choose economical, lightweight, break-resistant polypropylene (PPY) for bar service or break-resistant, sturdy ABS for heavy-duty use and greater stability
• Durable plastic construction will not chip or dent
• Cork surface is bonded to tray and treated to reduce wear and increase durability
• Oval tray features curved handhold on underside for greater control
• BPA free</t>
  </si>
  <si>
    <t>14.75 in | 37.47 cm</t>
  </si>
  <si>
    <t>https://www.carlislefsp.com/foodservice-trays/compartment-trays/4398050</t>
  </si>
  <si>
    <t>https://catalog.carlislefsp.com/images/1600x1600/363723.jpg</t>
  </si>
  <si>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</si>
  <si>
    <t>13.50 lb | 6.12 kg</t>
  </si>
  <si>
    <t>https://www.carlislefsp.com/foodservice-trays/griptite-trays/1600GR2004</t>
  </si>
  <si>
    <t>1600GR2004</t>
  </si>
  <si>
    <t>https://catalog.carlislefsp.com/images/1600x1600/365106.jpg</t>
  </si>
  <si>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</si>
  <si>
    <t>200.00 °F | 93.33 °C</t>
  </si>
  <si>
    <t>20.00 lb | 9.07 kg</t>
  </si>
  <si>
    <t>1.67 lb | 0.76 kg</t>
  </si>
  <si>
    <t>Steel</t>
  </si>
  <si>
    <t>https://www.carlislefsp.com/foodservice-trays/fiberglass-market-trays-and-pans/1218FMT309</t>
  </si>
  <si>
    <t>1218FMT309</t>
  </si>
  <si>
    <t>https://catalog.carlislefsp.com/images/1600x1600/291072.jpg</t>
  </si>
  <si>
    <t>16.65 lb | 7.55 kg</t>
  </si>
  <si>
    <t>https://www.carlislefsp.com/foodservice-trays/griptite-trays/2500GR2004</t>
  </si>
  <si>
    <t>2500GR2004</t>
  </si>
  <si>
    <t>https://catalog.carlislefsp.com/images/1600x1600/354506.jpg</t>
  </si>
  <si>
    <t>3.42 lb | 1.55 kg</t>
  </si>
  <si>
    <t>https://www.carlislefsp.com/foodservice-trays/compartment-trays/P614R14</t>
  </si>
  <si>
    <t>P614R14</t>
  </si>
  <si>
    <t>https://catalog.carlislefsp.com/images/1600x1600/355107.jpg</t>
  </si>
  <si>
    <t>https://www.carlislefsp.com/foodservice-trays/griplite-trays/1400GL004</t>
  </si>
  <si>
    <t>1400GL004</t>
  </si>
  <si>
    <t>https://catalog.carlislefsp.com/images/1600x1600/362851.jpg</t>
  </si>
  <si>
    <t>• Economical trays are made of a high density Polypropylene co-polymer
• Molded-in rubber liner
• Prevents slipping and sliding of glasses and dinnerware
• More sanitary alternative to cork trays
• Stain and odor resistant
• Handwashing recommended</t>
  </si>
  <si>
    <t>12.96 lb | 5.88 kg</t>
  </si>
  <si>
    <t>15.44 in | 39.22 cm</t>
  </si>
  <si>
    <t>14.63 in | 37.16 cm</t>
  </si>
  <si>
    <t>https://www.carlislefsp.com/foodservice-trays/glasteel-fiberglass-trays/2015FG004</t>
  </si>
  <si>
    <t>2015FG004</t>
  </si>
  <si>
    <t>https://catalog.carlislefsp.com/images/1600x1600/346627.jpg</t>
  </si>
  <si>
    <t>https://www.carlislefsp.com/foodservice-trays/polycarbonate-tray/CT141814</t>
  </si>
  <si>
    <t>CT141814</t>
  </si>
  <si>
    <t>https://catalog.carlislefsp.com/images/1600x1600/268635.jpg</t>
  </si>
  <si>
    <t>https://www.carlislefsp.com/foodservice-trays/bistro-trays/1217BT03</t>
  </si>
  <si>
    <t>1217BT03</t>
  </si>
  <si>
    <t>https://catalog.carlislefsp.com/images/1600x1600/365313.jpg</t>
  </si>
  <si>
    <t>• Stylish Design – Unique curved design presents an upscale appearance while handles add convenience and strength for easy carrying
• Rugged Construction – Plastic is lightweight and scratch-resistant for longevity of use
• Skid-Resistant Texture – Basket-weave design ensures a skid-free surface for reducing slipping and preventing spills
• Stacking Lugs – Drying and stacking lugs allow proper airflow between stacked trays during storage
• Trays available in contemporary solids or new translucents - both are designed to coordinate with the latest color trends</t>
  </si>
  <si>
    <t>11.02 lb | 5.00 kg</t>
  </si>
  <si>
    <t>17.15 in | 43.56 cm</t>
  </si>
  <si>
    <t>5.62 in | 14.29 cm</t>
  </si>
  <si>
    <t>https://www.carlislefsp.com/foodservice-trays/fiberglass-market-trays-and-pans/1030FMT309</t>
  </si>
  <si>
    <t>1030FMT309</t>
  </si>
  <si>
    <t>https://catalog.carlislefsp.com/images/1600x1600/364950.jpg</t>
  </si>
  <si>
    <t>https://www.carlislefsp.com/foodservice-trays/polycarbonate-tray/CT141824</t>
  </si>
  <si>
    <t>CT141824</t>
  </si>
  <si>
    <t>https://catalog.carlislefsp.com/images/1600x1600/364844.jpg</t>
  </si>
  <si>
    <t>https://www.carlislefsp.com/foodservice-trays/glasteel-fiberglass-trays/1612FG017</t>
  </si>
  <si>
    <t>1612FG017</t>
  </si>
  <si>
    <t>https://catalog.carlislefsp.com/images/1600x1600/346670.jpg</t>
  </si>
  <si>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</si>
  <si>
    <t>16.37 in | 41.58 cm</t>
  </si>
  <si>
    <t>16.95 lb | 7.69 kg</t>
  </si>
  <si>
    <t>1.33 lb | 0.60 kg</t>
  </si>
  <si>
    <t>https://www.carlislefsp.com/foodservice-trays/compartment-trays/4398035</t>
  </si>
  <si>
    <t>https://catalog.carlislefsp.com/images/1600x1600/277437.jpg</t>
  </si>
  <si>
    <t>https://www.carlislefsp.com/foodservice-trays/cafe-trays/CT101459</t>
  </si>
  <si>
    <t>CT101459</t>
  </si>
  <si>
    <t>https://catalog.carlislefsp.com/images/1600x1600/276296.jpg</t>
  </si>
  <si>
    <t>https://www.carlislefsp.com/foodservice-trays/compartment-trays/4398087</t>
  </si>
  <si>
    <t>https://catalog.carlislefsp.com/images/1600x1600/364626.jpg</t>
  </si>
  <si>
    <t>https://www.carlislefsp.com/foodservice-trays/griplite-trays/1600GL004</t>
  </si>
  <si>
    <t>1600GL004</t>
  </si>
  <si>
    <t>https://catalog.carlislefsp.com/images/1600x1600/365770.jpg</t>
  </si>
  <si>
    <t>18.20 lb | 8.26 kg</t>
  </si>
  <si>
    <t>https://www.carlislefsp.com/foodservice-trays/fiberglass-market-trays-and-pans/2618FMTQ301</t>
  </si>
  <si>
    <t>2618FMTQ301</t>
  </si>
  <si>
    <t>https://catalog.carlislefsp.com/images/1600x1600/291143.jpg</t>
  </si>
  <si>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 for white and black colors only</t>
  </si>
  <si>
    <t>17.87 in | 454.00 mm</t>
  </si>
  <si>
    <t>25.62 in | 651.00 mm</t>
  </si>
  <si>
    <t>21.10 lb | 9.57 kg</t>
  </si>
  <si>
    <t>0.85 ft3 | 0.02 m3</t>
  </si>
  <si>
    <t>https://www.carlislefsp.com/foodservice-trays/cafe-trays/CT141869</t>
  </si>
  <si>
    <t>https://www.carlislefsp.com/foodservice-trays/cafe-trays/CT141824</t>
  </si>
  <si>
    <t>https://www.carlislefsp.com/foodservice-trays/glasteel-fiberglass-trays/1814FG001</t>
  </si>
  <si>
    <t>1814FG001</t>
  </si>
  <si>
    <t>https://catalog.carlislefsp.com/images/1600x1600/355218.jpg</t>
  </si>
  <si>
    <t>https://www.carlislefsp.com/foodservice-trays/glasteel-fiberglass-trays/2015FG002</t>
  </si>
  <si>
    <t>2015FG002</t>
  </si>
  <si>
    <t>https://catalog.carlislefsp.com/images/1600x1600/346631.jpg</t>
  </si>
  <si>
    <t>https://www.carlislefsp.com/foodservice-trays/compartment-trays/61403</t>
  </si>
  <si>
    <t>https://catalog.carlislefsp.com/images/1600x1600/354500.jpg</t>
  </si>
  <si>
    <t>https://www.carlislefsp.com/foodservice-trays/polycarbonate-tray/CT141808</t>
  </si>
  <si>
    <t>CT141808</t>
  </si>
  <si>
    <t>https://catalog.carlislefsp.com/images/1600x1600/364352.jpg</t>
  </si>
  <si>
    <t>https://www.carlislefsp.com/foodservice-trays/griptite-trays/1100GR2004</t>
  </si>
  <si>
    <t>1100GR2004</t>
  </si>
  <si>
    <t>https://catalog.carlislefsp.com/images/1600x1600/291210.jpg</t>
  </si>
  <si>
    <t>9.60 lb | 4.35 kg</t>
  </si>
  <si>
    <t>https://www.carlislefsp.com/foodservice-trays/glasteel-fiberglass-trays/2216FGQ019</t>
  </si>
  <si>
    <t>2216FGQ019</t>
  </si>
  <si>
    <t>https://www.carlislefsp.com/foodservice-trays/compartment-trays/4398008</t>
  </si>
  <si>
    <t>https://catalog.carlislefsp.com/images/1600x1600/365719.jpg</t>
  </si>
  <si>
    <t>https://www.carlislefsp.com/foodservice-trays/glasteel-fiberglass-trays/1814FG095</t>
  </si>
  <si>
    <t>1814FG095</t>
  </si>
  <si>
    <t>https://catalog.carlislefsp.com/images/1600x1600/355452.jpg</t>
  </si>
  <si>
    <t>https://www.carlislefsp.com/foodservice-trays/cafe-trays/CT1418030</t>
  </si>
  <si>
    <t>CT1418030</t>
  </si>
  <si>
    <t>https://catalog.carlislefsp.com/images/1600x1600/351765.jpg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</si>
  <si>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Manufactured with antimicrobial protection
• NSF Listed as NCT1418</t>
  </si>
  <si>
    <t>https://www.carlislefsp.com/foodservice-trays/cafe-trays/CT101469</t>
  </si>
  <si>
    <t>CT101469</t>
  </si>
  <si>
    <t>https://catalog.carlislefsp.com/images/1600x1600/268725.jpg</t>
  </si>
  <si>
    <t>https://www.carlislefsp.com/foodservice-trays/compartment-trays/P614R05</t>
  </si>
  <si>
    <t>P614R05</t>
  </si>
  <si>
    <t>https://catalog.carlislefsp.com/images/1600x1600/354762.jpg</t>
  </si>
  <si>
    <t>https://www.carlislefsp.com/foodservice-trays/compartment-trays/P61425</t>
  </si>
  <si>
    <t>P61425</t>
  </si>
  <si>
    <t>https://catalog.carlislefsp.com/images/1600x1600/354900.jpg</t>
  </si>
  <si>
    <t>• 6-compartment trays hold government "Type A" lunch; all materials are FDA approved
• Carlisle offers the largest variety of sizes and compartment combinations available
• Offers greater variety of serving combinations with three smaller upper compartments, two larger lower compartments, and a flatware holder on right or left side
• BPA free</t>
  </si>
  <si>
    <t>12.10 lb | 5.49 kg</t>
  </si>
  <si>
    <t>https://www.carlislefsp.com/foodservice-trays/fiberglass-market-trays-and-pans/1318FMT309</t>
  </si>
  <si>
    <t>1318FMT309</t>
  </si>
  <si>
    <t>https://catalog.carlislefsp.com/images/1600x1600/291184.jpg</t>
  </si>
  <si>
    <t>https://www.carlislefsp.com/foodservice-trays/compartment-trays/4398085</t>
  </si>
  <si>
    <t>https://catalog.carlislefsp.com/images/1600x1600/277195.jpg</t>
  </si>
  <si>
    <t>https://www.carlislefsp.com/foodservice-trays/compartment-trays/4398825</t>
  </si>
  <si>
    <t>https://catalog.carlislefsp.com/images/1600x1600/277321.jpg</t>
  </si>
  <si>
    <t>https://www.carlislefsp.com/foodservice-trays/griptite-trays/1100GR2076</t>
  </si>
  <si>
    <t>1100GR2076</t>
  </si>
  <si>
    <t>https://catalog.carlislefsp.com/images/1600x1600/291280.jpg</t>
  </si>
  <si>
    <t>https://www.carlislefsp.com/foodservice-trays/glasteel-fiberglass-trays/1612FG015</t>
  </si>
  <si>
    <t>1612FG015</t>
  </si>
  <si>
    <t>https://catalog.carlislefsp.com/images/1600x1600/346406.jpg</t>
  </si>
  <si>
    <t>https://www.carlislefsp.com/foodservice-trays/tray-stands/C3625T38</t>
  </si>
  <si>
    <t>C3625T38</t>
  </si>
  <si>
    <t>https://catalog.carlislefsp.com/images/1600x1600/314783.jpg</t>
  </si>
  <si>
    <t>• One-inch tubular steel legs with either a heavy chrome plate finish
• Cross supports provide superior rigidity and strength
• Black plastic capped legs prevent slipping and marring of floors
• Extra tall tray stand (C3625T) reduces the need for bending and stooping; additional height makes transferring heavy loads easier</t>
  </si>
  <si>
    <t>36.00 in | 91.44 cm</t>
  </si>
  <si>
    <t>Chrome Plated Steel</t>
  </si>
  <si>
    <t>36.38 lb | 16.50 kg</t>
  </si>
  <si>
    <t>5.94 ft3 | 0.17 m3</t>
  </si>
  <si>
    <t>40.55 in | 103.00 cm</t>
  </si>
  <si>
    <t>20.08 in | 51.00 cm</t>
  </si>
  <si>
    <t>6.06 lb | 2.75 kg</t>
  </si>
  <si>
    <t>https://www.carlislefsp.com/foodservice-trays/fiberglass-market-trays-and-pans/630FMT309</t>
  </si>
  <si>
    <t>630FMT309</t>
  </si>
  <si>
    <t>https://catalog.carlislefsp.com/images/1600x1600/291205.jpg</t>
  </si>
  <si>
    <t>16.40 lb | 7.44 kg</t>
  </si>
  <si>
    <t>6.82 in | 17.32 cm</t>
  </si>
  <si>
    <t>31.25 in | 79.38 cm</t>
  </si>
  <si>
    <t>https://www.carlislefsp.com/foodservice-trays/glasteel-fiberglass-trays/2216FGQ004</t>
  </si>
  <si>
    <t>2216FGQ004</t>
  </si>
  <si>
    <t>https://www.carlislefsp.com/foodservice-trays/polycarbonate-tray/CT141861</t>
  </si>
  <si>
    <t>CT141861</t>
  </si>
  <si>
    <t>https://catalog.carlislefsp.com/images/1600x1600/364042.jpg</t>
  </si>
  <si>
    <t>https://www.carlislefsp.com/foodservice-trays/fiberglass-market-trays-and-pans/269FMT309</t>
  </si>
  <si>
    <t>269FMT309</t>
  </si>
  <si>
    <t>https://catalog.carlislefsp.com/images/1600x1600/354393.jpg</t>
  </si>
  <si>
    <t>20.10 lb | 9.12 kg</t>
  </si>
  <si>
    <t>26.80 in | 68.07 cm</t>
  </si>
  <si>
    <t>https://www.carlislefsp.com/foodservice-trays/fiberglass-market-trays-and-pans/269FMT301</t>
  </si>
  <si>
    <t>269FMT301</t>
  </si>
  <si>
    <t>https://catalog.carlislefsp.com/images/1600x1600/291256.jpg</t>
  </si>
  <si>
    <t>https://www.carlislefsp.com/foodservice-trays/cafe-trays/CT101403</t>
  </si>
  <si>
    <t>CT101403</t>
  </si>
  <si>
    <t>https://catalog.carlislefsp.com/images/1600x1600/365157.jpg</t>
  </si>
  <si>
    <t>https://www.carlislefsp.com/foodservice-trays/griptite-trays/2700GR2004</t>
  </si>
  <si>
    <t>2700GR2004</t>
  </si>
  <si>
    <t>https://catalog.carlislefsp.com/images/1600x1600/354873.jpg</t>
  </si>
  <si>
    <t>21.45 lb | 9.73 kg</t>
  </si>
  <si>
    <t>4.22 lb | 1.91 kg</t>
  </si>
  <si>
    <t>https://www.carlislefsp.com/foodservice-trays/compartment-trays/614R05</t>
  </si>
  <si>
    <t>614R05</t>
  </si>
  <si>
    <t>https://catalog.carlislefsp.com/images/1600x1600/355191.jpg</t>
  </si>
  <si>
    <t>https://www.carlislefsp.com/foodservice-trays/griptite-trays/1400GR2004</t>
  </si>
  <si>
    <t>1400GR2004</t>
  </si>
  <si>
    <t>https://catalog.carlislefsp.com/images/1600x1600/364642.jpg</t>
  </si>
  <si>
    <t>15.05 lb | 6.83 kg</t>
  </si>
  <si>
    <t>https://www.carlislefsp.com/foodservice-trays/polycarbonate-tray/CT141806</t>
  </si>
  <si>
    <t>https://www.carlislefsp.com/foodservice-trays/cafe-trays/CT141814</t>
  </si>
  <si>
    <t>https://www.carlislefsp.com/foodservice-trays/polycarbonate-tray/CT141823</t>
  </si>
  <si>
    <t>CT141823</t>
  </si>
  <si>
    <t>https://catalog.carlislefsp.com/images/1600x1600/362922.jpg</t>
  </si>
  <si>
    <t>https://www.carlislefsp.com/foodservice-trays/compartment-trays/4398193</t>
  </si>
  <si>
    <t>https://catalog.carlislefsp.com/images/1600x1600/276968.jpg</t>
  </si>
  <si>
    <t>https://www.carlislefsp.com/foodservice-trays/compartment-trays/P61405</t>
  </si>
  <si>
    <t>P61405</t>
  </si>
  <si>
    <t>https://catalog.carlislefsp.com/images/1600x1600/354404.jpg</t>
  </si>
  <si>
    <t>https://www.carlislefsp.com/foodservice-trays/compartment-trays/4398885</t>
  </si>
  <si>
    <t>https://catalog.carlislefsp.com/images/1600x1600/363434.jpg</t>
  </si>
  <si>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t>
  </si>
  <si>
    <t>https://www.carlislefsp.com/foodservice-trays/compartment-trays/614R59</t>
  </si>
  <si>
    <t>614R59</t>
  </si>
  <si>
    <t>https://catalog.carlislefsp.com/images/1600x1600/355162.jpg</t>
  </si>
  <si>
    <t>https://www.carlislefsp.com/foodservice-trays/glasteel-fiberglass-trays/2015FG001</t>
  </si>
  <si>
    <t>2015FG001</t>
  </si>
  <si>
    <t>https://catalog.carlislefsp.com/images/1600x1600/346324.jpg</t>
  </si>
  <si>
    <t>https://www.carlislefsp.com/foodservice-trays/fiberglass-market-trays-and-pans/1230FMT301</t>
  </si>
  <si>
    <t>1230FMT301</t>
  </si>
  <si>
    <t>https://catalog.carlislefsp.com/images/1600x1600/291001.jpg</t>
  </si>
  <si>
    <t>https://www.carlislefsp.com/foodservice-trays/compartment-trays/614R25</t>
  </si>
  <si>
    <t>614R25</t>
  </si>
  <si>
    <t>https://catalog.carlislefsp.com/images/1600x1600/354649.jpg</t>
  </si>
  <si>
    <t>https://www.carlislefsp.com/foodservice-trays/compartment-trays/61459</t>
  </si>
  <si>
    <t>https://catalog.carlislefsp.com/images/1600x1600/355092.jpg</t>
  </si>
  <si>
    <t>https://www.carlislefsp.com/foodservice-trays/polycarbonate-tray/CT141805</t>
  </si>
  <si>
    <t>https://www.carlislefsp.com/foodservice-trays/glasteel-fiberglass-trays/1410FG017</t>
  </si>
  <si>
    <t>1410FG017</t>
  </si>
  <si>
    <t>https://catalog.carlislefsp.com/images/1600x1600/346490.jpg</t>
  </si>
  <si>
    <t>https://www.carlislefsp.com/foodservice-trays/compartment-trays/614R09</t>
  </si>
  <si>
    <t>614R09</t>
  </si>
  <si>
    <t>https://catalog.carlislefsp.com/images/1600x1600/271616.jpg</t>
  </si>
  <si>
    <t>https://www.carlislefsp.com/foodservice-trays/griptite-trays/2500GR2076</t>
  </si>
  <si>
    <t>2500GR2076</t>
  </si>
  <si>
    <t>https://catalog.carlislefsp.com/images/1600x1600/355424.jpg</t>
  </si>
  <si>
    <t>https://www.carlislefsp.com/foodservice-trays/compartment-trays/4398835</t>
  </si>
  <si>
    <t>https://catalog.carlislefsp.com/images/1600x1600/277093.jpg</t>
  </si>
  <si>
    <t>https://www.carlislefsp.com/foodservice-trays/compartment-trays/KL44408</t>
  </si>
  <si>
    <t>KL44408</t>
  </si>
  <si>
    <t>https://catalog.carlislefsp.com/images/1600x1600/276948.jpg</t>
  </si>
  <si>
    <t>• Omnidirectional Orientation – Intended for both left-handed and right-handed use
• Compartment Variety – Four multi-sized molded compartments fit entrees, side dishes, desserts and drinks
• Melamine Unibody – Molded form resists breaking and cracking when dropped
• NSF Listed as NKL444</t>
  </si>
  <si>
    <t>8.67 in | 22.02 cm</t>
  </si>
  <si>
    <t>0.62 in | 1.57 cm</t>
  </si>
  <si>
    <t>https://www.carlislefsp.com/foodservice-trays/griptite-trays/1600GR2076</t>
  </si>
  <si>
    <t>1600GR2076</t>
  </si>
  <si>
    <t>https://catalog.carlislefsp.com/images/1600x1600/287300.jpg</t>
  </si>
  <si>
    <t>https://www.carlislefsp.com/foodservice-trays/compartment-trays/4398005</t>
  </si>
  <si>
    <t>https://catalog.carlislefsp.com/images/1600x1600/365505.jpg</t>
  </si>
  <si>
    <t>https://www.carlislefsp.com/foodservice-trays/griplite-trays/1100GL004</t>
  </si>
  <si>
    <t>1100GL004</t>
  </si>
  <si>
    <t>https://catalog.carlislefsp.com/images/1600x1600/276784.jpg</t>
  </si>
  <si>
    <t>https://www.carlislefsp.com/foodservice-trays/griptite-trays/1400GR2076</t>
  </si>
  <si>
    <t>1400GR2076</t>
  </si>
  <si>
    <t>https://catalog.carlislefsp.com/images/1600x1600/287780.jpg</t>
  </si>
  <si>
    <t>https://www.carlislefsp.com/foodservice-trays/cafe-trays/CT141823</t>
  </si>
  <si>
    <t>https://www.carlislefsp.com/foodservice-trays/compartment-trays/4398887</t>
  </si>
  <si>
    <t>https://catalog.carlislefsp.com/images/1600x1600/277483.jpg</t>
  </si>
  <si>
    <t>https://www.carlislefsp.com/foodservice-trays/tray-stands/C3630W11</t>
  </si>
  <si>
    <t>C3630W11</t>
  </si>
  <si>
    <t>https://catalog.carlislefsp.com/images/1600x1600/277344.jpg</t>
  </si>
  <si>
    <t>• Provides strength and durability
• Sanitary, non-porous and non-corrosive; cleans with a damp cloth
• BPA Free
• Folding design saves you space</t>
  </si>
  <si>
    <t>19.75 in | 50.16 cm</t>
  </si>
  <si>
    <t>16.67 in | 42.34 cm</t>
  </si>
  <si>
    <t>30.50 in | 77.47 cm</t>
  </si>
  <si>
    <t>36.30 lb | 16.47 kg</t>
  </si>
  <si>
    <t>5.50 ft3 | 0.16 m3</t>
  </si>
  <si>
    <t>36.50 in | 92.71 cm</t>
  </si>
  <si>
    <t>5.98 lb | 2.71 kg</t>
  </si>
  <si>
    <t>https://www.carlislefsp.com/foodservice-trays/compartment-trays/P614R09</t>
  </si>
  <si>
    <t>P614R09</t>
  </si>
  <si>
    <t>https://catalog.carlislefsp.com/images/1600x1600/273560.jpg</t>
  </si>
  <si>
    <t>https://www.carlislefsp.com/foodservice-trays/compartment-trays/KL44485</t>
  </si>
  <si>
    <t>KL44485</t>
  </si>
  <si>
    <t>https://catalog.carlislefsp.com/images/1600x1600/277311.jpg</t>
  </si>
  <si>
    <t>https://www.carlislefsp.com/foodservice-trays/glasteel-fiberglass-trays/1814FG013</t>
  </si>
  <si>
    <t>1814FG013</t>
  </si>
  <si>
    <t>https://catalog.carlislefsp.com/images/1600x1600/346346.jpg</t>
  </si>
  <si>
    <t>https://www.carlislefsp.com/foodservice-trays/glasteel-fiberglass-trays/2216FGQ001</t>
  </si>
  <si>
    <t>2216FGQ001</t>
  </si>
  <si>
    <t>https://catalog.carlislefsp.com/images/1600x1600/280345.jpg</t>
  </si>
  <si>
    <t>https://www.carlislefsp.com/foodservice-trays/glasteel-fiberglass-trays/1612FG002</t>
  </si>
  <si>
    <t>1612FG002</t>
  </si>
  <si>
    <t>https://catalog.carlislefsp.com/images/1600x1600/346466.jpg</t>
  </si>
  <si>
    <t>https://www.carlislefsp.com/foodservice-trays/griptite-trays/3100GR2076</t>
  </si>
  <si>
    <t>3100GR2076</t>
  </si>
  <si>
    <t>https://catalog.carlislefsp.com/images/1600x1600/355406.jpg</t>
  </si>
  <si>
    <t>32.35 lb | 14.67 kg</t>
  </si>
  <si>
    <t>32.60 in | 82.80 cm</t>
  </si>
  <si>
    <t>https://www.carlislefsp.com/foodservice-trays/cafe-trays/CT101414</t>
  </si>
  <si>
    <t>CT101414</t>
  </si>
  <si>
    <t>https://catalog.carlislefsp.com/images/1600x1600/267994.jpg</t>
  </si>
  <si>
    <t>https://www.carlislefsp.com/foodservice-trays/polycarbonate-tray/CT141803</t>
  </si>
  <si>
    <t>CT141803</t>
  </si>
  <si>
    <t>https://catalog.carlislefsp.com/images/1600x1600/355370.jpg</t>
  </si>
  <si>
    <t>https://www.carlislefsp.com/foodservice-trays/cafe-trays/CT141861</t>
  </si>
  <si>
    <t>https://www.carlislefsp.com/foodservice-trays/polycarbonate-tray/CT141859</t>
  </si>
  <si>
    <t>CT141859</t>
  </si>
  <si>
    <t>https://catalog.carlislefsp.com/images/1600x1600/268630.jpg</t>
  </si>
  <si>
    <t>https://www.carlislefsp.com/foodservice-trays/hospitality-room-service-trays/RST152003</t>
  </si>
  <si>
    <t>RST152003</t>
  </si>
  <si>
    <t>https://catalog.carlislefsp.com/images/1600x1600/355380.jpg</t>
  </si>
  <si>
    <t>• 15" x 20" handled room service trays give an upscale dining experience
• Reinforced handles eliminates breaking; rounded for comfortable carrying
• PC material eliminates fading and increase durability
• Dishwasher safe
• Handled room service trays give an upscale dining experience
• Compatible with most standard equipment for 15" x 20" trays
• Low rimmed edge keeps tray top items in place
• Polycarbonate (PC) is resistant to staining, breaking and chipping</t>
  </si>
  <si>
    <t>1.70 in | 4.32 cm</t>
  </si>
  <si>
    <t>22.75 lb | 10.32 kg</t>
  </si>
  <si>
    <t>21.60 in | 54.86 cm</t>
  </si>
  <si>
    <t>1.83 lb | 0.83 kg</t>
  </si>
  <si>
    <t>https://www.carlislefsp.com/items/2700GL004</t>
  </si>
  <si>
    <t>2700GL004</t>
  </si>
  <si>
    <t>https://catalog.carlislefsp.com/images/1600x1600/268605.jpg</t>
  </si>
  <si>
    <t>23.30 lb | 10.57 kg</t>
  </si>
  <si>
    <t>22.80 in | 57.91 cm</t>
  </si>
  <si>
    <t>https://www.carlislefsp.com/foodservice-trays/glasteel-fiberglass-trays/1814FG127</t>
  </si>
  <si>
    <t>1814FG127</t>
  </si>
  <si>
    <t>https://catalog.carlislefsp.com/images/1600x1600/346692.jpg</t>
  </si>
  <si>
    <t>https://www.carlislefsp.com/foodservice-trays/compartment-trays/61409</t>
  </si>
  <si>
    <t>https://catalog.carlislefsp.com/images/1600x1600/354668.jpg</t>
  </si>
  <si>
    <t>https://www.carlislefsp.com/foodservice-trays/compartment-trays/614PC25</t>
  </si>
  <si>
    <t>614PC25</t>
  </si>
  <si>
    <t>https://catalog.carlislefsp.com/images/1600x1600/354608.jpg</t>
  </si>
  <si>
    <t>• Carlisle offers the largest variety of sizes and compartment combinations available
• 6-compartment trays hold government "Type A" lunch; all materials are FDA approved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Offers greater variety of serving combinations with three smaller upper compartments, two larger lower compartments, and a flatware holder on right or left side</t>
  </si>
  <si>
    <t>19.39 lb | 8.80 kg</t>
  </si>
  <si>
    <t>14.13 in | 35.89 cm</t>
  </si>
  <si>
    <t>https://www.carlislefsp.com/foodservice-trays/glasteel-fiberglass-trays/2216FGQ017</t>
  </si>
  <si>
    <t>2216FGQ017</t>
  </si>
  <si>
    <t>https://catalog.carlislefsp.com/images/1600x1600/271488.jpg</t>
  </si>
  <si>
    <t>https://www.carlislefsp.com/foodservice-trays/cafe-trays/CT101405</t>
  </si>
  <si>
    <t>CT101405</t>
  </si>
  <si>
    <t>https://catalog.carlislefsp.com/images/1600x1600/365225.jpg</t>
  </si>
  <si>
    <t>https://www.carlislefsp.com/foodservice-trays/cafe-trays/CT101424</t>
  </si>
  <si>
    <t>CT101424</t>
  </si>
  <si>
    <t>https://catalog.carlislefsp.com/images/1600x1600/267884.jpg</t>
  </si>
  <si>
    <t>https://www.carlislefsp.com/foodservice-trays/glasteel-fiberglass-trays/1814FG003</t>
  </si>
  <si>
    <t>1814FG003</t>
  </si>
  <si>
    <t>https://catalog.carlislefsp.com/images/1600x1600/355179.jpg</t>
  </si>
  <si>
    <t>https://www.carlislefsp.com/foodservice-trays/glasteel-fiberglass-trays/2015FG127</t>
  </si>
  <si>
    <t>2015FG127</t>
  </si>
  <si>
    <t>https://www.carlislefsp.com/foodservice-trays/glasteel-fiberglass-trays/1612FG004</t>
  </si>
  <si>
    <t>1612FG004</t>
  </si>
  <si>
    <t>https://catalog.carlislefsp.com/images/1600x1600/354829.jpg</t>
  </si>
  <si>
    <t>https://www.carlislefsp.com/foodservice-trays/fiberglass-market-trays-and-pans/2618FMTQ309</t>
  </si>
  <si>
    <t>2618FMTQ309</t>
  </si>
  <si>
    <t>https://catalog.carlislefsp.com/images/1600x1600/364199.jpg</t>
  </si>
  <si>
    <t>https://www.carlislefsp.com/foodservice-trays/glasteel-fiberglass-trays/1814FG004</t>
  </si>
  <si>
    <t>1814FG004</t>
  </si>
  <si>
    <t>https://catalog.carlislefsp.com/images/1600x1600/354886.jpg</t>
  </si>
  <si>
    <t>https://www.carlislefsp.com/foodservice-trays/glasteel-fiberglass-trays/2216FGQ009</t>
  </si>
  <si>
    <t>2216FGQ009</t>
  </si>
  <si>
    <t>https://www.carlislefsp.com/foodservice-trays/cafe-trays/CT121659</t>
  </si>
  <si>
    <t>CT121659</t>
  </si>
  <si>
    <t>https://catalog.carlislefsp.com/images/1600x1600/268854.jpg</t>
  </si>
  <si>
    <t>https://www.carlislefsp.com/foodservice-trays/cafe-trays/CT141803</t>
  </si>
  <si>
    <t>https://www.carlislefsp.com/foodservice-trays/cafe-trays/CT121623</t>
  </si>
  <si>
    <t>CT121623</t>
  </si>
  <si>
    <t>https://catalog.carlislefsp.com/images/1600x1600/268969.jpg</t>
  </si>
  <si>
    <t>https://www.carlislefsp.com/foodservice-trays/griptite-trays/3100GR2004</t>
  </si>
  <si>
    <t>3100GR2004</t>
  </si>
  <si>
    <t>https://catalog.carlislefsp.com/images/1600x1600/355447.jpg</t>
  </si>
  <si>
    <t>https://www.carlislefsp.com/foodservice-trays/fiberglass-market-trays-and-pans/830FMT309</t>
  </si>
  <si>
    <t>830FMT309</t>
  </si>
  <si>
    <t>https://catalog.carlislefsp.com/images/1600x1600/291111.jpg</t>
  </si>
  <si>
    <t>8.81 in | 22.38 cm</t>
  </si>
  <si>
    <t>https://www.carlislefsp.com/foodservice-trays/griptite-trays/2700GR2076</t>
  </si>
  <si>
    <t>2700GR2076</t>
  </si>
  <si>
    <t>https://catalog.carlislefsp.com/images/1600x1600/355123.jpg</t>
  </si>
  <si>
    <t>https://www.carlislefsp.com/foodservice-trays/glasteel-fiberglass-trays/1410FG004</t>
  </si>
  <si>
    <t>1410FG004</t>
  </si>
  <si>
    <t>https://catalog.carlislefsp.com/images/1600x1600/363998.jpg</t>
  </si>
  <si>
    <t>https://www.carlislefsp.com/foodservice-trays/cafe-trays/CT141859</t>
  </si>
  <si>
    <t>https://www.carlislefsp.com/foodservice-trays/cafe-trays/CT121624</t>
  </si>
  <si>
    <t>CT121624</t>
  </si>
  <si>
    <t>https://catalog.carlislefsp.com/images/1600x1600/365746.jpg</t>
  </si>
  <si>
    <t>https://www.carlislefsp.com/foodservice-trays/cafe-trays/CT141808</t>
  </si>
  <si>
    <t>https://www.carlislefsp.com/catering-equipment/cateraide-slide-n-seal-pan-carriers/XT3000R03</t>
  </si>
  <si>
    <t>XT3000R03</t>
  </si>
  <si>
    <t>https://catalog.carlislefsp.com/images/1600x1600/269450.jpg</t>
  </si>
  <si>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
• BPA free
• Five 2-1/2" deep pans
• Three 4" deep pans and One 2-1/2" deep pan
• Two 6" deep pans and One 2-1/2" deep pan
• One 6" deep pan, and Two 4" deep pan
• Four 2-1/2" deep pans and one 4" deep pan
• Two 2-1/2 deep pans and Two 4" deep pans</t>
  </si>
  <si>
    <t>25.24 in | 64.11 cm</t>
  </si>
  <si>
    <t>18.86 in | 47.90 cm</t>
  </si>
  <si>
    <t>26.63 in | 67.64 cm</t>
  </si>
  <si>
    <t>Polyurethane</t>
  </si>
  <si>
    <t>37.75 lb | 17.12 kg</t>
  </si>
  <si>
    <t>8.21 ft3 | 0.23 m3</t>
  </si>
  <si>
    <t>20.20 in | 51.31 cm</t>
  </si>
  <si>
    <t>27.40 in | 69.60 cm</t>
  </si>
  <si>
    <t>https://www.carlislefsp.com/catering-equipment/cateraide-insulated-beverage-servers/XT250001</t>
  </si>
  <si>
    <t>XT250001</t>
  </si>
  <si>
    <t>https://catalog.carlislefsp.com/images/1600x1600/269503.jpg</t>
  </si>
  <si>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</si>
  <si>
    <t>15.35 lb | 6.96 kg</t>
  </si>
  <si>
    <t>2.14 ft3 | 0.06 m3</t>
  </si>
  <si>
    <t>2.50 gal | 9.46 l</t>
  </si>
  <si>
    <t>https://www.carlislefsp.com/catering-equipment/cateraide-insulated-beverage-servers/XT500001</t>
  </si>
  <si>
    <t>XT500001</t>
  </si>
  <si>
    <t>https://catalog.carlislefsp.com/images/1600x1600/267104.jpg</t>
  </si>
  <si>
    <t>26.30 in | 66.80 cm</t>
  </si>
  <si>
    <t>https://www.carlislefsp.com/catering-equipment/cateraide-dollies/DL30023</t>
  </si>
  <si>
    <t>DL30023</t>
  </si>
  <si>
    <t>https://catalog.carlislefsp.com/images/1600x1600/332404.jpg</t>
  </si>
  <si>
    <t>• Maneuverability – Omnidirectional casters make toting food pan carriers easy and secure
• Built To Last – Heavy-duty aluminum resists wear and tear for prolonged catering use
• Raised Edges – Elevated walls reduce chances for spills by securely holding food pan carriers in place
• Reinforced Corners – Rounded, reinforced corners reduce impact damage to walls and other surfaces
• Precise Fit – Fits Cateraide™ PC300N pan carriers</t>
  </si>
  <si>
    <t>10.95 lb | 4.97 kg</t>
  </si>
  <si>
    <t>2.68 ft3 | 0.08 m3</t>
  </si>
  <si>
    <t>17.38 in | 44.15 cm</t>
  </si>
  <si>
    <t>23.25 in | 59.05 cm</t>
  </si>
  <si>
    <t>16.88 in | 42.88 cm</t>
  </si>
  <si>
    <t>https://www.carlislefsp.com/catering-equipment/cateraide-insulated-end-loaders/PC600N01</t>
  </si>
  <si>
    <t>PC600N01</t>
  </si>
  <si>
    <t>https://catalog.carlislefsp.com/images/1600x1600/332334.jpg</t>
  </si>
  <si>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(10) 2.5" deep full size pans or (20)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Fold-Flat Door –  Door swings 270° backwards and folds flush against the side to provide unobstructed access to interior contents
• Non-Marking Casters – Casters are attached to the bottom in order to pull or push the end loader right where it needs to go
• NSF Listed as NPC600N</t>
  </si>
  <si>
    <t>50.00 in | 127.00 cm</t>
  </si>
  <si>
    <t>66.05 lb | 29.96 kg</t>
  </si>
  <si>
    <t>13.05 ft3 | 0.37 m3</t>
  </si>
  <si>
    <t>50.12 in | 127.32 cm</t>
  </si>
  <si>
    <t>https://www.carlislefsp.com/catering-equipment/it-cateraide-series/IT41003</t>
  </si>
  <si>
    <t>IT41003</t>
  </si>
  <si>
    <t>https://catalog.carlislefsp.com/images/1600x1600/257439.jpg</t>
  </si>
  <si>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IT400 pan carriers</t>
  </si>
  <si>
    <t>18.63 in | 47.32 cm</t>
  </si>
  <si>
    <t>-50.00 °F | -45.56 °C</t>
  </si>
  <si>
    <t>120.00 °F | 48.89 °C</t>
  </si>
  <si>
    <t>Polyethylene (LLDPE)</t>
  </si>
  <si>
    <t>3.29 ft3 | 0.09 m3</t>
  </si>
  <si>
    <t>https://www.carlislefsp.com/catering-equipment/cateraide-slide-n-seal-pan-carriers/XT140003</t>
  </si>
  <si>
    <t>XT140003</t>
  </si>
  <si>
    <t>https://catalog.carlislefsp.com/images/1600x1600/269385.jpg</t>
  </si>
  <si>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t>
  </si>
  <si>
    <t>17.44 in | 44.30 cm</t>
  </si>
  <si>
    <t>9.08 in | 23.06 cm</t>
  </si>
  <si>
    <t>18.35 lb | 8.32 kg</t>
  </si>
  <si>
    <t>2.97 ft3 | 0.08 m3</t>
  </si>
  <si>
    <t>12.00 qt | 11.36 l</t>
  </si>
  <si>
    <t>11.88 in | 30.16 cm</t>
  </si>
  <si>
    <t>https://www.carlislefsp.com/catering-equipment/catercooler/PC66014</t>
  </si>
  <si>
    <t>PC66014</t>
  </si>
  <si>
    <t>https://catalog.carlislefsp.com/images/1600x1600/332556.jpg</t>
  </si>
  <si>
    <t>• Exclusive CaterCooler™ is perfect for maintaining cold foods for off-site feeding and outdoor events
• Freeze CaterCooler™ overnight or for eight hours and it will keep foods cold for up to eight hours without ice*
• Designed to slide into a Cateraide™ End Loader (XT3000R, PC300N), Double End Loader (PC600N), or place on top of food pans in a Top Loader (PC180N)
• With an overnight charge in your freezer, Coldmaster® keeps food at or below the SERVSAFE® guidelines of 40°F for the entire length of its cold-retention period
• Durable polyethylene shell
• BPA free
• Economical polyethylene will withstand temperatures from -40° to 180° F
• BPA Free</t>
  </si>
  <si>
    <t>22.90 in | 58.17 cm</t>
  </si>
  <si>
    <t>https://www.carlislefsp.com/catering-equipment/cateraide-insulated-beverage-servers/LD500N01</t>
  </si>
  <si>
    <t>LD500N01</t>
  </si>
  <si>
    <t>https://catalog.carlislefsp.com/images/1600x1600/269899.jpg</t>
  </si>
  <si>
    <t>• Minimizes risk of cross-contamination and prevents flavor transfer
• Angled brushes effectively remove debris from spindles
• Easy Transport – ergonomic handles for secure two-person carrying
• Non-metal latches - nylex II latches mounted into steel reinforcement plates have no sharp edges and won't rust, bend or dent for extended life
• NSF Listed as NLD500N</t>
  </si>
  <si>
    <t>24.80 in | 62.99 cm</t>
  </si>
  <si>
    <t>17.13 in | 43.51 cm</t>
  </si>
  <si>
    <t>https://www.carlislefsp.com/catering-equipment/cateraide-insulated-beverage-servers/XT250003</t>
  </si>
  <si>
    <t>XT250003</t>
  </si>
  <si>
    <t>https://catalog.carlislefsp.com/images/1600x1600/273330.jpg</t>
  </si>
  <si>
    <t>https://www.carlislefsp.com/catering-equipment/cateraide-insulated-sheet-pan-and-tray-carrier/TC1826N03</t>
  </si>
  <si>
    <t>TC1826N03</t>
  </si>
  <si>
    <t>https://catalog.carlislefsp.com/images/1600x1600/364315.jpg</t>
  </si>
  <si>
    <t>• Cateraide™ quality construction
• Individual tracks accommodate seven 18" x 26" trays
• NSF Listed as NTC1826N</t>
  </si>
  <si>
    <t>28.75 in | 73.03 cm</t>
  </si>
  <si>
    <t>22.12 in | 56.18 cm</t>
  </si>
  <si>
    <t>8.88 ft3 | 0.25 m3</t>
  </si>
  <si>
    <t>45.00 lb | 20.41 kg</t>
  </si>
  <si>
    <t>26.12 in | 66.34 cm</t>
  </si>
  <si>
    <t>18.37 in | 46.66 cm</t>
  </si>
  <si>
    <t>15.12 in | 38.40 cm</t>
  </si>
  <si>
    <t>https://www.carlislefsp.com/catering-equipment/cateraide-insulated-beverage-servers/XT1000001</t>
  </si>
  <si>
    <t>XT1000001</t>
  </si>
  <si>
    <t>https://catalog.carlislefsp.com/images/1600x1600/269505.jpg</t>
  </si>
  <si>
    <t>20.63 in | 52.40 cm</t>
  </si>
  <si>
    <t>30.95 lb | 14.04 kg</t>
  </si>
  <si>
    <t>5.55 ft3 | 0.16 m3</t>
  </si>
  <si>
    <t>20.90 in | 53.09 cm</t>
  </si>
  <si>
    <t>27.30 in | 69.34 cm</t>
  </si>
  <si>
    <t>30.60 lb | 13.88 kg</t>
  </si>
  <si>
    <t>10.00 gal | 37.85 l</t>
  </si>
  <si>
    <t>https://www.carlislefsp.com/catering-equipment/cateraide-insulated-beverage-servers/LD500N03</t>
  </si>
  <si>
    <t>LD500N03</t>
  </si>
  <si>
    <t>https://catalog.carlislefsp.com/images/1600x1600/355311.jpg</t>
  </si>
  <si>
    <t>https://www.carlislefsp.com/catering-equipment/cateraide-ice-caddies/IC222003</t>
  </si>
  <si>
    <t>IC222003</t>
  </si>
  <si>
    <t>https://catalog.carlislefsp.com/images/1600x1600/354523.jpg</t>
  </si>
  <si>
    <t>• Value – Price and replacement cost make Kingline™ a great value for the money
• Temperature Insulated – Resists drawing heat or cold away from food
• Durable – Made of sturdy, break-resistant melamine
• Stainless steel, reinforced hinges prevent rusting
• 200 lb Ice Caddy offers extra large capacity within a compact space
• Lid opens and lays flat against side of unit to conserve space
• Front faucet for fast drainage and easy cleanup; inside has sloped base for complete drainage
• Dual handles for easy maneuverability; 10" non-marking back wheels roll easily over rough surfaces
• Includes convenient shelf; allows water to drain away from ice
• 2 swivel (1 locking and 1 non-locking) non-marking casters
• NSF listed as NIC2220</t>
  </si>
  <si>
    <t>17.22 ft3 | 0.49 m3</t>
  </si>
  <si>
    <t>34.25 in | 87.00 cm</t>
  </si>
  <si>
    <t>23.80 in | 60.45 cm</t>
  </si>
  <si>
    <t>74.00 lb | 33.57 kg</t>
  </si>
  <si>
    <t>30.75 in | 78.11 cm</t>
  </si>
  <si>
    <t>https://www.carlislefsp.com/catering-equipment/cateraide-ice-caddies/IC2250T03</t>
  </si>
  <si>
    <t>IC2250T03</t>
  </si>
  <si>
    <t>https://catalog.carlislefsp.com/images/1600x1600/354644.jpg</t>
  </si>
  <si>
    <t>• All offer extra thick foam insulation to maintain cold temperatures
• 125 lb. ice capacity
• Rounded inside corners and removable lid for thorough cleaning
• Stainless steel, reinforced hinges prevent rusting
• Nylex™ latches eliminate sharp edges; won't rust, bend, or dent
• 36-1/2" high ice caddy (IC2250T) reduces back bending motion with easy access to ice
• IC2250T offers 8" non-marking back wheels for easy maneuvering through doorways and over rough surfaces
• Optional Ice Caddy Shelf for water drainage is available separately
• NSF Listed as NIC2250T</t>
  </si>
  <si>
    <t>62.00 lb | 28.12 kg</t>
  </si>
  <si>
    <t>14.28 ft3 | 0.40 m3</t>
  </si>
  <si>
    <t>28.60 in | 72.64 cm</t>
  </si>
  <si>
    <t>57.00 lb | 25.85 kg</t>
  </si>
  <si>
    <t>https://www.carlislefsp.com/catering-equipment/cateraide-slide-n-seal-pan-carriers/XT180003</t>
  </si>
  <si>
    <t>XT180003</t>
  </si>
  <si>
    <t>https://catalog.carlislefsp.com/images/1600x1600/269419.jpg</t>
  </si>
  <si>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t>
  </si>
  <si>
    <t>13.03 in | 33.10 cm</t>
  </si>
  <si>
    <t>22.10 lb | 10.02 kg</t>
  </si>
  <si>
    <t>4.06 ft3 | 0.11 m3</t>
  </si>
  <si>
    <t>26.32 in | 66.87 cm</t>
  </si>
  <si>
    <t>24.00 qt | 22.71 l</t>
  </si>
  <si>
    <t>https://www.carlislefsp.com/catering-equipment/cateraide-insulated-top-loaders/PC140N03</t>
  </si>
  <si>
    <t>PC140N03</t>
  </si>
  <si>
    <t>https://catalog.carlislefsp.com/images/1600x1600/12384.jpg</t>
  </si>
  <si>
    <t>• Light-Duty Mats – Safe and comfortable grease-resistant standing mats designed to reduce employee fatigue in kitchen, bar, wait stations, coolers and dry storage areas
• Drainage Holes – Engineered for excellent drainage to promote a dry work area
• Beveled Edges – Provides a safe way to traffic carts without jamming
• PC188N 8" deep top loader holds up to  8" deep food pan
• NSF Listed as NPC140N</t>
  </si>
  <si>
    <t>14.10 lb | 6.40 kg</t>
  </si>
  <si>
    <t>16.75 in | 42.55 cm</t>
  </si>
  <si>
    <t>8.38 in | 21.29 cm</t>
  </si>
  <si>
    <t>https://www.carlislefsp.com/catering-equipment/cateraide-ice-caddies/IC222059</t>
  </si>
  <si>
    <t>IC222059</t>
  </si>
  <si>
    <t>https://catalog.carlislefsp.com/images/1600x1600/273327.jpg</t>
  </si>
  <si>
    <t>https://www.carlislefsp.com/catering-equipment/cateraide-insulated-beverage-servers/LD250N03</t>
  </si>
  <si>
    <t>LD250N03</t>
  </si>
  <si>
    <t>https://catalog.carlislefsp.com/images/1600x1600/269501.jpg</t>
  </si>
  <si>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
• NSF Listed as NLD250N</t>
  </si>
  <si>
    <t>13.05 lb | 5.92 kg</t>
  </si>
  <si>
    <t>20.10 in | 51.05 cm</t>
  </si>
  <si>
    <t>12.75 lb | 5.78 kg</t>
  </si>
  <si>
    <t>https://www.carlislefsp.com/catering-equipment/cateraide-ice-caddies/IC222008</t>
  </si>
  <si>
    <t>IC222008</t>
  </si>
  <si>
    <t>https://catalog.carlislefsp.com/images/1600x1600/273407.jpg</t>
  </si>
  <si>
    <t>https://www.carlislefsp.com/catering-equipment/cateraide-slide-n-seal-pan-carriers/XT160003</t>
  </si>
  <si>
    <t>XT160003</t>
  </si>
  <si>
    <t>https://catalog.carlislefsp.com/images/1600x1600/269389.jpg</t>
  </si>
  <si>
    <t>11.43 in | 29.03 cm</t>
  </si>
  <si>
    <t>21.20 lb | 9.62 kg</t>
  </si>
  <si>
    <t>3.56 ft3 | 0.10 m3</t>
  </si>
  <si>
    <t>https://www.carlislefsp.com/catering-equipment/cateraide-insulated-end-loaders/PC300N50</t>
  </si>
  <si>
    <t>PC300N50</t>
  </si>
  <si>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t>
  </si>
  <si>
    <t>38.55 lb | 17.49 kg</t>
  </si>
  <si>
    <t>7.07 ft3 | 0.20 m3</t>
  </si>
  <si>
    <t>https://www.carlislefsp.com/catering-equipment/it-cateraide-series/IT40003</t>
  </si>
  <si>
    <t>IT40003</t>
  </si>
  <si>
    <t>https://catalog.carlislefsp.com/images/1600x1600/269432.jpg</t>
  </si>
  <si>
    <t>• Insulated Interior – Keeps food hot or cold up to 6+ hours
• Top Loading Design – Configured for convenient filling, transporting and cleaning
• Sturdy Construction – Made of ultra-strong plastic which will endure bustling food service environments
• Versatile Pan Capacity – Fits (6) full size 2.5” deep food pans, (12) half size 2.5” deep food pans, (4) full size 4” deep food pans or (8) half size 4” deep food pans
• Stackable – Designed to stack and fit together for secure transport and storing
• Sleek Edge – Designed with a sleek, durable surface which resists wear and blends in with a variety of events</t>
  </si>
  <si>
    <t>18.13 in | 46.05 cm</t>
  </si>
  <si>
    <t>29.13 in | 73.99 cm</t>
  </si>
  <si>
    <t>45.30 lb | 20.55 kg</t>
  </si>
  <si>
    <t>8.96 ft3 | 0.25 m3</t>
  </si>
  <si>
    <t>27.12 in | 68.90 cm</t>
  </si>
  <si>
    <t>18.90 in | 48.01 cm</t>
  </si>
  <si>
    <t>30.20 in | 76.71 cm</t>
  </si>
  <si>
    <t>https://www.carlislefsp.com/catering-equipment/cateraide-dollies/XDL3000H03</t>
  </si>
  <si>
    <t>XDL3000H03</t>
  </si>
  <si>
    <t>https://catalog.carlislefsp.com/images/1600x1600/332495.jpg</t>
  </si>
  <si>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XDL3000H pan carriers
• Attached Handle – Waist-height handle allows upright, comfortable maneuvering</t>
  </si>
  <si>
    <t>25.88 in | 65.74 cm</t>
  </si>
  <si>
    <t>22.38 in | 56.85 cm</t>
  </si>
  <si>
    <t>26.70 lb | 12.11 kg</t>
  </si>
  <si>
    <t>4.88 ft3 | 0.14 m3</t>
  </si>
  <si>
    <t>34.10 in | 86.61 cm</t>
  </si>
  <si>
    <t>39.13 in | 99.39 cm</t>
  </si>
  <si>
    <t>https://www.carlislefsp.com/catering-equipment/cateraide-ice-caddies/IC225403</t>
  </si>
  <si>
    <t>IC225403</t>
  </si>
  <si>
    <t>https://catalog.carlislefsp.com/images/1600x1600/314313.jpg</t>
  </si>
  <si>
    <t>• All offer extra thick foam insulation to maintain cold temperatures
• Optional Ice Caddy Shelf for water drainage is available separately
• Holds approximately 15.63 gallons
• 125 lb. ice capacity
• Rounded inside corners and removable lid for thorough cleaning
• Stainless steel, reinforced hinges prevent rusting
• Nylex™ latches eliminate sharp edges; won't rust, bend, or dent
• Choose the 28-3/4" high ice caddy (IC2250, IC2254) for smaller, more compact space requirements
• All casters are non-marking
• NSF Listed as NIC2254</t>
  </si>
  <si>
    <t>11.27 ft3 | 0.32 m3</t>
  </si>
  <si>
    <t>29.40 in | 74.68 cm</t>
  </si>
  <si>
    <t>28.80 in | 73.15 cm</t>
  </si>
  <si>
    <t>55.00 lb | 24.95 kg</t>
  </si>
  <si>
    <t>https://www.carlislefsp.com/catering-equipment/cateraide-insulated-end-loaders/PC300N08</t>
  </si>
  <si>
    <t>PC300N08</t>
  </si>
  <si>
    <t>https://catalog.carlislefsp.com/images/1600x1600/332699.jpg</t>
  </si>
  <si>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NSF Listed as NPC300N</t>
  </si>
  <si>
    <t>https://www.carlislefsp.com/catering-equipment/cateraide-ice-caddies/IC225003</t>
  </si>
  <si>
    <t>IC225003</t>
  </si>
  <si>
    <t>https://catalog.carlislefsp.com/images/1600x1600/351782.jpg</t>
  </si>
  <si>
    <t>• Features 2 rigid casters, 1 swivel non-locking and 1 swivel locking caster
• All offer extra thick foam insulation to maintain cold temperatures
• Rounded inside corners and removable lid for thorough cleaning
• Stainless steel, reinforced hinges prevent rusting
• Nylex™ latches eliminate sharp edges; won't rust, bend, or dent
• Choose the 28-3/4" high ice caddy (IC2250, IC2254) for smaller, more compact space requirements
• Optional Ice Caddy Shelf for water drainage is available separately
• All casters are non-marking
• Holds approximately 15.63 gallons
• 125 lb. ice capacity
• NSF Listed as NIC2250</t>
  </si>
  <si>
    <t>48.00 lb | 21.77 kg</t>
  </si>
  <si>
    <t>11.49 ft3 | 0.33 m3</t>
  </si>
  <si>
    <t>29.50 in | 74.93 cm</t>
  </si>
  <si>
    <t>29.25 in | 74.30 cm</t>
  </si>
  <si>
    <t>49.00 lb | 22.23 kg</t>
  </si>
  <si>
    <t>https://www.carlislefsp.com/catering-equipment/cateraide-dollies/DL182623</t>
  </si>
  <si>
    <t>DL182623</t>
  </si>
  <si>
    <t>https://catalog.carlislefsp.com/images/1600x1600/332201.jpg</t>
  </si>
  <si>
    <t>• Maneuverability – Omnidirectional casters make toting food pan carriers easy and secure
• Built To Last – Heavy-duty aluminum resists wear and tear for prolonged catering use
• Raised Edges – Elevated walls reduce chances for spills by securely holding food pan carriers in place
• Reinforced Corners – Rounded, reinforced corners reduce impact damage to walls and other surfaces
• Precise Fit – Fits Cateraide™ TC1826N pan carriers</t>
  </si>
  <si>
    <t>28.63 in | 72.72 cm</t>
  </si>
  <si>
    <t>https://www.carlislefsp.com/catering-equipment/cateraide-insulated-beverage-servers/XT500050</t>
  </si>
  <si>
    <t>XT500050</t>
  </si>
  <si>
    <t>https://www.carlislefsp.com/catering-equipment/cateraide-insulated-sheet-pan-and-tray-carrier/TC1826N01</t>
  </si>
  <si>
    <t>TC1826N01</t>
  </si>
  <si>
    <t>https://catalog.carlislefsp.com/images/1600x1600/262715.jpg</t>
  </si>
  <si>
    <t>https://www.carlislefsp.com/catering-equipment/cateraide-ice-caddies/IC2250S03</t>
  </si>
  <si>
    <t>IC2250S03</t>
  </si>
  <si>
    <t>https://catalog.carlislefsp.com/images/1600x1600/273435.jpg</t>
  </si>
  <si>
    <t>• All offer extra thick foam insulation to maintain cold temperatures
• Rounded inside corners and removable lid for thorough cleaning
• Stainless steel, reinforced hinges prevent rusting
• Nylex™ latches eliminate sharp edges; won't rust, bend, or dent
• 36-1/2" high ice caddy (IC2250T) reduces back bending motion with easy access to ice
• IC2250T offers 8" non-marking back wheels for easy maneuvering through doorways and over rough surfaces
• Choose the 28-3/4" high ice caddy (IC2250, IC2254) for smaller, more compact space requirements
• Optional Ice Caddy Shelf for water drainage is available separately</t>
  </si>
  <si>
    <t>https://www.carlislefsp.com/catering-equipment/cateraide-insulated-end-loaders/PC600N03</t>
  </si>
  <si>
    <t>PC600N03</t>
  </si>
  <si>
    <t>https://catalog.carlislefsp.com/images/1600x1600/354929.jpg</t>
  </si>
  <si>
    <t>https://www.carlislefsp.com/catering-equipment/cateraide-insulated-end-loaders/PC300N03</t>
  </si>
  <si>
    <t>PC300N03</t>
  </si>
  <si>
    <t>https://catalog.carlislefsp.com/images/1600x1600/332668.jpg</t>
  </si>
  <si>
    <t>https://www.carlislefsp.com/catering-equipment/cateraide-insulated-end-loaders/PC300N01</t>
  </si>
  <si>
    <t>PC300N01</t>
  </si>
  <si>
    <t>https://catalog.carlislefsp.com/images/1600x1600/332446.jpg</t>
  </si>
  <si>
    <t>https://www.carlislefsp.com/catering-equipment/cateraide-insulated-beverage-servers/XT500003</t>
  </si>
  <si>
    <t>XT500003</t>
  </si>
  <si>
    <t>https://catalog.carlislefsp.com/images/1600x1600/355121.jpg</t>
  </si>
  <si>
    <t>https://www.carlislefsp.com/catering-equipment/cateraide-insulated-beverage-servers/LD1000N03</t>
  </si>
  <si>
    <t>LD1000N03</t>
  </si>
  <si>
    <t>https://catalog.carlislefsp.com/images/1600x1600/273487.jpg</t>
  </si>
  <si>
    <t>• Value – Price and replacement cost make Kingline™ a great value for the money
• Temperature Insulated – Resists drawing heat or cold away from food
• Durable – Made of sturdy, break-resistant melamine
• Easy Transport – ergonomic handles for secure two-person carrying
• Non-metal latches - nylex II latches mounted into steel reinforcement plates have no sharp edges and won't rust, bend or dent for extended life
• NSF Listed as NLD1000N</t>
  </si>
  <si>
    <t>28.70 lb | 13.02 kg</t>
  </si>
  <si>
    <t>25.10 in | 63.75 cm</t>
  </si>
  <si>
    <t>https://www.carlislefsp.com/catering-equipment/cateraide-dollies/DL300R03</t>
  </si>
  <si>
    <t>DL300R03</t>
  </si>
  <si>
    <t>https://catalog.carlislefsp.com/images/1600x1600/365588.jpg</t>
  </si>
  <si>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PC300N pan carriers</t>
  </si>
  <si>
    <t>17.63 in | 44.78 cm</t>
  </si>
  <si>
    <t>26.75 in | 67.95 cm</t>
  </si>
  <si>
    <t>4.58 ft3 | 0.13 m3</t>
  </si>
  <si>
    <t>27.90 in | 70.87 cm</t>
  </si>
  <si>
    <t>https://www.carlislefsp.com/catering-equipment/cateraide-insulated-beverage-servers/XT500005</t>
  </si>
  <si>
    <t>XT500005</t>
  </si>
  <si>
    <t>https://catalog.carlislefsp.com/images/1600x1600/2992.jpg</t>
  </si>
  <si>
    <t>https://www.carlislefsp.com/catering-equipment/cateraide-insulated-beverage-servers/LD500N08</t>
  </si>
  <si>
    <t>LD500N08</t>
  </si>
  <si>
    <t>https://catalog.carlislefsp.com/images/1600x1600/269902.jpg</t>
  </si>
  <si>
    <t>https://www.carlislefsp.com/catering-equipment/cateraide-insulated-end-loaders/PC300N05</t>
  </si>
  <si>
    <t>PC300N05</t>
  </si>
  <si>
    <t>https://www.carlislefsp.com/catering-equipment/cateraide-insulated-beverage-servers/XT1000003</t>
  </si>
  <si>
    <t>XT1000003</t>
  </si>
  <si>
    <t>https://catalog.carlislefsp.com/images/1600x1600/269502.jpg</t>
  </si>
  <si>
    <t>https://www.carlislefsp.com/professional-cookware/range-top-fryers/601002</t>
  </si>
  <si>
    <t>https://catalog.carlislefsp.com/images/1600x1600/286235.jpg</t>
  </si>
  <si>
    <t>• Pan features heavy-duty chrome steel hook for draining basket
• Product must be cleaned and kept dry after use. The product will rust if not kept dry.
• Chrome plated steel basket is designed for small batch deep frying
• Frame is 7 gauge and the mesh is 22 gauge with 3.5 mm mesh spacing</t>
  </si>
  <si>
    <t>21.63 in | 54.94 cm</t>
  </si>
  <si>
    <t>645373246398</t>
  </si>
  <si>
    <t>10645372246396</t>
  </si>
  <si>
    <t>26.75 lb | 12.13 kg</t>
  </si>
  <si>
    <t>3.91 ft3 | 0.11 m3</t>
  </si>
  <si>
    <t>23.40 in | 59.44 cm</t>
  </si>
  <si>
    <t>821599.5000</t>
  </si>
  <si>
    <t>60</t>
  </si>
  <si>
    <t>2.02 lb | 0.92 kg</t>
  </si>
  <si>
    <t>0.03 in | 0.70 mm</t>
  </si>
  <si>
    <t>https://www.carlislefsp.com/professional-cookware/range-top-fryers/601001</t>
  </si>
  <si>
    <t>https://catalog.carlislefsp.com/images/1600x1600/286171.jpg</t>
  </si>
  <si>
    <t>18.38 in | 46.69 cm</t>
  </si>
  <si>
    <t>645373245421</t>
  </si>
  <si>
    <t>10645372245429</t>
  </si>
  <si>
    <t>20.80 lb | 9.43 kg</t>
  </si>
  <si>
    <t>https://www.carlislefsp.com/professional-cookware/burger-cover/60103</t>
  </si>
  <si>
    <t>https://catalog.carlislefsp.com/images/1600x1600/365472.jpg</t>
  </si>
  <si>
    <t>• Accelerates cooking on grill tops; helps retain flavor and moisture
• Heat resistant knob is cool to the touch
• Aluminum cover provides quick and even heating for thorough cooking</t>
  </si>
  <si>
    <t>3003 Aluminum</t>
  </si>
  <si>
    <t>645372128145</t>
  </si>
  <si>
    <t>10645372028145</t>
  </si>
  <si>
    <t>13.44 in | 34.14 cm</t>
  </si>
  <si>
    <t>761510.7155</t>
  </si>
  <si>
    <t>125</t>
  </si>
  <si>
    <t xml:space="preserve">17.00 ga | </t>
  </si>
  <si>
    <t>Bakelite</t>
  </si>
  <si>
    <t>https://www.carlislefsp.com/professional-cookware/range-top-fryers/601000</t>
  </si>
  <si>
    <t>https://catalog.carlislefsp.com/images/1600x1600/362325.jpg</t>
  </si>
  <si>
    <t>16.13 in | 40.97 cm</t>
  </si>
  <si>
    <t>645373244455</t>
  </si>
  <si>
    <t>10645372244453</t>
  </si>
  <si>
    <t>2.04 ft3 | 0.06 m3</t>
  </si>
  <si>
    <t>1.47 lb | 0.67 kg</t>
  </si>
  <si>
    <t>item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</si>
</sst>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wnloads/CARLIS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age URL"/>
      <sheetName val="Overview"/>
      <sheetName val="Sheet2"/>
    </sheetNames>
    <sheetDataSet>
      <sheetData sheetId="0">
        <row r="1">
          <cell r="A1" t="str">
            <v>Item No.</v>
          </cell>
          <cell r="E1" t="str">
            <v>Mfr Catalog No.</v>
          </cell>
        </row>
        <row r="2">
          <cell r="A2" t="str">
            <v>5010-0202</v>
          </cell>
          <cell r="E2" t="str">
            <v>0202</v>
          </cell>
        </row>
        <row r="3">
          <cell r="A3" t="str">
            <v>5010-0203-02</v>
          </cell>
          <cell r="E3" t="str">
            <v>0203-02</v>
          </cell>
        </row>
        <row r="4">
          <cell r="A4" t="str">
            <v>5010-0205</v>
          </cell>
          <cell r="E4" t="str">
            <v>0205</v>
          </cell>
        </row>
        <row r="5">
          <cell r="A5" t="str">
            <v>5010-0295-05</v>
          </cell>
          <cell r="E5" t="str">
            <v>0295-05</v>
          </cell>
        </row>
        <row r="6">
          <cell r="A6" t="str">
            <v>5010-0295-07</v>
          </cell>
          <cell r="E6" t="str">
            <v>0295-07</v>
          </cell>
        </row>
        <row r="7">
          <cell r="A7" t="str">
            <v>5010-0296-03</v>
          </cell>
          <cell r="E7" t="str">
            <v>0296-03</v>
          </cell>
        </row>
        <row r="8">
          <cell r="A8" t="str">
            <v>5010-0296-06</v>
          </cell>
          <cell r="E8" t="str">
            <v>0296-06</v>
          </cell>
        </row>
        <row r="9">
          <cell r="A9" t="str">
            <v>5010-0296-07</v>
          </cell>
          <cell r="E9" t="str">
            <v>0296-07</v>
          </cell>
        </row>
        <row r="10">
          <cell r="A10" t="str">
            <v>5010-0302-02</v>
          </cell>
          <cell r="E10" t="str">
            <v>0302-02</v>
          </cell>
        </row>
        <row r="11">
          <cell r="A11" t="str">
            <v>5010-0306-02</v>
          </cell>
          <cell r="E11" t="str">
            <v>0306-02</v>
          </cell>
        </row>
        <row r="12">
          <cell r="A12" t="str">
            <v>5010-0311</v>
          </cell>
          <cell r="E12" t="str">
            <v>0311</v>
          </cell>
        </row>
        <row r="13">
          <cell r="A13" t="str">
            <v>5010-0340-02</v>
          </cell>
          <cell r="E13" t="str">
            <v>0340-02</v>
          </cell>
        </row>
        <row r="14">
          <cell r="A14" t="str">
            <v>5010-0340-03</v>
          </cell>
          <cell r="E14" t="str">
            <v>0340-03</v>
          </cell>
        </row>
        <row r="15">
          <cell r="A15" t="str">
            <v>5010-0344-02</v>
          </cell>
          <cell r="E15" t="str">
            <v>0344-02</v>
          </cell>
        </row>
        <row r="16">
          <cell r="A16" t="str">
            <v>5010-0355</v>
          </cell>
          <cell r="E16" t="str">
            <v>0355</v>
          </cell>
        </row>
        <row r="17">
          <cell r="A17" t="str">
            <v>5010-0362-07</v>
          </cell>
          <cell r="E17" t="str">
            <v>0362-07</v>
          </cell>
        </row>
        <row r="18">
          <cell r="A18" t="str">
            <v>5010-0395-03</v>
          </cell>
          <cell r="E18" t="str">
            <v>0395-03</v>
          </cell>
        </row>
        <row r="19">
          <cell r="A19" t="str">
            <v>5010-0475-42</v>
          </cell>
          <cell r="E19" t="str">
            <v>0475-42</v>
          </cell>
        </row>
        <row r="20">
          <cell r="A20" t="str">
            <v>5010-0602</v>
          </cell>
          <cell r="E20" t="str">
            <v>0602</v>
          </cell>
        </row>
        <row r="21">
          <cell r="A21" t="str">
            <v>5010-0605</v>
          </cell>
          <cell r="E21" t="str">
            <v>0605</v>
          </cell>
        </row>
        <row r="22">
          <cell r="A22" t="str">
            <v>5010-0800</v>
          </cell>
          <cell r="E22" t="str">
            <v>0800</v>
          </cell>
        </row>
        <row r="23">
          <cell r="A23" t="str">
            <v>5010-0805</v>
          </cell>
          <cell r="E23" t="str">
            <v>0805</v>
          </cell>
        </row>
        <row r="24">
          <cell r="A24" t="str">
            <v>5010-0820</v>
          </cell>
          <cell r="E24" t="str">
            <v>0820</v>
          </cell>
        </row>
        <row r="25">
          <cell r="A25" t="str">
            <v>5010-0852-69</v>
          </cell>
          <cell r="E25" t="str">
            <v>0852-69</v>
          </cell>
        </row>
        <row r="26">
          <cell r="A26" t="str">
            <v>5010-0875-02</v>
          </cell>
          <cell r="E26" t="str">
            <v>0875-02</v>
          </cell>
        </row>
        <row r="27">
          <cell r="A27" t="str">
            <v>5010-0875-42</v>
          </cell>
          <cell r="E27" t="str">
            <v>0875-42</v>
          </cell>
        </row>
        <row r="28">
          <cell r="A28" t="str">
            <v>5010-10200-03</v>
          </cell>
          <cell r="E28" t="str">
            <v>10200-03</v>
          </cell>
        </row>
        <row r="29">
          <cell r="A29" t="str">
            <v>5010-10201</v>
          </cell>
          <cell r="E29" t="str">
            <v>10201</v>
          </cell>
        </row>
        <row r="30">
          <cell r="A30" t="str">
            <v>5010-10210</v>
          </cell>
          <cell r="E30" t="str">
            <v>10210</v>
          </cell>
        </row>
        <row r="31">
          <cell r="A31" t="str">
            <v>5010-10212-14</v>
          </cell>
          <cell r="E31" t="str">
            <v>10212-14</v>
          </cell>
        </row>
        <row r="32">
          <cell r="A32" t="str">
            <v>5010-10221</v>
          </cell>
          <cell r="E32" t="str">
            <v>10221</v>
          </cell>
        </row>
        <row r="33">
          <cell r="A33" t="str">
            <v>5010-10232</v>
          </cell>
          <cell r="E33" t="str">
            <v>10232</v>
          </cell>
        </row>
        <row r="34">
          <cell r="A34" t="str">
            <v>5010-10270</v>
          </cell>
          <cell r="E34" t="str">
            <v>10270</v>
          </cell>
        </row>
        <row r="35">
          <cell r="A35" t="str">
            <v>5010-10282</v>
          </cell>
          <cell r="E35" t="str">
            <v>10282</v>
          </cell>
        </row>
        <row r="36">
          <cell r="A36" t="str">
            <v>5010-10301</v>
          </cell>
          <cell r="E36" t="str">
            <v>10301</v>
          </cell>
        </row>
        <row r="37">
          <cell r="A37" t="str">
            <v>5010-10302</v>
          </cell>
          <cell r="E37" t="str">
            <v>10302</v>
          </cell>
        </row>
        <row r="38">
          <cell r="A38" t="str">
            <v>5010-10310</v>
          </cell>
          <cell r="E38" t="str">
            <v>10310</v>
          </cell>
        </row>
        <row r="39">
          <cell r="A39" t="str">
            <v>5010-10311</v>
          </cell>
          <cell r="E39" t="str">
            <v>10311</v>
          </cell>
        </row>
        <row r="40">
          <cell r="A40" t="str">
            <v>5010-10312-14</v>
          </cell>
          <cell r="E40" t="str">
            <v>10312-14</v>
          </cell>
        </row>
        <row r="41">
          <cell r="A41" t="str">
            <v>5010-10320</v>
          </cell>
          <cell r="E41" t="str">
            <v>10320</v>
          </cell>
        </row>
        <row r="42">
          <cell r="A42" t="str">
            <v>5010-10330</v>
          </cell>
          <cell r="E42" t="str">
            <v>10330</v>
          </cell>
        </row>
        <row r="43">
          <cell r="A43" t="str">
            <v>5010-10611</v>
          </cell>
          <cell r="E43" t="str">
            <v>10611</v>
          </cell>
        </row>
        <row r="44">
          <cell r="A44" t="str">
            <v>5010-10612</v>
          </cell>
          <cell r="E44" t="str">
            <v>10612</v>
          </cell>
        </row>
        <row r="45">
          <cell r="A45" t="str">
            <v>5010-10621-07</v>
          </cell>
          <cell r="E45" t="str">
            <v>10621-07</v>
          </cell>
        </row>
        <row r="46">
          <cell r="A46" t="str">
            <v>5010-10623-07</v>
          </cell>
          <cell r="E46" t="str">
            <v>10623-07</v>
          </cell>
        </row>
        <row r="47">
          <cell r="A47" t="str">
            <v>5010-10627-07</v>
          </cell>
          <cell r="E47" t="str">
            <v>10627-07</v>
          </cell>
        </row>
        <row r="48">
          <cell r="A48" t="str">
            <v>5010-10628-07</v>
          </cell>
          <cell r="E48" t="str">
            <v>10628-07</v>
          </cell>
        </row>
        <row r="49">
          <cell r="A49" t="str">
            <v>5010-10723</v>
          </cell>
          <cell r="E49" t="str">
            <v>10723</v>
          </cell>
        </row>
        <row r="50">
          <cell r="A50" t="str">
            <v>5010-10725</v>
          </cell>
          <cell r="E50" t="str">
            <v>10725</v>
          </cell>
        </row>
        <row r="51">
          <cell r="A51" t="str">
            <v>5010-10761-07</v>
          </cell>
          <cell r="E51" t="str">
            <v>10761-07</v>
          </cell>
        </row>
        <row r="52">
          <cell r="A52" t="str">
            <v>5010-10763-07</v>
          </cell>
          <cell r="E52" t="str">
            <v>10763-07</v>
          </cell>
        </row>
        <row r="53">
          <cell r="A53" t="str">
            <v>5010-10764-07</v>
          </cell>
          <cell r="E53" t="str">
            <v>10764-07</v>
          </cell>
        </row>
        <row r="54">
          <cell r="A54" t="str">
            <v>5010-10765-07</v>
          </cell>
          <cell r="E54" t="str">
            <v>10765-07</v>
          </cell>
        </row>
        <row r="55">
          <cell r="A55" t="str">
            <v>5010-10766-07</v>
          </cell>
          <cell r="E55" t="str">
            <v>10766-07</v>
          </cell>
        </row>
        <row r="56">
          <cell r="A56" t="str">
            <v>5010-10767-07</v>
          </cell>
          <cell r="E56" t="str">
            <v>10767-07</v>
          </cell>
        </row>
        <row r="57">
          <cell r="A57" t="str">
            <v>5010-10768-07</v>
          </cell>
          <cell r="E57" t="str">
            <v>10768-07</v>
          </cell>
        </row>
        <row r="58">
          <cell r="A58" t="str">
            <v>5010-10770-30</v>
          </cell>
          <cell r="E58" t="str">
            <v>10770-30</v>
          </cell>
        </row>
        <row r="59">
          <cell r="A59" t="str">
            <v>5010-10771-08</v>
          </cell>
          <cell r="E59" t="str">
            <v>10771-08</v>
          </cell>
        </row>
        <row r="60">
          <cell r="A60" t="str">
            <v>5010-10772-05</v>
          </cell>
          <cell r="E60" t="str">
            <v>10772-05</v>
          </cell>
        </row>
        <row r="61">
          <cell r="A61" t="str">
            <v>5010-10773-60</v>
          </cell>
          <cell r="E61" t="str">
            <v>10773-60</v>
          </cell>
        </row>
        <row r="62">
          <cell r="A62" t="str">
            <v>5010-11000-03</v>
          </cell>
          <cell r="E62" t="str">
            <v>11000-03</v>
          </cell>
        </row>
        <row r="63">
          <cell r="A63" t="str">
            <v>5010-1100GR-004</v>
          </cell>
          <cell r="E63" t="str">
            <v>1100GR-004</v>
          </cell>
        </row>
        <row r="64">
          <cell r="A64" t="str">
            <v>5010-11020-03</v>
          </cell>
          <cell r="E64" t="str">
            <v>11020-03</v>
          </cell>
        </row>
        <row r="65">
          <cell r="A65" t="str">
            <v>5010-11030-03</v>
          </cell>
          <cell r="E65" t="str">
            <v>11030-03</v>
          </cell>
        </row>
        <row r="66">
          <cell r="A66" t="str">
            <v>5010-1108</v>
          </cell>
          <cell r="E66" t="str">
            <v>1108</v>
          </cell>
        </row>
        <row r="67">
          <cell r="A67" t="str">
            <v>5010-1112</v>
          </cell>
          <cell r="E67" t="str">
            <v>1112</v>
          </cell>
        </row>
        <row r="68">
          <cell r="A68" t="str">
            <v>5010-11789</v>
          </cell>
          <cell r="E68" t="str">
            <v>11789</v>
          </cell>
        </row>
        <row r="69">
          <cell r="A69" t="str">
            <v>5010-11799</v>
          </cell>
          <cell r="E69" t="str">
            <v>11799</v>
          </cell>
        </row>
        <row r="70">
          <cell r="A70" t="str">
            <v>5010-1202</v>
          </cell>
          <cell r="E70" t="str">
            <v>1202</v>
          </cell>
        </row>
        <row r="71">
          <cell r="A71" t="str">
            <v>5010-1205</v>
          </cell>
          <cell r="E71" t="str">
            <v>1205</v>
          </cell>
        </row>
        <row r="72">
          <cell r="A72" t="str">
            <v>5010-1252</v>
          </cell>
          <cell r="E72" t="str">
            <v>1252</v>
          </cell>
        </row>
        <row r="73">
          <cell r="A73" t="str">
            <v>5010-1410FG-069</v>
          </cell>
          <cell r="E73" t="str">
            <v>1410FG-069</v>
          </cell>
        </row>
        <row r="74">
          <cell r="A74" t="str">
            <v>5010-1600GR-004</v>
          </cell>
          <cell r="E74" t="str">
            <v>1600GR-004</v>
          </cell>
        </row>
        <row r="75">
          <cell r="A75" t="str">
            <v>5010-1800</v>
          </cell>
          <cell r="E75" t="str">
            <v>1800</v>
          </cell>
        </row>
        <row r="76">
          <cell r="A76" t="str">
            <v>5010-1805</v>
          </cell>
          <cell r="E76" t="str">
            <v>1805</v>
          </cell>
        </row>
        <row r="77">
          <cell r="A77" t="str">
            <v>5010-2205</v>
          </cell>
          <cell r="E77" t="str">
            <v>2205</v>
          </cell>
        </row>
        <row r="78">
          <cell r="A78" t="str">
            <v>5010-2216GR-076</v>
          </cell>
          <cell r="E78" t="str">
            <v>2216GR-076</v>
          </cell>
        </row>
        <row r="79">
          <cell r="A79" t="str">
            <v>5010-3100GR-004</v>
          </cell>
          <cell r="E79" t="str">
            <v>3100GR-004</v>
          </cell>
        </row>
        <row r="80">
          <cell r="A80" t="str">
            <v>5010-36204818-23</v>
          </cell>
          <cell r="E80" t="str">
            <v>36204818-23</v>
          </cell>
        </row>
        <row r="81">
          <cell r="A81" t="str">
            <v>5010-36236-03</v>
          </cell>
          <cell r="E81" t="str">
            <v>36236-03</v>
          </cell>
        </row>
        <row r="82">
          <cell r="A82" t="str">
            <v>5010-36239</v>
          </cell>
          <cell r="E82" t="str">
            <v>36239</v>
          </cell>
        </row>
        <row r="83">
          <cell r="A83" t="str">
            <v>5010-36333-14</v>
          </cell>
          <cell r="E83" t="str">
            <v>36333-14</v>
          </cell>
        </row>
        <row r="84">
          <cell r="A84" t="str">
            <v>5010-36338</v>
          </cell>
          <cell r="E84" t="str">
            <v>36338</v>
          </cell>
        </row>
        <row r="85">
          <cell r="A85" t="str">
            <v>5010-36339-14</v>
          </cell>
          <cell r="E85" t="str">
            <v>36339-14</v>
          </cell>
        </row>
        <row r="86">
          <cell r="A86" t="str">
            <v>5010-367197-00</v>
          </cell>
          <cell r="E86" t="str">
            <v>367197-00</v>
          </cell>
        </row>
        <row r="87">
          <cell r="A87" t="str">
            <v>5010-369365</v>
          </cell>
          <cell r="E87" t="str">
            <v>369365</v>
          </cell>
        </row>
        <row r="88">
          <cell r="A88" t="str">
            <v>5010-38310110/C</v>
          </cell>
          <cell r="E88" t="str">
            <v>38310110/C</v>
          </cell>
        </row>
        <row r="89">
          <cell r="A89" t="str">
            <v>5010-38310160/C</v>
          </cell>
          <cell r="E89" t="str">
            <v>38310160/C</v>
          </cell>
        </row>
        <row r="90">
          <cell r="A90" t="str">
            <v>5010-3831089/C</v>
          </cell>
          <cell r="E90" t="str">
            <v>3831089/C</v>
          </cell>
        </row>
        <row r="91">
          <cell r="A91" t="str">
            <v>5010-38508</v>
          </cell>
          <cell r="E91" t="str">
            <v>38508</v>
          </cell>
        </row>
        <row r="92">
          <cell r="A92" t="str">
            <v>5010-38550COR</v>
          </cell>
          <cell r="E92" t="str">
            <v>38550COR</v>
          </cell>
        </row>
        <row r="93">
          <cell r="A93" t="str">
            <v>5010-38550R</v>
          </cell>
          <cell r="E93" t="str">
            <v>38550R</v>
          </cell>
        </row>
        <row r="94">
          <cell r="A94" t="str">
            <v>5010-38559CSB</v>
          </cell>
          <cell r="E94" t="str">
            <v>38559CSB</v>
          </cell>
        </row>
        <row r="95">
          <cell r="A95" t="str">
            <v>5010-38600R</v>
          </cell>
          <cell r="E95" t="str">
            <v>38600R</v>
          </cell>
        </row>
        <row r="96">
          <cell r="A96" t="str">
            <v>5010-38601</v>
          </cell>
          <cell r="E96" t="str">
            <v>38601</v>
          </cell>
        </row>
        <row r="97">
          <cell r="A97" t="str">
            <v>5010-386010</v>
          </cell>
          <cell r="E97" t="str">
            <v>386010</v>
          </cell>
        </row>
        <row r="98">
          <cell r="A98" t="str">
            <v>5010-38820C</v>
          </cell>
          <cell r="E98" t="str">
            <v>38820C</v>
          </cell>
        </row>
        <row r="99">
          <cell r="A99" t="str">
            <v>5010-38830C</v>
          </cell>
          <cell r="E99" t="str">
            <v>38830C</v>
          </cell>
        </row>
        <row r="100">
          <cell r="A100" t="str">
            <v>5010-38835L</v>
          </cell>
          <cell r="E100" t="str">
            <v>38835L</v>
          </cell>
        </row>
        <row r="101">
          <cell r="A101" t="str">
            <v>5010-38835LTT</v>
          </cell>
          <cell r="E101" t="str">
            <v>38835LTT</v>
          </cell>
        </row>
        <row r="102">
          <cell r="A102" t="str">
            <v>5010-38850GEW</v>
          </cell>
          <cell r="E102" t="str">
            <v>38850GEW</v>
          </cell>
        </row>
        <row r="103">
          <cell r="A103" t="str">
            <v>5010-40001</v>
          </cell>
          <cell r="E103" t="str">
            <v>40001</v>
          </cell>
        </row>
        <row r="104">
          <cell r="A104" t="str">
            <v>5010-40006-02</v>
          </cell>
          <cell r="E104" t="str">
            <v>40006-02</v>
          </cell>
        </row>
        <row r="105">
          <cell r="A105" t="str">
            <v>5010-40007</v>
          </cell>
          <cell r="E105" t="str">
            <v>40007</v>
          </cell>
        </row>
        <row r="106">
          <cell r="A106" t="str">
            <v>5010-40008</v>
          </cell>
          <cell r="E106" t="str">
            <v>40008</v>
          </cell>
        </row>
        <row r="107">
          <cell r="A107" t="str">
            <v>5010-40020</v>
          </cell>
          <cell r="E107" t="str">
            <v>40020</v>
          </cell>
        </row>
        <row r="108">
          <cell r="A108" t="str">
            <v>5010-40025</v>
          </cell>
          <cell r="E108" t="str">
            <v>40025</v>
          </cell>
        </row>
        <row r="109">
          <cell r="A109" t="str">
            <v>5010-40069</v>
          </cell>
          <cell r="E109" t="str">
            <v>40069</v>
          </cell>
        </row>
        <row r="110">
          <cell r="A110" t="str">
            <v>5010-40072</v>
          </cell>
          <cell r="E110" t="str">
            <v>40072</v>
          </cell>
        </row>
        <row r="111">
          <cell r="A111" t="str">
            <v>5010-4008200</v>
          </cell>
          <cell r="E111" t="str">
            <v>4008200</v>
          </cell>
        </row>
        <row r="112">
          <cell r="A112" t="str">
            <v>5010-40114</v>
          </cell>
          <cell r="E112" t="str">
            <v>40114</v>
          </cell>
        </row>
        <row r="113">
          <cell r="A113" t="str">
            <v>5010-40146</v>
          </cell>
          <cell r="E113" t="str">
            <v>40146</v>
          </cell>
        </row>
        <row r="114">
          <cell r="A114" t="str">
            <v>5010-40153</v>
          </cell>
          <cell r="E114" t="str">
            <v>40153</v>
          </cell>
        </row>
        <row r="115">
          <cell r="A115" t="str">
            <v>5010-4022501</v>
          </cell>
          <cell r="E115" t="str">
            <v>4022501</v>
          </cell>
        </row>
        <row r="116">
          <cell r="A116" t="str">
            <v>5010-40236</v>
          </cell>
          <cell r="E116" t="str">
            <v>40236</v>
          </cell>
        </row>
        <row r="117">
          <cell r="A117" t="str">
            <v>5010-4026100</v>
          </cell>
          <cell r="E117" t="str">
            <v>4026100</v>
          </cell>
        </row>
        <row r="118">
          <cell r="A118" t="str">
            <v>5010-40291</v>
          </cell>
          <cell r="E118" t="str">
            <v>40291</v>
          </cell>
        </row>
        <row r="119">
          <cell r="A119" t="str">
            <v>5010-40340</v>
          </cell>
          <cell r="E119" t="str">
            <v>40340</v>
          </cell>
        </row>
        <row r="120">
          <cell r="A120" t="str">
            <v>5010-40352-05</v>
          </cell>
          <cell r="E120" t="str">
            <v>40352-05</v>
          </cell>
        </row>
        <row r="121">
          <cell r="A121" t="str">
            <v>5010-40370</v>
          </cell>
          <cell r="E121" t="str">
            <v>40370</v>
          </cell>
        </row>
        <row r="122">
          <cell r="A122" t="str">
            <v>5010-40373</v>
          </cell>
          <cell r="E122" t="str">
            <v>40373</v>
          </cell>
        </row>
        <row r="123">
          <cell r="A123" t="str">
            <v>5010-40391-14</v>
          </cell>
          <cell r="E123" t="str">
            <v>40391-14</v>
          </cell>
        </row>
        <row r="124">
          <cell r="A124" t="str">
            <v>5010-40393</v>
          </cell>
          <cell r="E124" t="str">
            <v>40393</v>
          </cell>
        </row>
        <row r="125">
          <cell r="A125" t="str">
            <v>5010-40398</v>
          </cell>
          <cell r="E125" t="str">
            <v>40398</v>
          </cell>
        </row>
        <row r="126">
          <cell r="A126" t="str">
            <v>5010-40402</v>
          </cell>
          <cell r="E126" t="str">
            <v>40402</v>
          </cell>
        </row>
        <row r="127">
          <cell r="A127" t="str">
            <v>5010-40500</v>
          </cell>
          <cell r="E127" t="str">
            <v>40500</v>
          </cell>
        </row>
        <row r="128">
          <cell r="A128" t="str">
            <v>5010-40501-04</v>
          </cell>
          <cell r="E128" t="str">
            <v>40501-04</v>
          </cell>
        </row>
        <row r="129">
          <cell r="A129" t="str">
            <v>5010-40501-05</v>
          </cell>
          <cell r="E129" t="str">
            <v>40501-05</v>
          </cell>
        </row>
        <row r="130">
          <cell r="A130" t="str">
            <v>5010-40521-25</v>
          </cell>
          <cell r="E130" t="str">
            <v>40521-25</v>
          </cell>
        </row>
        <row r="131">
          <cell r="A131" t="str">
            <v>5010-40541-02</v>
          </cell>
          <cell r="E131" t="str">
            <v>40541-02</v>
          </cell>
        </row>
        <row r="132">
          <cell r="A132" t="str">
            <v>5010-40541-14</v>
          </cell>
          <cell r="E132" t="str">
            <v>40541-14</v>
          </cell>
        </row>
        <row r="133">
          <cell r="A133" t="str">
            <v>5010-40561</v>
          </cell>
          <cell r="E133" t="str">
            <v>40561</v>
          </cell>
        </row>
        <row r="134">
          <cell r="A134" t="str">
            <v>5010-40581</v>
          </cell>
          <cell r="E134" t="str">
            <v>40581</v>
          </cell>
        </row>
        <row r="135">
          <cell r="A135" t="str">
            <v>5010-40673</v>
          </cell>
          <cell r="E135" t="str">
            <v>40673</v>
          </cell>
        </row>
        <row r="136">
          <cell r="A136" t="str">
            <v>5010-40676</v>
          </cell>
          <cell r="E136" t="str">
            <v>40676</v>
          </cell>
        </row>
        <row r="137">
          <cell r="A137" t="str">
            <v>5010-40710</v>
          </cell>
          <cell r="E137" t="str">
            <v>40710</v>
          </cell>
        </row>
        <row r="138">
          <cell r="A138" t="str">
            <v>5010-40712</v>
          </cell>
          <cell r="E138" t="str">
            <v>40712</v>
          </cell>
        </row>
        <row r="139">
          <cell r="A139" t="str">
            <v>5010-40735</v>
          </cell>
          <cell r="E139" t="str">
            <v>40735</v>
          </cell>
        </row>
        <row r="140">
          <cell r="A140" t="str">
            <v>5010-40737-00</v>
          </cell>
          <cell r="E140" t="str">
            <v>40737-00</v>
          </cell>
        </row>
        <row r="141">
          <cell r="A141" t="str">
            <v>5010-4109</v>
          </cell>
          <cell r="E141" t="str">
            <v>4109</v>
          </cell>
        </row>
        <row r="142">
          <cell r="A142" t="str">
            <v>5010-4112-07</v>
          </cell>
          <cell r="E142" t="str">
            <v>4112-07</v>
          </cell>
        </row>
        <row r="143">
          <cell r="A143" t="str">
            <v>5010-41270-00</v>
          </cell>
          <cell r="E143" t="str">
            <v>41270-00</v>
          </cell>
        </row>
        <row r="144">
          <cell r="A144" t="str">
            <v>5010-41520</v>
          </cell>
          <cell r="E144" t="str">
            <v>41520</v>
          </cell>
        </row>
        <row r="145">
          <cell r="A145" t="str">
            <v>5010-43125-07</v>
          </cell>
          <cell r="E145" t="str">
            <v>43125-07</v>
          </cell>
        </row>
        <row r="146">
          <cell r="A146" t="str">
            <v>5010-43134-03</v>
          </cell>
          <cell r="E146" t="str">
            <v>43134-03</v>
          </cell>
        </row>
        <row r="147">
          <cell r="A147" t="str">
            <v>5010-43134-07</v>
          </cell>
          <cell r="E147" t="str">
            <v>43134-07</v>
          </cell>
        </row>
        <row r="148">
          <cell r="A148" t="str">
            <v>5010-4350-03</v>
          </cell>
          <cell r="E148" t="str">
            <v>4350-03</v>
          </cell>
        </row>
        <row r="149">
          <cell r="A149" t="str">
            <v>5010-4350-06</v>
          </cell>
          <cell r="E149" t="str">
            <v>4350-06</v>
          </cell>
        </row>
        <row r="150">
          <cell r="A150" t="str">
            <v>5010-43501</v>
          </cell>
          <cell r="E150" t="str">
            <v>43501</v>
          </cell>
        </row>
        <row r="151">
          <cell r="A151" t="str">
            <v>5010-4355-06</v>
          </cell>
          <cell r="E151" t="str">
            <v>4355-06</v>
          </cell>
        </row>
        <row r="152">
          <cell r="A152" t="str">
            <v>5010-4358-06</v>
          </cell>
          <cell r="E152" t="str">
            <v>4358-06</v>
          </cell>
        </row>
        <row r="153">
          <cell r="A153" t="str">
            <v>5010-4360-06</v>
          </cell>
          <cell r="E153" t="str">
            <v>4360-06</v>
          </cell>
        </row>
        <row r="154">
          <cell r="A154" t="str">
            <v>5010-4364</v>
          </cell>
          <cell r="E154" t="str">
            <v>4364</v>
          </cell>
        </row>
        <row r="155">
          <cell r="A155" t="str">
            <v>5010-4370-06</v>
          </cell>
          <cell r="E155" t="str">
            <v>4370-06</v>
          </cell>
        </row>
        <row r="156">
          <cell r="A156" t="str">
            <v>5010-43901-03</v>
          </cell>
          <cell r="E156" t="str">
            <v>43901-03</v>
          </cell>
        </row>
        <row r="157">
          <cell r="A157" t="str">
            <v>5010-43903-02</v>
          </cell>
          <cell r="E157" t="str">
            <v>43903-02</v>
          </cell>
        </row>
        <row r="158">
          <cell r="A158" t="str">
            <v>5010-43903-03</v>
          </cell>
          <cell r="E158" t="str">
            <v>43903-03</v>
          </cell>
        </row>
        <row r="159">
          <cell r="A159" t="str">
            <v>5010-43903-42</v>
          </cell>
          <cell r="E159" t="str">
            <v>43903-42</v>
          </cell>
        </row>
        <row r="160">
          <cell r="A160" t="str">
            <v>5010-43905</v>
          </cell>
          <cell r="E160" t="str">
            <v>43905</v>
          </cell>
        </row>
        <row r="161">
          <cell r="A161" t="str">
            <v>5010-43907-03</v>
          </cell>
          <cell r="E161" t="str">
            <v>43907-03</v>
          </cell>
        </row>
        <row r="162">
          <cell r="A162" t="str">
            <v>5010-43907-42</v>
          </cell>
          <cell r="E162" t="str">
            <v>43907-42</v>
          </cell>
        </row>
        <row r="163">
          <cell r="A163" t="str">
            <v>5010-43911/401</v>
          </cell>
          <cell r="E163" t="str">
            <v>43911/401</v>
          </cell>
        </row>
        <row r="164">
          <cell r="A164" t="str">
            <v>5010-43925</v>
          </cell>
          <cell r="E164" t="str">
            <v>43925</v>
          </cell>
        </row>
        <row r="165">
          <cell r="A165" t="str">
            <v>5010-43933-07</v>
          </cell>
          <cell r="E165" t="str">
            <v>43933-07</v>
          </cell>
        </row>
        <row r="166">
          <cell r="A166" t="str">
            <v>5010-43965</v>
          </cell>
          <cell r="E166" t="str">
            <v>43965</v>
          </cell>
        </row>
        <row r="167">
          <cell r="A167" t="str">
            <v>5010-4416-13</v>
          </cell>
          <cell r="E167" t="str">
            <v>4416-13</v>
          </cell>
        </row>
        <row r="168">
          <cell r="A168" t="str">
            <v>5010-4420-06</v>
          </cell>
          <cell r="E168" t="str">
            <v>4420-06</v>
          </cell>
        </row>
        <row r="169">
          <cell r="A169" t="str">
            <v>5010-4421-03</v>
          </cell>
          <cell r="E169" t="str">
            <v>4421-03</v>
          </cell>
        </row>
        <row r="170">
          <cell r="A170" t="str">
            <v>5010-4421-06</v>
          </cell>
          <cell r="E170" t="str">
            <v>4421-06</v>
          </cell>
        </row>
        <row r="171">
          <cell r="A171" t="str">
            <v>5010-45493</v>
          </cell>
          <cell r="E171" t="str">
            <v>45493</v>
          </cell>
        </row>
        <row r="172">
          <cell r="A172" t="str">
            <v>5010-4550-02</v>
          </cell>
          <cell r="E172" t="str">
            <v>4550-02</v>
          </cell>
        </row>
        <row r="173">
          <cell r="A173" t="str">
            <v>5010-4550-03</v>
          </cell>
          <cell r="E173" t="str">
            <v>4550-03</v>
          </cell>
        </row>
        <row r="174">
          <cell r="A174" t="str">
            <v>5010-4709-06</v>
          </cell>
          <cell r="E174" t="str">
            <v>4709-06</v>
          </cell>
        </row>
        <row r="175">
          <cell r="A175" t="str">
            <v>5010-4712-01</v>
          </cell>
          <cell r="E175" t="str">
            <v>4712-01</v>
          </cell>
        </row>
        <row r="176">
          <cell r="A176" t="str">
            <v>5010-4712-06</v>
          </cell>
          <cell r="E176" t="str">
            <v>4712-06</v>
          </cell>
        </row>
        <row r="177">
          <cell r="A177" t="str">
            <v>5010-4900-13</v>
          </cell>
          <cell r="E177" t="str">
            <v>4900-13</v>
          </cell>
        </row>
        <row r="178">
          <cell r="A178" t="str">
            <v>5010-49500-07</v>
          </cell>
          <cell r="E178" t="str">
            <v>49500-07</v>
          </cell>
        </row>
        <row r="179">
          <cell r="A179" t="str">
            <v>5010-49501-07</v>
          </cell>
          <cell r="E179" t="str">
            <v>49501-07</v>
          </cell>
        </row>
        <row r="180">
          <cell r="A180" t="str">
            <v>5010-49503-07</v>
          </cell>
          <cell r="E180" t="str">
            <v>49503-07</v>
          </cell>
        </row>
        <row r="181">
          <cell r="A181" t="str">
            <v>5010-49504-07</v>
          </cell>
          <cell r="E181" t="str">
            <v>49504-07</v>
          </cell>
        </row>
        <row r="182">
          <cell r="A182" t="str">
            <v>5010-49505-07</v>
          </cell>
          <cell r="E182" t="str">
            <v>49505-07</v>
          </cell>
        </row>
        <row r="183">
          <cell r="A183" t="str">
            <v>5010-509-01</v>
          </cell>
          <cell r="E183" t="str">
            <v>509-01</v>
          </cell>
        </row>
        <row r="184">
          <cell r="A184" t="str">
            <v>5010-509-02</v>
          </cell>
          <cell r="E184" t="str">
            <v>509-02</v>
          </cell>
        </row>
        <row r="185">
          <cell r="A185" t="str">
            <v>5010-509-03</v>
          </cell>
          <cell r="E185" t="str">
            <v>509-03</v>
          </cell>
        </row>
        <row r="186">
          <cell r="A186" t="str">
            <v>5010-509-06</v>
          </cell>
          <cell r="E186" t="str">
            <v>509-06</v>
          </cell>
        </row>
        <row r="187">
          <cell r="A187" t="str">
            <v>5010-5216</v>
          </cell>
          <cell r="E187" t="str">
            <v>5216</v>
          </cell>
        </row>
        <row r="188">
          <cell r="A188" t="str">
            <v>5010-5506</v>
          </cell>
          <cell r="E188" t="str">
            <v>5506</v>
          </cell>
        </row>
        <row r="189">
          <cell r="A189" t="str">
            <v>5010-5509</v>
          </cell>
          <cell r="E189" t="str">
            <v>5509</v>
          </cell>
        </row>
        <row r="190">
          <cell r="A190" t="str">
            <v>5010-5517-07</v>
          </cell>
          <cell r="E190" t="str">
            <v>5517-07</v>
          </cell>
        </row>
        <row r="191">
          <cell r="A191" t="str">
            <v>5010-5517-10</v>
          </cell>
          <cell r="E191" t="str">
            <v>5517-10</v>
          </cell>
        </row>
        <row r="192">
          <cell r="A192" t="str">
            <v>5010-5517-48</v>
          </cell>
          <cell r="E192" t="str">
            <v>5517-48</v>
          </cell>
        </row>
        <row r="193">
          <cell r="A193" t="str">
            <v>5010-5536</v>
          </cell>
          <cell r="E193" t="str">
            <v>5536</v>
          </cell>
        </row>
        <row r="194">
          <cell r="A194" t="str">
            <v>5010-5540</v>
          </cell>
          <cell r="E194" t="str">
            <v>5540</v>
          </cell>
        </row>
        <row r="195">
          <cell r="A195" t="str">
            <v>5010-5649-07</v>
          </cell>
          <cell r="E195" t="str">
            <v>5649-07</v>
          </cell>
        </row>
        <row r="196">
          <cell r="A196" t="str">
            <v>5010-5650-07</v>
          </cell>
          <cell r="E196" t="str">
            <v>5650-07</v>
          </cell>
        </row>
        <row r="197">
          <cell r="A197" t="str">
            <v>5010-5651-07</v>
          </cell>
          <cell r="E197" t="str">
            <v>5651-07</v>
          </cell>
        </row>
        <row r="198">
          <cell r="A198" t="str">
            <v>5010-601029</v>
          </cell>
          <cell r="E198" t="str">
            <v>601029</v>
          </cell>
        </row>
        <row r="199">
          <cell r="A199" t="str">
            <v>5010-608216</v>
          </cell>
          <cell r="E199" t="str">
            <v>608216</v>
          </cell>
        </row>
        <row r="200">
          <cell r="A200" t="str">
            <v>5010-609106</v>
          </cell>
          <cell r="E200" t="str">
            <v>609106</v>
          </cell>
        </row>
        <row r="201">
          <cell r="A201" t="str">
            <v>5010-6630</v>
          </cell>
          <cell r="E201" t="str">
            <v>6630</v>
          </cell>
        </row>
        <row r="202">
          <cell r="A202" t="str">
            <v>5010-6640</v>
          </cell>
          <cell r="E202" t="str">
            <v>6640</v>
          </cell>
        </row>
        <row r="203">
          <cell r="A203" t="str">
            <v>5010-6963</v>
          </cell>
          <cell r="E203" t="str">
            <v>6963</v>
          </cell>
        </row>
        <row r="204">
          <cell r="A204" t="str">
            <v>5010-6966</v>
          </cell>
          <cell r="E204" t="str">
            <v>6966</v>
          </cell>
        </row>
        <row r="205">
          <cell r="A205" t="str">
            <v>5010-7208</v>
          </cell>
          <cell r="E205" t="str">
            <v>7208</v>
          </cell>
        </row>
        <row r="206">
          <cell r="A206" t="str">
            <v>5010-7734</v>
          </cell>
          <cell r="E206" t="str">
            <v>7734</v>
          </cell>
        </row>
        <row r="207">
          <cell r="A207" t="str">
            <v>5010-7738</v>
          </cell>
          <cell r="E207" t="str">
            <v>7738</v>
          </cell>
        </row>
        <row r="208">
          <cell r="A208" t="str">
            <v>5010-7739</v>
          </cell>
          <cell r="E208" t="str">
            <v>7739</v>
          </cell>
        </row>
        <row r="209">
          <cell r="A209" t="str">
            <v>5010-8004</v>
          </cell>
          <cell r="E209" t="str">
            <v>8004</v>
          </cell>
        </row>
        <row r="210">
          <cell r="A210" t="str">
            <v>5010-8113</v>
          </cell>
          <cell r="E210" t="str">
            <v>8113</v>
          </cell>
        </row>
        <row r="211">
          <cell r="A211" t="str">
            <v>5010-8622-03</v>
          </cell>
          <cell r="E211" t="str">
            <v>8622-03</v>
          </cell>
        </row>
        <row r="212">
          <cell r="A212" t="str">
            <v>5010-ADD4-01</v>
          </cell>
          <cell r="E212" t="str">
            <v>ADD4-01</v>
          </cell>
        </row>
        <row r="213">
          <cell r="A213" t="str">
            <v>5010-ADSC07</v>
          </cell>
          <cell r="E213" t="str">
            <v>ADSC07</v>
          </cell>
        </row>
        <row r="214">
          <cell r="A214" t="str">
            <v>5010-C2236-14</v>
          </cell>
          <cell r="E214" t="str">
            <v>C2236-14</v>
          </cell>
        </row>
        <row r="215">
          <cell r="A215" t="str">
            <v>5010-C2236H-14</v>
          </cell>
          <cell r="E215" t="str">
            <v>C2236H-14</v>
          </cell>
        </row>
        <row r="216">
          <cell r="A216" t="str">
            <v>5010-C32P1-14</v>
          </cell>
          <cell r="E216" t="str">
            <v>C32P1-14</v>
          </cell>
        </row>
        <row r="217">
          <cell r="A217" t="str">
            <v>5010-CH13</v>
          </cell>
          <cell r="E217" t="str">
            <v>CH13</v>
          </cell>
        </row>
        <row r="218">
          <cell r="A218" t="str">
            <v>5010-CH14</v>
          </cell>
          <cell r="E218" t="str">
            <v>CH14</v>
          </cell>
        </row>
        <row r="219">
          <cell r="A219" t="str">
            <v>5010-CH27</v>
          </cell>
          <cell r="E219" t="str">
            <v>CH27</v>
          </cell>
        </row>
        <row r="220">
          <cell r="A220" t="str">
            <v>5010-CM1030-02</v>
          </cell>
          <cell r="E220" t="str">
            <v>CM1030-02</v>
          </cell>
        </row>
        <row r="221">
          <cell r="A221" t="str">
            <v>5010-CM1030-03</v>
          </cell>
          <cell r="E221" t="str">
            <v>CM1030-03</v>
          </cell>
        </row>
        <row r="222">
          <cell r="A222" t="str">
            <v>5010-CM1033P</v>
          </cell>
          <cell r="E222" t="str">
            <v>CM1033P</v>
          </cell>
        </row>
        <row r="223">
          <cell r="A223" t="str">
            <v>5010-CM1037</v>
          </cell>
          <cell r="E223" t="str">
            <v>CM1037</v>
          </cell>
        </row>
        <row r="224">
          <cell r="A224" t="str">
            <v>5010-CT1216-06</v>
          </cell>
          <cell r="E224" t="str">
            <v>CT1216-06</v>
          </cell>
        </row>
        <row r="225">
          <cell r="A225" t="str">
            <v>5010-GR09RS</v>
          </cell>
          <cell r="E225" t="str">
            <v>GR09RS</v>
          </cell>
        </row>
        <row r="226">
          <cell r="A226" t="str">
            <v>5010-GR10</v>
          </cell>
          <cell r="E226" t="str">
            <v>GR10</v>
          </cell>
        </row>
        <row r="227">
          <cell r="A227" t="str">
            <v>5010-HL7237</v>
          </cell>
          <cell r="E227" t="str">
            <v>HL7237</v>
          </cell>
        </row>
        <row r="228">
          <cell r="A228" t="str">
            <v>5010-HL8285B</v>
          </cell>
          <cell r="E228" t="str">
            <v>HL8285B</v>
          </cell>
        </row>
        <row r="229">
          <cell r="A229" t="str">
            <v>5010-HLA20</v>
          </cell>
          <cell r="E229" t="str">
            <v>HLA20</v>
          </cell>
        </row>
        <row r="230">
          <cell r="A230" t="str">
            <v>5010-IG222</v>
          </cell>
          <cell r="E230" t="str">
            <v>IG222</v>
          </cell>
        </row>
        <row r="231">
          <cell r="A231" t="str">
            <v>5010-LD1001GA</v>
          </cell>
          <cell r="E231" t="str">
            <v>LD1001GA</v>
          </cell>
        </row>
        <row r="232">
          <cell r="A232" t="str">
            <v>5010-LD111VC</v>
          </cell>
          <cell r="E232" t="str">
            <v>LD111VC</v>
          </cell>
        </row>
        <row r="233">
          <cell r="A233" t="str">
            <v>5010-LD235GA</v>
          </cell>
          <cell r="E233" t="str">
            <v>LD235GA</v>
          </cell>
        </row>
        <row r="234">
          <cell r="A234" t="str">
            <v>5010-LD333FA</v>
          </cell>
          <cell r="E234" t="str">
            <v>LD333FA</v>
          </cell>
        </row>
        <row r="235">
          <cell r="A235" t="str">
            <v>5010-LD350N-01</v>
          </cell>
          <cell r="E235" t="str">
            <v>LD350N-01</v>
          </cell>
        </row>
        <row r="236">
          <cell r="A236" t="str">
            <v>5010-LD4CC</v>
          </cell>
          <cell r="E236" t="str">
            <v>LD4CC</v>
          </cell>
        </row>
        <row r="237">
          <cell r="A237" t="str">
            <v>5010-PC140N</v>
          </cell>
          <cell r="E237" t="str">
            <v>PC140N</v>
          </cell>
        </row>
        <row r="238">
          <cell r="A238" t="str">
            <v>5010-PC160N</v>
          </cell>
          <cell r="E238" t="str">
            <v>PC160N</v>
          </cell>
        </row>
        <row r="239">
          <cell r="A239" t="str">
            <v>5010-PC301GA-03</v>
          </cell>
          <cell r="E239" t="str">
            <v>PC301GA-03</v>
          </cell>
        </row>
        <row r="240">
          <cell r="A240" t="str">
            <v>5010-PC600N</v>
          </cell>
          <cell r="E240" t="str">
            <v>PC600N</v>
          </cell>
        </row>
        <row r="241">
          <cell r="A241" t="str">
            <v>5010-PC650</v>
          </cell>
          <cell r="E241" t="str">
            <v>PC650</v>
          </cell>
        </row>
        <row r="242">
          <cell r="A242" t="str">
            <v>5010-PC660</v>
          </cell>
          <cell r="E242" t="str">
            <v>PC660</v>
          </cell>
        </row>
        <row r="243">
          <cell r="A243" t="str">
            <v>5010-PCD205-56</v>
          </cell>
          <cell r="E243" t="str">
            <v>PCD205-56</v>
          </cell>
        </row>
        <row r="244">
          <cell r="A244" t="str">
            <v>5010-PCD205-59</v>
          </cell>
          <cell r="E244" t="str">
            <v>PCD205-59</v>
          </cell>
        </row>
        <row r="245">
          <cell r="A245" t="str">
            <v>5010-PCD211-56</v>
          </cell>
          <cell r="E245" t="str">
            <v>PCD211-56</v>
          </cell>
        </row>
        <row r="246">
          <cell r="A246" t="str">
            <v>5010-PCD308-03</v>
          </cell>
          <cell r="E246" t="str">
            <v>PCD308-03</v>
          </cell>
        </row>
        <row r="247">
          <cell r="A247" t="str">
            <v>5010-PCD500-56</v>
          </cell>
          <cell r="E247" t="str">
            <v>PCD500-56</v>
          </cell>
        </row>
        <row r="248">
          <cell r="A248" t="str">
            <v>5010-PCD500-59</v>
          </cell>
          <cell r="E248" t="str">
            <v>PCD500-59</v>
          </cell>
        </row>
        <row r="249">
          <cell r="A249" t="str">
            <v>5010-PCD596-56</v>
          </cell>
          <cell r="E249" t="str">
            <v>PCD596-56</v>
          </cell>
        </row>
        <row r="250">
          <cell r="A250" t="str">
            <v>5010-PCD700-56</v>
          </cell>
          <cell r="E250" t="str">
            <v>PCD700-56</v>
          </cell>
        </row>
        <row r="251">
          <cell r="A251" t="str">
            <v>5010-PLQ-09</v>
          </cell>
          <cell r="E251" t="str">
            <v>PLQ-09</v>
          </cell>
        </row>
        <row r="252">
          <cell r="A252" t="str">
            <v>5010-PS501N</v>
          </cell>
          <cell r="E252" t="str">
            <v>PS501N</v>
          </cell>
        </row>
        <row r="253">
          <cell r="A253" t="str">
            <v>5010-PS601N</v>
          </cell>
          <cell r="E253" t="str">
            <v>PS601N</v>
          </cell>
        </row>
        <row r="254">
          <cell r="A254" t="str">
            <v>5010-PS701B</v>
          </cell>
          <cell r="E254" t="str">
            <v>PS701B</v>
          </cell>
        </row>
        <row r="255">
          <cell r="A255" t="str">
            <v>5010-PS802</v>
          </cell>
          <cell r="E255" t="str">
            <v>PS802</v>
          </cell>
        </row>
        <row r="256">
          <cell r="A256" t="str">
            <v>5010-PSD13</v>
          </cell>
          <cell r="E256" t="str">
            <v>PSD13</v>
          </cell>
        </row>
        <row r="257">
          <cell r="A257" t="str">
            <v>5010-PSD21CH</v>
          </cell>
          <cell r="E257" t="str">
            <v>PSD21CH</v>
          </cell>
        </row>
        <row r="258">
          <cell r="A258" t="str">
            <v>5010-RG25-1</v>
          </cell>
          <cell r="E258" t="str">
            <v>RG25-1</v>
          </cell>
        </row>
        <row r="259">
          <cell r="A259" t="str">
            <v>5010-RG25-2</v>
          </cell>
          <cell r="E259" t="str">
            <v>RG25-2</v>
          </cell>
        </row>
        <row r="260">
          <cell r="A260" t="str">
            <v>5010-RG25-4</v>
          </cell>
          <cell r="E260" t="str">
            <v>RG25-4</v>
          </cell>
        </row>
        <row r="261">
          <cell r="A261" t="str">
            <v>5010-RG9-3</v>
          </cell>
          <cell r="E261" t="str">
            <v>RG9-3</v>
          </cell>
        </row>
        <row r="262">
          <cell r="A262" t="str">
            <v>5010-S280-02</v>
          </cell>
          <cell r="E262" t="str">
            <v>S280-02</v>
          </cell>
        </row>
        <row r="263">
          <cell r="A263" t="str">
            <v>5010-S280-03</v>
          </cell>
          <cell r="E263" t="str">
            <v>S280-03</v>
          </cell>
        </row>
        <row r="264">
          <cell r="A264" t="str">
            <v>5010-S280-42</v>
          </cell>
          <cell r="E264" t="str">
            <v>S280-42</v>
          </cell>
        </row>
        <row r="265">
          <cell r="A265" t="str">
            <v>5010-S280-69</v>
          </cell>
          <cell r="E265" t="str">
            <v>S280-69</v>
          </cell>
        </row>
        <row r="266">
          <cell r="A266" t="str">
            <v>5010-S282-02</v>
          </cell>
          <cell r="E266" t="str">
            <v>S282-02</v>
          </cell>
        </row>
        <row r="267">
          <cell r="A267" t="str">
            <v>5010-S285-02</v>
          </cell>
          <cell r="E267" t="str">
            <v>S285-02</v>
          </cell>
        </row>
        <row r="268">
          <cell r="A268" t="str">
            <v>5010-S285-03</v>
          </cell>
          <cell r="E268" t="str">
            <v>S285-03</v>
          </cell>
        </row>
        <row r="269">
          <cell r="A269" t="str">
            <v>5010-S285-14</v>
          </cell>
          <cell r="E269" t="str">
            <v>S285-14</v>
          </cell>
        </row>
        <row r="270">
          <cell r="A270" t="str">
            <v>5010-S285-42</v>
          </cell>
          <cell r="E270" t="str">
            <v>S285-42</v>
          </cell>
        </row>
        <row r="271">
          <cell r="A271" t="str">
            <v>5010-S285-52</v>
          </cell>
          <cell r="E271" t="str">
            <v>S285-52</v>
          </cell>
        </row>
        <row r="272">
          <cell r="A272" t="str">
            <v>5010-S285-69</v>
          </cell>
          <cell r="E272" t="str">
            <v>S285-69</v>
          </cell>
        </row>
        <row r="273">
          <cell r="A273" t="str">
            <v>5010-S286-03</v>
          </cell>
          <cell r="E273" t="str">
            <v>S286-03</v>
          </cell>
        </row>
        <row r="274">
          <cell r="A274" t="str">
            <v>5010-S286-42</v>
          </cell>
          <cell r="E274" t="str">
            <v>S286-42</v>
          </cell>
        </row>
        <row r="275">
          <cell r="A275" t="str">
            <v>5010-S287-02</v>
          </cell>
          <cell r="E275" t="str">
            <v>S287-02</v>
          </cell>
        </row>
        <row r="276">
          <cell r="A276" t="str">
            <v>5010-S287-03</v>
          </cell>
          <cell r="E276" t="str">
            <v>S287-03</v>
          </cell>
        </row>
        <row r="277">
          <cell r="A277" t="str">
            <v>5010-S287-42</v>
          </cell>
          <cell r="E277" t="str">
            <v>S287-42</v>
          </cell>
        </row>
        <row r="278">
          <cell r="A278" t="str">
            <v>5010-SC26</v>
          </cell>
          <cell r="E278" t="str">
            <v>SC26</v>
          </cell>
        </row>
        <row r="279">
          <cell r="A279" t="str">
            <v>5010-SC29</v>
          </cell>
          <cell r="E279" t="str">
            <v>SC29</v>
          </cell>
        </row>
        <row r="280">
          <cell r="A280" t="str">
            <v>5010-SC38</v>
          </cell>
          <cell r="E280" t="str">
            <v>SC38</v>
          </cell>
        </row>
        <row r="281">
          <cell r="A281" t="str">
            <v>5010-ST1532</v>
          </cell>
          <cell r="E281" t="str">
            <v>ST1532</v>
          </cell>
        </row>
        <row r="282">
          <cell r="A282" t="str">
            <v>5010-ST1544</v>
          </cell>
          <cell r="E282" t="str">
            <v>ST1544</v>
          </cell>
        </row>
        <row r="283">
          <cell r="A283" t="str">
            <v>5010-ST1556</v>
          </cell>
          <cell r="E283" t="str">
            <v>ST1556</v>
          </cell>
        </row>
        <row r="284">
          <cell r="A284" t="str">
            <v>5010-ST1568</v>
          </cell>
          <cell r="E284" t="str">
            <v>ST1568</v>
          </cell>
        </row>
        <row r="285">
          <cell r="A285" t="str">
            <v>5010-ST1573</v>
          </cell>
          <cell r="E285" t="str">
            <v>ST1573</v>
          </cell>
        </row>
        <row r="286">
          <cell r="A286" t="str">
            <v>5010-ST1587</v>
          </cell>
          <cell r="E286" t="str">
            <v>ST1587</v>
          </cell>
        </row>
        <row r="287">
          <cell r="A287" t="str">
            <v>5010-ST1629</v>
          </cell>
          <cell r="E287" t="str">
            <v>ST1629</v>
          </cell>
        </row>
        <row r="288">
          <cell r="A288" t="str">
            <v>5010-ST1630</v>
          </cell>
          <cell r="E288" t="str">
            <v>ST1630</v>
          </cell>
        </row>
        <row r="289">
          <cell r="A289" t="str">
            <v>5010-TC1826N</v>
          </cell>
          <cell r="E289" t="str">
            <v>TC1826N</v>
          </cell>
        </row>
        <row r="290">
          <cell r="A290" t="str">
            <v>5010-WP26</v>
          </cell>
          <cell r="E290" t="str">
            <v>WP26</v>
          </cell>
        </row>
        <row r="291">
          <cell r="A291" t="str">
            <v>5010-XT10000-01</v>
          </cell>
          <cell r="E291" t="str">
            <v>XT10000-01</v>
          </cell>
        </row>
        <row r="292">
          <cell r="A292" t="str">
            <v>5010-XT10001GA-02</v>
          </cell>
          <cell r="E292" t="str">
            <v>XT10001GA-02</v>
          </cell>
        </row>
        <row r="293">
          <cell r="A293" t="str">
            <v>5010-XT2500-08</v>
          </cell>
          <cell r="E293" t="str">
            <v>XT2500-08</v>
          </cell>
        </row>
        <row r="294">
          <cell r="A294" t="str">
            <v>5010-XT2500-25</v>
          </cell>
          <cell r="E294" t="str">
            <v>XT2500-25</v>
          </cell>
        </row>
        <row r="295">
          <cell r="A295" t="str">
            <v>5010-XT2500-59</v>
          </cell>
          <cell r="E295" t="str">
            <v>XT2500-59</v>
          </cell>
        </row>
        <row r="296">
          <cell r="A296" t="str">
            <v>5010-XT2500-95</v>
          </cell>
          <cell r="E296" t="str">
            <v>XT2500-95</v>
          </cell>
        </row>
        <row r="297">
          <cell r="A297" t="str">
            <v>5010-XT2550GA-02</v>
          </cell>
          <cell r="E297" t="str">
            <v>XT2550GA-02</v>
          </cell>
        </row>
        <row r="298">
          <cell r="A298" t="str">
            <v>5010-XT2550LA-03</v>
          </cell>
          <cell r="E298" t="str">
            <v>XT2550LA-03</v>
          </cell>
        </row>
        <row r="299">
          <cell r="A299" t="str">
            <v>5010-XT5000-59</v>
          </cell>
          <cell r="E299" t="str">
            <v>XT5000-59</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1189"/>
  <sheetViews>
    <sheetView tabSelected="1" topLeftCell="A153" workbookViewId="0">
      <selection activeCell="D116" sqref="D116"/>
    </sheetView>
  </sheetViews>
  <sheetFormatPr defaultRowHeight="15" x14ac:dyDescent="0.25"/>
  <sheetData>
    <row r="1" spans="1:141" x14ac:dyDescent="0.25">
      <c r="A1" t="s">
        <v>0</v>
      </c>
      <c r="B1" t="s">
        <v>5165</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row>
    <row r="2" spans="1:141" x14ac:dyDescent="0.25">
      <c r="A2" t="s">
        <v>140</v>
      </c>
      <c r="B2" t="e">
        <f>_xlfn.XLOOKUP(C2,'[1]Image URL'!$E:$E,'[1]Image URL'!$A:$A)</f>
        <v>#N/A</v>
      </c>
      <c r="C2" t="s">
        <v>141</v>
      </c>
      <c r="D2" t="s">
        <v>142</v>
      </c>
      <c r="E2" t="s">
        <v>143</v>
      </c>
      <c r="F2" t="s">
        <v>144</v>
      </c>
      <c r="G2" t="s">
        <v>145</v>
      </c>
      <c r="H2" t="s">
        <v>146</v>
      </c>
      <c r="I2" t="s">
        <v>147</v>
      </c>
      <c r="J2" t="s">
        <v>148</v>
      </c>
      <c r="K2" t="s">
        <v>149</v>
      </c>
      <c r="L2" t="s">
        <v>150</v>
      </c>
      <c r="M2" t="s">
        <v>151</v>
      </c>
      <c r="N2" t="s">
        <v>152</v>
      </c>
      <c r="O2" t="s">
        <v>153</v>
      </c>
      <c r="P2" t="s">
        <v>154</v>
      </c>
      <c r="Q2" t="s">
        <v>146</v>
      </c>
      <c r="R2" t="s">
        <v>144</v>
      </c>
      <c r="S2" t="s">
        <v>145</v>
      </c>
      <c r="T2" t="s">
        <v>155</v>
      </c>
      <c r="U2" t="s">
        <v>156</v>
      </c>
      <c r="V2" t="s">
        <v>157</v>
      </c>
      <c r="W2">
        <v>77838862407</v>
      </c>
      <c r="X2">
        <v>10077838862404</v>
      </c>
      <c r="Y2" t="s">
        <v>158</v>
      </c>
      <c r="Z2" t="s">
        <v>159</v>
      </c>
      <c r="AA2" t="s">
        <v>160</v>
      </c>
      <c r="AB2" t="s">
        <v>160</v>
      </c>
      <c r="AC2" t="s">
        <v>161</v>
      </c>
      <c r="AD2" t="s">
        <v>162</v>
      </c>
      <c r="AE2" t="s">
        <v>163</v>
      </c>
      <c r="AF2" t="s">
        <v>164</v>
      </c>
      <c r="AG2">
        <v>392410.4</v>
      </c>
      <c r="AH2">
        <v>92.5</v>
      </c>
    </row>
    <row r="3" spans="1:141" x14ac:dyDescent="0.25">
      <c r="A3" t="s">
        <v>165</v>
      </c>
      <c r="B3" t="e">
        <f>_xlfn.XLOOKUP(C3,'[1]Image URL'!$E:$E,'[1]Image URL'!$A:$A)</f>
        <v>#N/A</v>
      </c>
      <c r="C3" t="s">
        <v>166</v>
      </c>
      <c r="D3" t="s">
        <v>167</v>
      </c>
      <c r="E3" t="s">
        <v>168</v>
      </c>
      <c r="I3" t="s">
        <v>147</v>
      </c>
      <c r="J3" t="s">
        <v>148</v>
      </c>
      <c r="K3" t="s">
        <v>169</v>
      </c>
      <c r="L3" t="s">
        <v>170</v>
      </c>
      <c r="M3" t="s">
        <v>171</v>
      </c>
      <c r="N3" t="s">
        <v>172</v>
      </c>
      <c r="O3" t="s">
        <v>173</v>
      </c>
      <c r="Q3" t="s">
        <v>174</v>
      </c>
      <c r="R3" t="s">
        <v>175</v>
      </c>
      <c r="S3" t="s">
        <v>176</v>
      </c>
      <c r="T3" t="s">
        <v>177</v>
      </c>
      <c r="U3" t="s">
        <v>156</v>
      </c>
      <c r="V3" t="s">
        <v>157</v>
      </c>
      <c r="W3">
        <v>77838086803</v>
      </c>
      <c r="X3">
        <v>10077838086800</v>
      </c>
      <c r="Y3" t="s">
        <v>178</v>
      </c>
      <c r="Z3" t="s">
        <v>179</v>
      </c>
      <c r="AA3" t="s">
        <v>180</v>
      </c>
      <c r="AB3" t="s">
        <v>181</v>
      </c>
      <c r="AC3" t="s">
        <v>182</v>
      </c>
      <c r="AD3" t="s">
        <v>183</v>
      </c>
      <c r="AE3" t="s">
        <v>184</v>
      </c>
      <c r="AF3" t="s">
        <v>185</v>
      </c>
      <c r="AG3">
        <v>392410.4</v>
      </c>
      <c r="AH3">
        <v>100</v>
      </c>
      <c r="AI3" t="s">
        <v>186</v>
      </c>
      <c r="AJ3" t="s">
        <v>187</v>
      </c>
      <c r="AK3" t="s">
        <v>188</v>
      </c>
    </row>
    <row r="4" spans="1:141" x14ac:dyDescent="0.25">
      <c r="A4" t="s">
        <v>189</v>
      </c>
      <c r="B4" t="e">
        <f>_xlfn.XLOOKUP(C4,'[1]Image URL'!$E:$E,'[1]Image URL'!$A:$A)</f>
        <v>#N/A</v>
      </c>
      <c r="C4">
        <v>446005</v>
      </c>
      <c r="D4" t="s">
        <v>190</v>
      </c>
      <c r="E4" t="s">
        <v>191</v>
      </c>
      <c r="F4" t="s">
        <v>192</v>
      </c>
      <c r="G4" t="s">
        <v>186</v>
      </c>
      <c r="H4" t="s">
        <v>193</v>
      </c>
      <c r="I4" t="s">
        <v>194</v>
      </c>
      <c r="J4" t="s">
        <v>195</v>
      </c>
      <c r="U4" t="s">
        <v>196</v>
      </c>
      <c r="V4" t="s">
        <v>157</v>
      </c>
      <c r="W4">
        <v>77838509012</v>
      </c>
      <c r="X4">
        <v>10077838009014</v>
      </c>
      <c r="Y4" t="s">
        <v>197</v>
      </c>
      <c r="Z4" t="s">
        <v>198</v>
      </c>
      <c r="AA4" t="s">
        <v>199</v>
      </c>
      <c r="AB4" t="s">
        <v>200</v>
      </c>
      <c r="AC4" t="s">
        <v>201</v>
      </c>
      <c r="AD4" t="s">
        <v>202</v>
      </c>
      <c r="AE4" t="s">
        <v>203</v>
      </c>
      <c r="AF4" t="s">
        <v>204</v>
      </c>
      <c r="AG4">
        <v>392410.4</v>
      </c>
      <c r="AH4">
        <v>70</v>
      </c>
      <c r="AL4" t="s">
        <v>205</v>
      </c>
      <c r="AM4" t="s">
        <v>206</v>
      </c>
    </row>
    <row r="5" spans="1:141" x14ac:dyDescent="0.25">
      <c r="A5" t="s">
        <v>207</v>
      </c>
      <c r="B5" t="e">
        <f>_xlfn.XLOOKUP(C5,'[1]Image URL'!$E:$E,'[1]Image URL'!$A:$A)</f>
        <v>#N/A</v>
      </c>
      <c r="C5" t="s">
        <v>208</v>
      </c>
      <c r="D5" t="s">
        <v>209</v>
      </c>
      <c r="E5" t="s">
        <v>210</v>
      </c>
      <c r="H5" t="s">
        <v>211</v>
      </c>
      <c r="I5" t="s">
        <v>194</v>
      </c>
      <c r="J5" t="s">
        <v>212</v>
      </c>
      <c r="M5" t="s">
        <v>213</v>
      </c>
      <c r="N5" t="s">
        <v>214</v>
      </c>
      <c r="Q5" t="s">
        <v>215</v>
      </c>
      <c r="T5" t="s">
        <v>216</v>
      </c>
      <c r="U5" t="s">
        <v>217</v>
      </c>
      <c r="V5" t="s">
        <v>157</v>
      </c>
      <c r="W5">
        <v>77838027073</v>
      </c>
      <c r="X5">
        <v>10077838027070</v>
      </c>
      <c r="Y5" t="s">
        <v>218</v>
      </c>
      <c r="Z5" t="s">
        <v>219</v>
      </c>
      <c r="AA5" t="s">
        <v>220</v>
      </c>
      <c r="AB5" t="s">
        <v>221</v>
      </c>
      <c r="AC5" t="s">
        <v>222</v>
      </c>
      <c r="AD5" t="s">
        <v>162</v>
      </c>
      <c r="AE5" t="s">
        <v>163</v>
      </c>
      <c r="AF5" t="s">
        <v>164</v>
      </c>
      <c r="AG5">
        <v>392410.4</v>
      </c>
      <c r="AH5">
        <v>85</v>
      </c>
      <c r="AN5" t="s">
        <v>211</v>
      </c>
      <c r="AO5" t="s">
        <v>223</v>
      </c>
      <c r="AP5" t="s">
        <v>224</v>
      </c>
    </row>
    <row r="6" spans="1:141" x14ac:dyDescent="0.25">
      <c r="A6" t="s">
        <v>225</v>
      </c>
      <c r="B6" t="e">
        <f>_xlfn.XLOOKUP(C6,'[1]Image URL'!$E:$E,'[1]Image URL'!$A:$A)</f>
        <v>#N/A</v>
      </c>
      <c r="C6" t="s">
        <v>226</v>
      </c>
      <c r="D6" t="s">
        <v>227</v>
      </c>
      <c r="E6" t="s">
        <v>143</v>
      </c>
      <c r="F6" t="s">
        <v>228</v>
      </c>
      <c r="G6" t="s">
        <v>145</v>
      </c>
      <c r="H6" t="s">
        <v>229</v>
      </c>
      <c r="I6" t="s">
        <v>147</v>
      </c>
      <c r="J6" t="s">
        <v>148</v>
      </c>
      <c r="M6" t="s">
        <v>230</v>
      </c>
      <c r="T6" t="s">
        <v>231</v>
      </c>
      <c r="U6" t="s">
        <v>156</v>
      </c>
      <c r="V6" t="s">
        <v>157</v>
      </c>
      <c r="W6">
        <v>77838862414</v>
      </c>
      <c r="X6">
        <v>10077838862411</v>
      </c>
      <c r="Y6" t="s">
        <v>232</v>
      </c>
      <c r="Z6" t="s">
        <v>159</v>
      </c>
      <c r="AA6" t="s">
        <v>160</v>
      </c>
      <c r="AB6" t="s">
        <v>160</v>
      </c>
      <c r="AC6" t="s">
        <v>233</v>
      </c>
      <c r="AD6" t="s">
        <v>234</v>
      </c>
      <c r="AE6" t="s">
        <v>163</v>
      </c>
      <c r="AF6" t="s">
        <v>235</v>
      </c>
      <c r="AG6">
        <v>392410.4</v>
      </c>
      <c r="AH6">
        <v>100</v>
      </c>
    </row>
    <row r="7" spans="1:141" x14ac:dyDescent="0.25">
      <c r="A7" t="s">
        <v>236</v>
      </c>
      <c r="B7" t="e">
        <f>_xlfn.XLOOKUP(C7,'[1]Image URL'!$E:$E,'[1]Image URL'!$A:$A)</f>
        <v>#N/A</v>
      </c>
      <c r="C7">
        <v>703907</v>
      </c>
      <c r="D7" t="s">
        <v>237</v>
      </c>
      <c r="E7" t="s">
        <v>238</v>
      </c>
      <c r="F7" t="s">
        <v>215</v>
      </c>
      <c r="G7" t="s">
        <v>215</v>
      </c>
      <c r="H7" t="s">
        <v>239</v>
      </c>
      <c r="I7" t="s">
        <v>194</v>
      </c>
      <c r="J7" t="s">
        <v>195</v>
      </c>
      <c r="U7" t="s">
        <v>196</v>
      </c>
      <c r="V7" t="s">
        <v>157</v>
      </c>
      <c r="W7">
        <v>77838205464</v>
      </c>
      <c r="X7">
        <v>10077838005467</v>
      </c>
      <c r="Y7" t="s">
        <v>240</v>
      </c>
      <c r="Z7" t="s">
        <v>241</v>
      </c>
      <c r="AA7" t="s">
        <v>242</v>
      </c>
      <c r="AB7" t="s">
        <v>243</v>
      </c>
      <c r="AC7" t="s">
        <v>244</v>
      </c>
      <c r="AD7" t="s">
        <v>245</v>
      </c>
      <c r="AE7" t="s">
        <v>246</v>
      </c>
      <c r="AF7" t="s">
        <v>164</v>
      </c>
      <c r="AG7">
        <v>392410.4</v>
      </c>
      <c r="AH7">
        <v>125</v>
      </c>
      <c r="AL7" t="s">
        <v>247</v>
      </c>
      <c r="AM7" t="s">
        <v>248</v>
      </c>
      <c r="AQ7" t="s">
        <v>215</v>
      </c>
      <c r="AR7" t="s">
        <v>249</v>
      </c>
      <c r="AS7" t="s">
        <v>217</v>
      </c>
    </row>
    <row r="8" spans="1:141" x14ac:dyDescent="0.25">
      <c r="A8" t="s">
        <v>250</v>
      </c>
      <c r="B8" t="e">
        <f>_xlfn.XLOOKUP(C8,'[1]Image URL'!$E:$E,'[1]Image URL'!$A:$A)</f>
        <v>#N/A</v>
      </c>
      <c r="C8" t="s">
        <v>251</v>
      </c>
      <c r="D8" t="s">
        <v>252</v>
      </c>
      <c r="E8" t="s">
        <v>253</v>
      </c>
      <c r="I8" t="s">
        <v>147</v>
      </c>
      <c r="J8" t="s">
        <v>148</v>
      </c>
      <c r="K8" t="s">
        <v>149</v>
      </c>
      <c r="L8" t="s">
        <v>150</v>
      </c>
      <c r="M8" t="s">
        <v>230</v>
      </c>
      <c r="N8" t="s">
        <v>254</v>
      </c>
      <c r="O8" t="s">
        <v>255</v>
      </c>
      <c r="P8" t="s">
        <v>200</v>
      </c>
      <c r="Q8" t="s">
        <v>229</v>
      </c>
      <c r="R8" t="s">
        <v>228</v>
      </c>
      <c r="S8" t="s">
        <v>145</v>
      </c>
      <c r="T8" t="s">
        <v>231</v>
      </c>
      <c r="U8" t="s">
        <v>156</v>
      </c>
      <c r="V8" t="s">
        <v>157</v>
      </c>
      <c r="W8">
        <v>77838156865</v>
      </c>
      <c r="X8">
        <v>10077838156862</v>
      </c>
      <c r="Y8" t="s">
        <v>232</v>
      </c>
      <c r="Z8" t="s">
        <v>159</v>
      </c>
      <c r="AA8" t="s">
        <v>160</v>
      </c>
      <c r="AB8" t="s">
        <v>160</v>
      </c>
      <c r="AC8" t="s">
        <v>233</v>
      </c>
      <c r="AD8" t="s">
        <v>234</v>
      </c>
      <c r="AE8" t="s">
        <v>163</v>
      </c>
      <c r="AF8" t="s">
        <v>235</v>
      </c>
      <c r="AG8">
        <v>392410.4</v>
      </c>
      <c r="AH8">
        <v>100</v>
      </c>
      <c r="AI8" t="s">
        <v>193</v>
      </c>
      <c r="AK8" t="s">
        <v>229</v>
      </c>
    </row>
    <row r="9" spans="1:141" x14ac:dyDescent="0.25">
      <c r="A9" t="s">
        <v>256</v>
      </c>
      <c r="B9" t="e">
        <f>_xlfn.XLOOKUP(C9,'[1]Image URL'!$E:$E,'[1]Image URL'!$A:$A)</f>
        <v>#N/A</v>
      </c>
      <c r="C9">
        <v>916003</v>
      </c>
      <c r="D9" t="s">
        <v>257</v>
      </c>
      <c r="E9" t="s">
        <v>258</v>
      </c>
      <c r="F9" t="s">
        <v>259</v>
      </c>
      <c r="G9" t="s">
        <v>260</v>
      </c>
      <c r="H9" t="s">
        <v>261</v>
      </c>
      <c r="I9" t="s">
        <v>147</v>
      </c>
      <c r="J9" t="s">
        <v>212</v>
      </c>
      <c r="U9" t="s">
        <v>262</v>
      </c>
      <c r="V9" t="s">
        <v>157</v>
      </c>
      <c r="W9">
        <v>77838123775</v>
      </c>
      <c r="X9">
        <v>10077838123772</v>
      </c>
      <c r="Y9" t="s">
        <v>263</v>
      </c>
      <c r="Z9" t="s">
        <v>264</v>
      </c>
      <c r="AA9" t="s">
        <v>265</v>
      </c>
      <c r="AB9" t="s">
        <v>266</v>
      </c>
      <c r="AC9" t="s">
        <v>267</v>
      </c>
      <c r="AD9" t="s">
        <v>268</v>
      </c>
      <c r="AE9" t="s">
        <v>269</v>
      </c>
      <c r="AF9" t="s">
        <v>268</v>
      </c>
      <c r="AG9">
        <v>940389.60199999996</v>
      </c>
      <c r="AH9">
        <v>150</v>
      </c>
      <c r="AL9" t="s">
        <v>270</v>
      </c>
      <c r="AT9" t="s">
        <v>260</v>
      </c>
      <c r="AU9" t="s">
        <v>261</v>
      </c>
      <c r="AV9" t="s">
        <v>271</v>
      </c>
      <c r="AW9" t="s">
        <v>259</v>
      </c>
      <c r="AX9" t="s">
        <v>272</v>
      </c>
      <c r="AY9" t="s">
        <v>273</v>
      </c>
    </row>
    <row r="10" spans="1:141" x14ac:dyDescent="0.25">
      <c r="A10" t="s">
        <v>274</v>
      </c>
      <c r="B10" t="e">
        <f>_xlfn.XLOOKUP(C10,'[1]Image URL'!$E:$E,'[1]Image URL'!$A:$A)</f>
        <v>#N/A</v>
      </c>
      <c r="C10">
        <v>660503</v>
      </c>
      <c r="D10" t="s">
        <v>275</v>
      </c>
      <c r="E10" t="s">
        <v>276</v>
      </c>
      <c r="F10" t="s">
        <v>277</v>
      </c>
      <c r="G10" t="s">
        <v>278</v>
      </c>
      <c r="H10" t="s">
        <v>279</v>
      </c>
      <c r="I10" t="s">
        <v>147</v>
      </c>
      <c r="J10" t="s">
        <v>280</v>
      </c>
      <c r="U10" t="s">
        <v>281</v>
      </c>
      <c r="V10" t="s">
        <v>282</v>
      </c>
      <c r="W10">
        <v>77838124888</v>
      </c>
      <c r="X10">
        <v>10077838124885</v>
      </c>
      <c r="Y10" t="s">
        <v>283</v>
      </c>
      <c r="Z10" t="s">
        <v>284</v>
      </c>
      <c r="AA10" t="s">
        <v>285</v>
      </c>
      <c r="AB10" t="s">
        <v>286</v>
      </c>
      <c r="AC10" t="s">
        <v>287</v>
      </c>
      <c r="AD10" t="s">
        <v>269</v>
      </c>
      <c r="AE10" t="s">
        <v>269</v>
      </c>
      <c r="AF10" t="s">
        <v>269</v>
      </c>
      <c r="AG10">
        <v>940370.80299999996</v>
      </c>
      <c r="AH10">
        <v>250</v>
      </c>
      <c r="AL10" t="s">
        <v>283</v>
      </c>
      <c r="AZ10" t="s">
        <v>288</v>
      </c>
      <c r="BA10" t="s">
        <v>289</v>
      </c>
      <c r="BB10" t="s">
        <v>279</v>
      </c>
      <c r="BC10" t="s">
        <v>277</v>
      </c>
      <c r="BD10" t="s">
        <v>290</v>
      </c>
      <c r="BE10" t="s">
        <v>291</v>
      </c>
      <c r="BF10" t="s">
        <v>278</v>
      </c>
    </row>
    <row r="11" spans="1:141" x14ac:dyDescent="0.25">
      <c r="A11" t="s">
        <v>292</v>
      </c>
      <c r="B11" t="e">
        <f>_xlfn.XLOOKUP(C11,'[1]Image URL'!$E:$E,'[1]Image URL'!$A:$A)</f>
        <v>#N/A</v>
      </c>
      <c r="C11">
        <v>662001</v>
      </c>
      <c r="D11" t="s">
        <v>293</v>
      </c>
      <c r="E11" t="s">
        <v>294</v>
      </c>
      <c r="F11" t="s">
        <v>295</v>
      </c>
      <c r="G11" t="s">
        <v>192</v>
      </c>
      <c r="H11" t="s">
        <v>201</v>
      </c>
      <c r="I11" t="s">
        <v>147</v>
      </c>
      <c r="J11" t="s">
        <v>280</v>
      </c>
      <c r="U11" t="s">
        <v>281</v>
      </c>
      <c r="V11" t="s">
        <v>282</v>
      </c>
      <c r="W11">
        <v>77838125274</v>
      </c>
      <c r="X11">
        <v>10077838125271</v>
      </c>
      <c r="Y11" t="s">
        <v>296</v>
      </c>
      <c r="Z11" t="s">
        <v>297</v>
      </c>
      <c r="AA11" t="s">
        <v>298</v>
      </c>
      <c r="AB11" t="s">
        <v>299</v>
      </c>
      <c r="AC11" t="s">
        <v>300</v>
      </c>
      <c r="AD11" t="s">
        <v>301</v>
      </c>
      <c r="AE11" t="s">
        <v>302</v>
      </c>
      <c r="AF11" t="s">
        <v>303</v>
      </c>
      <c r="AG11">
        <v>740390.5</v>
      </c>
      <c r="AH11">
        <v>85</v>
      </c>
      <c r="AL11" t="s">
        <v>304</v>
      </c>
    </row>
    <row r="12" spans="1:141" x14ac:dyDescent="0.25">
      <c r="A12" t="s">
        <v>305</v>
      </c>
      <c r="B12" t="e">
        <f>_xlfn.XLOOKUP(C12,'[1]Image URL'!$E:$E,'[1]Image URL'!$A:$A)</f>
        <v>#N/A</v>
      </c>
      <c r="C12">
        <v>220930</v>
      </c>
      <c r="D12" t="s">
        <v>306</v>
      </c>
      <c r="E12" t="s">
        <v>307</v>
      </c>
      <c r="H12" t="s">
        <v>308</v>
      </c>
      <c r="I12" t="s">
        <v>194</v>
      </c>
      <c r="J12" t="s">
        <v>212</v>
      </c>
      <c r="U12" t="s">
        <v>217</v>
      </c>
      <c r="V12" t="s">
        <v>157</v>
      </c>
      <c r="W12">
        <v>77838064528</v>
      </c>
      <c r="X12">
        <v>10077838064525</v>
      </c>
      <c r="Y12" t="s">
        <v>309</v>
      </c>
      <c r="Z12" t="s">
        <v>310</v>
      </c>
      <c r="AA12" t="s">
        <v>311</v>
      </c>
      <c r="AB12" t="s">
        <v>312</v>
      </c>
      <c r="AC12" t="s">
        <v>313</v>
      </c>
      <c r="AD12" t="s">
        <v>314</v>
      </c>
      <c r="AE12" t="s">
        <v>315</v>
      </c>
      <c r="AF12" t="s">
        <v>316</v>
      </c>
      <c r="AG12">
        <v>392410.4</v>
      </c>
      <c r="AH12">
        <v>300</v>
      </c>
      <c r="AM12" t="s">
        <v>317</v>
      </c>
      <c r="AN12" t="s">
        <v>318</v>
      </c>
      <c r="BG12" t="s">
        <v>319</v>
      </c>
    </row>
    <row r="13" spans="1:141" x14ac:dyDescent="0.25">
      <c r="A13" t="s">
        <v>320</v>
      </c>
      <c r="B13" t="e">
        <f>_xlfn.XLOOKUP(C13,'[1]Image URL'!$E:$E,'[1]Image URL'!$A:$A)</f>
        <v>#N/A</v>
      </c>
      <c r="C13" t="s">
        <v>321</v>
      </c>
      <c r="D13" t="s">
        <v>322</v>
      </c>
      <c r="E13" t="s">
        <v>323</v>
      </c>
      <c r="F13" t="s">
        <v>288</v>
      </c>
      <c r="G13" t="s">
        <v>288</v>
      </c>
      <c r="H13" t="s">
        <v>324</v>
      </c>
      <c r="K13" t="s">
        <v>325</v>
      </c>
      <c r="L13" t="s">
        <v>325</v>
      </c>
      <c r="U13" t="s">
        <v>156</v>
      </c>
      <c r="V13" t="s">
        <v>157</v>
      </c>
      <c r="W13">
        <v>77838881132</v>
      </c>
      <c r="X13">
        <v>10077838881139</v>
      </c>
      <c r="Y13" t="s">
        <v>326</v>
      </c>
      <c r="Z13" t="s">
        <v>327</v>
      </c>
      <c r="AA13" t="s">
        <v>328</v>
      </c>
      <c r="AB13" t="s">
        <v>329</v>
      </c>
      <c r="AC13" t="s">
        <v>233</v>
      </c>
      <c r="AD13" t="s">
        <v>162</v>
      </c>
      <c r="AE13" t="s">
        <v>163</v>
      </c>
      <c r="AF13" t="s">
        <v>164</v>
      </c>
      <c r="AG13">
        <v>392410.4</v>
      </c>
      <c r="AH13">
        <v>85</v>
      </c>
      <c r="AI13" t="s">
        <v>330</v>
      </c>
      <c r="AT13" t="s">
        <v>331</v>
      </c>
      <c r="AZ13" t="s">
        <v>332</v>
      </c>
      <c r="BH13" t="s">
        <v>333</v>
      </c>
      <c r="BI13" t="s">
        <v>334</v>
      </c>
    </row>
    <row r="14" spans="1:141" x14ac:dyDescent="0.25">
      <c r="A14" t="s">
        <v>335</v>
      </c>
      <c r="B14" t="e">
        <f>_xlfn.XLOOKUP(C14,'[1]Image URL'!$E:$E,'[1]Image URL'!$A:$A)</f>
        <v>#N/A</v>
      </c>
      <c r="C14">
        <v>460606</v>
      </c>
      <c r="D14" t="s">
        <v>336</v>
      </c>
      <c r="E14" t="s">
        <v>337</v>
      </c>
      <c r="F14" t="s">
        <v>338</v>
      </c>
      <c r="G14" t="s">
        <v>339</v>
      </c>
      <c r="H14" t="s">
        <v>340</v>
      </c>
      <c r="J14" t="s">
        <v>341</v>
      </c>
      <c r="U14" t="s">
        <v>342</v>
      </c>
      <c r="V14" t="s">
        <v>157</v>
      </c>
      <c r="W14">
        <v>77838500613</v>
      </c>
      <c r="X14">
        <v>10077838000615</v>
      </c>
      <c r="Y14" t="s">
        <v>343</v>
      </c>
      <c r="Z14" t="s">
        <v>344</v>
      </c>
      <c r="AA14" t="s">
        <v>345</v>
      </c>
      <c r="AB14" t="s">
        <v>346</v>
      </c>
      <c r="AC14" t="s">
        <v>242</v>
      </c>
      <c r="AD14" t="s">
        <v>347</v>
      </c>
      <c r="AE14" t="s">
        <v>348</v>
      </c>
      <c r="AF14" t="s">
        <v>349</v>
      </c>
      <c r="AG14">
        <v>392410.4</v>
      </c>
      <c r="AH14">
        <v>250</v>
      </c>
      <c r="AL14" t="s">
        <v>350</v>
      </c>
    </row>
    <row r="15" spans="1:141" x14ac:dyDescent="0.25">
      <c r="A15" t="s">
        <v>351</v>
      </c>
      <c r="B15" t="e">
        <f>_xlfn.XLOOKUP(C15,'[1]Image URL'!$E:$E,'[1]Image URL'!$A:$A)</f>
        <v>#N/A</v>
      </c>
      <c r="C15">
        <v>767003</v>
      </c>
      <c r="D15" t="s">
        <v>352</v>
      </c>
      <c r="E15" t="s">
        <v>353</v>
      </c>
      <c r="F15" t="s">
        <v>295</v>
      </c>
      <c r="G15" t="s">
        <v>354</v>
      </c>
      <c r="H15" t="s">
        <v>355</v>
      </c>
      <c r="I15" t="s">
        <v>147</v>
      </c>
      <c r="J15" t="s">
        <v>280</v>
      </c>
      <c r="K15" t="s">
        <v>356</v>
      </c>
      <c r="L15" t="s">
        <v>357</v>
      </c>
      <c r="U15" t="s">
        <v>281</v>
      </c>
      <c r="V15" t="s">
        <v>282</v>
      </c>
      <c r="W15">
        <v>77838071236</v>
      </c>
      <c r="X15">
        <v>10077838071233</v>
      </c>
      <c r="Y15" t="s">
        <v>358</v>
      </c>
      <c r="Z15" t="s">
        <v>359</v>
      </c>
      <c r="AA15" t="s">
        <v>360</v>
      </c>
      <c r="AB15" t="s">
        <v>361</v>
      </c>
      <c r="AC15" t="s">
        <v>362</v>
      </c>
      <c r="AD15" t="s">
        <v>235</v>
      </c>
      <c r="AE15" t="s">
        <v>269</v>
      </c>
      <c r="AF15" t="s">
        <v>235</v>
      </c>
      <c r="AG15">
        <v>940370.80299999996</v>
      </c>
      <c r="AH15">
        <v>250</v>
      </c>
      <c r="AL15" t="s">
        <v>363</v>
      </c>
      <c r="AT15" t="s">
        <v>364</v>
      </c>
      <c r="AW15" t="s">
        <v>295</v>
      </c>
      <c r="AX15" t="s">
        <v>365</v>
      </c>
      <c r="AZ15" t="s">
        <v>288</v>
      </c>
      <c r="BJ15" t="s">
        <v>354</v>
      </c>
      <c r="BK15" t="s">
        <v>366</v>
      </c>
    </row>
    <row r="16" spans="1:141" x14ac:dyDescent="0.25">
      <c r="A16" t="s">
        <v>367</v>
      </c>
      <c r="B16" t="e">
        <f>_xlfn.XLOOKUP(C16,'[1]Image URL'!$E:$E,'[1]Image URL'!$A:$A)</f>
        <v>#N/A</v>
      </c>
      <c r="C16" t="s">
        <v>368</v>
      </c>
      <c r="D16" t="s">
        <v>369</v>
      </c>
      <c r="E16" t="s">
        <v>370</v>
      </c>
      <c r="I16" t="s">
        <v>147</v>
      </c>
      <c r="J16" t="s">
        <v>212</v>
      </c>
      <c r="U16" t="s">
        <v>262</v>
      </c>
      <c r="V16" t="s">
        <v>157</v>
      </c>
      <c r="W16">
        <v>77838227107</v>
      </c>
      <c r="X16">
        <v>10077838027100</v>
      </c>
      <c r="Y16" t="s">
        <v>371</v>
      </c>
      <c r="Z16" t="s">
        <v>372</v>
      </c>
      <c r="AA16" t="s">
        <v>373</v>
      </c>
      <c r="AB16" t="s">
        <v>324</v>
      </c>
      <c r="AC16" t="s">
        <v>374</v>
      </c>
      <c r="AD16" t="s">
        <v>375</v>
      </c>
      <c r="AE16" t="s">
        <v>163</v>
      </c>
      <c r="AF16" t="s">
        <v>314</v>
      </c>
      <c r="AG16">
        <v>392350</v>
      </c>
      <c r="AH16">
        <v>175</v>
      </c>
      <c r="AN16" t="s">
        <v>145</v>
      </c>
    </row>
    <row r="17" spans="1:75" x14ac:dyDescent="0.25">
      <c r="A17" t="s">
        <v>376</v>
      </c>
      <c r="B17" t="e">
        <f>_xlfn.XLOOKUP(C17,'[1]Image URL'!$E:$E,'[1]Image URL'!$A:$A)</f>
        <v>#N/A</v>
      </c>
      <c r="C17">
        <v>934507</v>
      </c>
      <c r="D17" t="s">
        <v>377</v>
      </c>
      <c r="E17" t="s">
        <v>378</v>
      </c>
      <c r="F17" t="s">
        <v>379</v>
      </c>
      <c r="G17" t="s">
        <v>380</v>
      </c>
      <c r="H17" t="s">
        <v>381</v>
      </c>
      <c r="I17" t="s">
        <v>147</v>
      </c>
      <c r="J17" t="s">
        <v>212</v>
      </c>
      <c r="U17" t="s">
        <v>262</v>
      </c>
      <c r="V17" t="s">
        <v>157</v>
      </c>
      <c r="W17">
        <v>77838059357</v>
      </c>
      <c r="X17">
        <v>10077838059354</v>
      </c>
      <c r="Y17" t="s">
        <v>382</v>
      </c>
      <c r="Z17" t="s">
        <v>383</v>
      </c>
      <c r="AA17" t="s">
        <v>384</v>
      </c>
      <c r="AB17" t="s">
        <v>385</v>
      </c>
      <c r="AC17" t="s">
        <v>386</v>
      </c>
      <c r="AD17" t="s">
        <v>204</v>
      </c>
      <c r="AE17" t="s">
        <v>316</v>
      </c>
      <c r="AF17" t="s">
        <v>349</v>
      </c>
      <c r="AG17">
        <v>940399.40800000005</v>
      </c>
      <c r="AH17">
        <v>125</v>
      </c>
      <c r="AL17" t="s">
        <v>387</v>
      </c>
    </row>
    <row r="18" spans="1:75" x14ac:dyDescent="0.25">
      <c r="A18" t="s">
        <v>388</v>
      </c>
      <c r="B18" t="e">
        <f>_xlfn.XLOOKUP(C18,'[1]Image URL'!$E:$E,'[1]Image URL'!$A:$A)</f>
        <v>#N/A</v>
      </c>
      <c r="C18">
        <v>31130</v>
      </c>
      <c r="D18" t="s">
        <v>389</v>
      </c>
      <c r="E18" t="s">
        <v>390</v>
      </c>
      <c r="F18" t="s">
        <v>391</v>
      </c>
      <c r="G18" t="s">
        <v>391</v>
      </c>
      <c r="H18" t="s">
        <v>392</v>
      </c>
      <c r="I18" t="s">
        <v>194</v>
      </c>
      <c r="J18" t="s">
        <v>212</v>
      </c>
      <c r="U18" t="s">
        <v>217</v>
      </c>
      <c r="V18" t="s">
        <v>157</v>
      </c>
      <c r="W18">
        <v>77838227923</v>
      </c>
      <c r="X18">
        <v>10077838027926</v>
      </c>
      <c r="Y18" t="s">
        <v>343</v>
      </c>
      <c r="Z18" t="s">
        <v>393</v>
      </c>
      <c r="AA18" t="s">
        <v>394</v>
      </c>
      <c r="AB18" t="s">
        <v>152</v>
      </c>
      <c r="AC18" t="s">
        <v>395</v>
      </c>
      <c r="AD18" t="s">
        <v>396</v>
      </c>
      <c r="AE18" t="s">
        <v>163</v>
      </c>
      <c r="AF18" t="s">
        <v>268</v>
      </c>
      <c r="AG18">
        <v>392350</v>
      </c>
      <c r="AH18">
        <v>175</v>
      </c>
      <c r="AN18" t="s">
        <v>391</v>
      </c>
    </row>
    <row r="19" spans="1:75" x14ac:dyDescent="0.25">
      <c r="A19" t="s">
        <v>397</v>
      </c>
      <c r="B19" t="e">
        <f>_xlfn.XLOOKUP(C19,'[1]Image URL'!$E:$E,'[1]Image URL'!$A:$A)</f>
        <v>#N/A</v>
      </c>
      <c r="C19">
        <v>900131</v>
      </c>
      <c r="E19" t="s">
        <v>398</v>
      </c>
      <c r="I19" t="s">
        <v>194</v>
      </c>
      <c r="J19" t="s">
        <v>195</v>
      </c>
      <c r="U19" t="s">
        <v>196</v>
      </c>
      <c r="V19" t="s">
        <v>157</v>
      </c>
      <c r="W19">
        <v>77838060384</v>
      </c>
      <c r="X19">
        <v>10077838060381</v>
      </c>
      <c r="Y19" t="s">
        <v>399</v>
      </c>
      <c r="Z19" t="s">
        <v>198</v>
      </c>
      <c r="AA19" t="s">
        <v>400</v>
      </c>
      <c r="AB19" t="s">
        <v>400</v>
      </c>
      <c r="AC19" t="s">
        <v>345</v>
      </c>
      <c r="AD19" t="s">
        <v>401</v>
      </c>
      <c r="AE19" t="s">
        <v>402</v>
      </c>
      <c r="AF19" t="s">
        <v>403</v>
      </c>
      <c r="AG19">
        <v>940399.40800000005</v>
      </c>
      <c r="AH19">
        <v>92.5</v>
      </c>
      <c r="AL19" t="s">
        <v>399</v>
      </c>
    </row>
    <row r="20" spans="1:75" x14ac:dyDescent="0.25">
      <c r="A20" t="s">
        <v>404</v>
      </c>
      <c r="B20" t="e">
        <f>_xlfn.XLOOKUP(C20,'[1]Image URL'!$E:$E,'[1]Image URL'!$A:$A)</f>
        <v>#N/A</v>
      </c>
      <c r="C20">
        <v>432606</v>
      </c>
      <c r="D20" t="s">
        <v>405</v>
      </c>
      <c r="E20" t="s">
        <v>406</v>
      </c>
      <c r="F20" t="s">
        <v>407</v>
      </c>
      <c r="I20" t="s">
        <v>194</v>
      </c>
      <c r="J20" t="s">
        <v>195</v>
      </c>
      <c r="U20" t="s">
        <v>196</v>
      </c>
      <c r="V20" t="s">
        <v>157</v>
      </c>
      <c r="W20">
        <v>77838285244</v>
      </c>
      <c r="X20">
        <v>10077838085247</v>
      </c>
      <c r="Y20" t="s">
        <v>197</v>
      </c>
      <c r="Z20" t="s">
        <v>408</v>
      </c>
      <c r="AA20" t="s">
        <v>409</v>
      </c>
      <c r="AB20" t="s">
        <v>332</v>
      </c>
      <c r="AC20" t="s">
        <v>410</v>
      </c>
      <c r="AD20" t="s">
        <v>162</v>
      </c>
      <c r="AE20" t="s">
        <v>303</v>
      </c>
      <c r="AF20" t="s">
        <v>349</v>
      </c>
      <c r="AG20">
        <v>392410.4</v>
      </c>
      <c r="AH20">
        <v>175</v>
      </c>
      <c r="AM20" t="s">
        <v>411</v>
      </c>
      <c r="AN20" t="s">
        <v>412</v>
      </c>
      <c r="AT20" t="s">
        <v>413</v>
      </c>
      <c r="BL20" t="s">
        <v>414</v>
      </c>
      <c r="BM20" t="s">
        <v>415</v>
      </c>
      <c r="BN20" t="s">
        <v>223</v>
      </c>
      <c r="BO20" t="s">
        <v>416</v>
      </c>
    </row>
    <row r="21" spans="1:75" x14ac:dyDescent="0.25">
      <c r="A21" t="s">
        <v>417</v>
      </c>
      <c r="B21" t="e">
        <f>_xlfn.XLOOKUP(C21,'[1]Image URL'!$E:$E,'[1]Image URL'!$A:$A)</f>
        <v>#N/A</v>
      </c>
      <c r="C21">
        <v>38504</v>
      </c>
      <c r="D21" t="s">
        <v>418</v>
      </c>
      <c r="E21" t="s">
        <v>419</v>
      </c>
      <c r="F21" t="s">
        <v>420</v>
      </c>
      <c r="G21" t="s">
        <v>324</v>
      </c>
      <c r="H21" t="s">
        <v>421</v>
      </c>
      <c r="U21" t="s">
        <v>422</v>
      </c>
      <c r="V21" t="s">
        <v>157</v>
      </c>
      <c r="W21">
        <v>77838148402</v>
      </c>
      <c r="X21">
        <v>10077838148409</v>
      </c>
      <c r="Y21" t="s">
        <v>423</v>
      </c>
      <c r="Z21" t="s">
        <v>424</v>
      </c>
      <c r="AA21" t="s">
        <v>385</v>
      </c>
      <c r="AB21" t="s">
        <v>425</v>
      </c>
      <c r="AC21" t="s">
        <v>425</v>
      </c>
      <c r="AD21" t="s">
        <v>426</v>
      </c>
      <c r="AE21" t="s">
        <v>268</v>
      </c>
      <c r="AF21" t="s">
        <v>302</v>
      </c>
      <c r="AG21">
        <v>842489.9</v>
      </c>
      <c r="AH21">
        <v>125</v>
      </c>
    </row>
    <row r="22" spans="1:75" x14ac:dyDescent="0.25">
      <c r="A22" t="s">
        <v>427</v>
      </c>
      <c r="B22" t="e">
        <f>_xlfn.XLOOKUP(C22,'[1]Image URL'!$E:$E,'[1]Image URL'!$A:$A)</f>
        <v>#N/A</v>
      </c>
      <c r="C22">
        <v>775007</v>
      </c>
      <c r="D22" t="s">
        <v>428</v>
      </c>
      <c r="E22" t="s">
        <v>429</v>
      </c>
      <c r="I22" t="s">
        <v>147</v>
      </c>
      <c r="J22" t="s">
        <v>212</v>
      </c>
      <c r="U22" t="s">
        <v>262</v>
      </c>
      <c r="V22" t="s">
        <v>282</v>
      </c>
      <c r="W22">
        <v>77838106754</v>
      </c>
      <c r="X22">
        <v>10077838106751</v>
      </c>
      <c r="Y22" t="s">
        <v>430</v>
      </c>
      <c r="Z22" t="s">
        <v>431</v>
      </c>
      <c r="AA22" t="s">
        <v>432</v>
      </c>
      <c r="AB22" t="s">
        <v>433</v>
      </c>
      <c r="AC22" t="s">
        <v>332</v>
      </c>
      <c r="AD22" t="s">
        <v>164</v>
      </c>
      <c r="AE22" t="s">
        <v>269</v>
      </c>
      <c r="AF22" t="s">
        <v>164</v>
      </c>
      <c r="AG22">
        <v>940390.5</v>
      </c>
      <c r="AH22">
        <v>65</v>
      </c>
      <c r="AL22" t="s">
        <v>430</v>
      </c>
    </row>
    <row r="23" spans="1:75" x14ac:dyDescent="0.25">
      <c r="A23" t="s">
        <v>434</v>
      </c>
      <c r="B23" t="e">
        <f>_xlfn.XLOOKUP(C23,'[1]Image URL'!$E:$E,'[1]Image URL'!$A:$A)</f>
        <v>#N/A</v>
      </c>
      <c r="C23" t="s">
        <v>435</v>
      </c>
      <c r="D23" t="s">
        <v>436</v>
      </c>
      <c r="E23" t="s">
        <v>437</v>
      </c>
      <c r="F23" t="s">
        <v>438</v>
      </c>
      <c r="G23" t="s">
        <v>439</v>
      </c>
      <c r="H23" t="s">
        <v>440</v>
      </c>
      <c r="I23" t="s">
        <v>147</v>
      </c>
      <c r="J23" t="s">
        <v>212</v>
      </c>
      <c r="U23" t="s">
        <v>262</v>
      </c>
      <c r="V23" t="s">
        <v>157</v>
      </c>
      <c r="W23">
        <v>77838500163</v>
      </c>
      <c r="X23">
        <v>10077838145231</v>
      </c>
      <c r="Y23" t="s">
        <v>441</v>
      </c>
      <c r="Z23" t="s">
        <v>442</v>
      </c>
      <c r="AA23" t="s">
        <v>443</v>
      </c>
      <c r="AB23" t="s">
        <v>444</v>
      </c>
      <c r="AC23" t="s">
        <v>445</v>
      </c>
      <c r="AD23" t="s">
        <v>446</v>
      </c>
      <c r="AE23" t="s">
        <v>235</v>
      </c>
      <c r="AF23" t="s">
        <v>268</v>
      </c>
      <c r="AG23">
        <v>392350</v>
      </c>
      <c r="AH23">
        <v>250</v>
      </c>
    </row>
    <row r="24" spans="1:75" x14ac:dyDescent="0.25">
      <c r="A24" t="s">
        <v>447</v>
      </c>
      <c r="B24" t="e">
        <f>_xlfn.XLOOKUP(C24,'[1]Image URL'!$E:$E,'[1]Image URL'!$A:$A)</f>
        <v>#N/A</v>
      </c>
      <c r="C24">
        <v>38655</v>
      </c>
      <c r="D24" t="s">
        <v>190</v>
      </c>
      <c r="E24" t="s">
        <v>191</v>
      </c>
      <c r="F24" t="s">
        <v>192</v>
      </c>
      <c r="G24" t="s">
        <v>186</v>
      </c>
      <c r="H24" t="s">
        <v>193</v>
      </c>
      <c r="I24" t="s">
        <v>194</v>
      </c>
      <c r="J24" t="s">
        <v>195</v>
      </c>
      <c r="U24" t="s">
        <v>196</v>
      </c>
      <c r="V24" t="s">
        <v>157</v>
      </c>
      <c r="W24">
        <v>77838509012</v>
      </c>
      <c r="X24">
        <v>10077838009014</v>
      </c>
      <c r="Y24" t="s">
        <v>197</v>
      </c>
      <c r="Z24" t="s">
        <v>198</v>
      </c>
      <c r="AA24" t="s">
        <v>199</v>
      </c>
      <c r="AB24" t="s">
        <v>200</v>
      </c>
      <c r="AC24" t="s">
        <v>201</v>
      </c>
      <c r="AD24" t="s">
        <v>202</v>
      </c>
      <c r="AE24" t="s">
        <v>203</v>
      </c>
      <c r="AF24" t="s">
        <v>204</v>
      </c>
      <c r="AG24">
        <v>392410.4</v>
      </c>
      <c r="AH24">
        <v>70</v>
      </c>
      <c r="AL24" t="s">
        <v>205</v>
      </c>
      <c r="AM24" t="s">
        <v>206</v>
      </c>
    </row>
    <row r="25" spans="1:75" x14ac:dyDescent="0.25">
      <c r="A25" t="s">
        <v>448</v>
      </c>
      <c r="B25" t="e">
        <f>_xlfn.XLOOKUP(C25,'[1]Image URL'!$E:$E,'[1]Image URL'!$A:$A)</f>
        <v>#N/A</v>
      </c>
      <c r="C25">
        <v>435503</v>
      </c>
      <c r="D25" t="s">
        <v>449</v>
      </c>
      <c r="E25" t="s">
        <v>450</v>
      </c>
      <c r="H25" t="s">
        <v>451</v>
      </c>
      <c r="U25" t="s">
        <v>422</v>
      </c>
      <c r="V25" t="s">
        <v>157</v>
      </c>
      <c r="W25">
        <v>77838202074</v>
      </c>
      <c r="X25">
        <v>10077838202071</v>
      </c>
      <c r="Y25" t="s">
        <v>452</v>
      </c>
      <c r="Z25" t="s">
        <v>453</v>
      </c>
      <c r="AA25" t="s">
        <v>454</v>
      </c>
      <c r="AB25" t="s">
        <v>454</v>
      </c>
      <c r="AC25" t="s">
        <v>454</v>
      </c>
      <c r="AD25" t="s">
        <v>455</v>
      </c>
      <c r="AE25" t="s">
        <v>315</v>
      </c>
      <c r="AF25" t="s">
        <v>456</v>
      </c>
      <c r="AG25">
        <v>732393.00800000003</v>
      </c>
      <c r="AH25">
        <v>175</v>
      </c>
      <c r="AN25" t="s">
        <v>457</v>
      </c>
      <c r="BP25" t="s">
        <v>458</v>
      </c>
    </row>
    <row r="26" spans="1:75" x14ac:dyDescent="0.25">
      <c r="A26" t="s">
        <v>459</v>
      </c>
      <c r="B26" t="e">
        <f>_xlfn.XLOOKUP(C26,'[1]Image URL'!$E:$E,'[1]Image URL'!$A:$A)</f>
        <v>#N/A</v>
      </c>
      <c r="D26" t="s">
        <v>460</v>
      </c>
      <c r="E26" t="s">
        <v>461</v>
      </c>
      <c r="F26" t="s">
        <v>462</v>
      </c>
      <c r="G26" t="s">
        <v>463</v>
      </c>
      <c r="H26" t="s">
        <v>186</v>
      </c>
      <c r="I26" t="s">
        <v>194</v>
      </c>
      <c r="J26" t="s">
        <v>195</v>
      </c>
      <c r="U26" t="s">
        <v>196</v>
      </c>
      <c r="V26" t="s">
        <v>157</v>
      </c>
      <c r="W26">
        <v>77838516379</v>
      </c>
      <c r="X26">
        <v>10077838016371</v>
      </c>
      <c r="Y26" t="s">
        <v>464</v>
      </c>
      <c r="Z26" t="s">
        <v>465</v>
      </c>
      <c r="AA26" t="s">
        <v>444</v>
      </c>
      <c r="AB26" t="s">
        <v>466</v>
      </c>
      <c r="AC26" t="s">
        <v>345</v>
      </c>
      <c r="AD26" t="s">
        <v>467</v>
      </c>
      <c r="AE26" t="s">
        <v>303</v>
      </c>
      <c r="AF26" t="s">
        <v>303</v>
      </c>
      <c r="AG26">
        <v>392410.4</v>
      </c>
      <c r="AH26">
        <v>300</v>
      </c>
      <c r="AL26" t="s">
        <v>350</v>
      </c>
      <c r="BO26" t="s">
        <v>329</v>
      </c>
    </row>
    <row r="27" spans="1:75" x14ac:dyDescent="0.25">
      <c r="A27" t="s">
        <v>468</v>
      </c>
      <c r="B27" t="e">
        <f>_xlfn.XLOOKUP(C27,'[1]Image URL'!$E:$E,'[1]Image URL'!$A:$A)</f>
        <v>#N/A</v>
      </c>
      <c r="C27">
        <v>447003</v>
      </c>
    </row>
    <row r="28" spans="1:75" x14ac:dyDescent="0.25">
      <c r="A28" t="s">
        <v>469</v>
      </c>
      <c r="B28" t="e">
        <f>_xlfn.XLOOKUP(C28,'[1]Image URL'!$E:$E,'[1]Image URL'!$A:$A)</f>
        <v>#N/A</v>
      </c>
      <c r="C28" t="s">
        <v>482</v>
      </c>
      <c r="D28" t="s">
        <v>470</v>
      </c>
      <c r="E28" t="s">
        <v>471</v>
      </c>
      <c r="F28" t="s">
        <v>472</v>
      </c>
      <c r="G28" t="s">
        <v>186</v>
      </c>
      <c r="H28" t="s">
        <v>193</v>
      </c>
      <c r="I28" t="s">
        <v>194</v>
      </c>
      <c r="J28" t="s">
        <v>195</v>
      </c>
      <c r="U28" t="s">
        <v>196</v>
      </c>
      <c r="V28" t="s">
        <v>157</v>
      </c>
      <c r="W28">
        <v>77838509081</v>
      </c>
      <c r="X28">
        <v>10077838009083</v>
      </c>
      <c r="Y28" t="s">
        <v>473</v>
      </c>
      <c r="Z28" t="s">
        <v>474</v>
      </c>
      <c r="AA28" t="s">
        <v>475</v>
      </c>
      <c r="AB28" t="s">
        <v>476</v>
      </c>
      <c r="AC28" t="s">
        <v>477</v>
      </c>
      <c r="AD28" t="s">
        <v>478</v>
      </c>
      <c r="AE28" t="s">
        <v>479</v>
      </c>
      <c r="AF28" t="s">
        <v>204</v>
      </c>
      <c r="AG28">
        <v>392410.4</v>
      </c>
      <c r="AH28">
        <v>100</v>
      </c>
      <c r="AL28" t="s">
        <v>350</v>
      </c>
      <c r="AM28" t="s">
        <v>480</v>
      </c>
    </row>
    <row r="29" spans="1:75" x14ac:dyDescent="0.25">
      <c r="A29" t="s">
        <v>481</v>
      </c>
      <c r="B29" t="e">
        <f>_xlfn.XLOOKUP(C29,'[1]Image URL'!$E:$E,'[1]Image URL'!$A:$A)</f>
        <v>#N/A</v>
      </c>
      <c r="C29">
        <v>432206</v>
      </c>
      <c r="D29" t="s">
        <v>483</v>
      </c>
      <c r="E29" t="s">
        <v>484</v>
      </c>
      <c r="K29" t="s">
        <v>485</v>
      </c>
      <c r="L29" t="s">
        <v>486</v>
      </c>
      <c r="N29" t="s">
        <v>487</v>
      </c>
      <c r="O29" t="s">
        <v>488</v>
      </c>
      <c r="P29" t="s">
        <v>489</v>
      </c>
      <c r="Q29" t="s">
        <v>332</v>
      </c>
      <c r="R29" t="s">
        <v>490</v>
      </c>
      <c r="S29" t="s">
        <v>491</v>
      </c>
      <c r="U29" t="s">
        <v>156</v>
      </c>
      <c r="V29" t="s">
        <v>157</v>
      </c>
      <c r="W29">
        <v>77838027172</v>
      </c>
      <c r="X29">
        <v>10077838027179</v>
      </c>
      <c r="Y29" t="s">
        <v>492</v>
      </c>
      <c r="Z29" t="s">
        <v>493</v>
      </c>
      <c r="AA29" t="s">
        <v>494</v>
      </c>
      <c r="AB29" t="s">
        <v>495</v>
      </c>
      <c r="AC29" t="s">
        <v>220</v>
      </c>
      <c r="AD29" t="s">
        <v>496</v>
      </c>
      <c r="AE29" t="s">
        <v>164</v>
      </c>
      <c r="AF29" t="s">
        <v>164</v>
      </c>
      <c r="AG29">
        <v>392410.4</v>
      </c>
      <c r="AH29">
        <v>92.5</v>
      </c>
      <c r="AI29" t="s">
        <v>201</v>
      </c>
      <c r="AK29" t="s">
        <v>497</v>
      </c>
      <c r="BQ29" t="s">
        <v>498</v>
      </c>
      <c r="BR29" t="s">
        <v>499</v>
      </c>
    </row>
    <row r="30" spans="1:75" x14ac:dyDescent="0.25">
      <c r="A30" t="s">
        <v>500</v>
      </c>
      <c r="B30" t="e">
        <f>_xlfn.XLOOKUP(C30,'[1]Image URL'!$E:$E,'[1]Image URL'!$A:$A)</f>
        <v>#N/A</v>
      </c>
      <c r="C30" t="s">
        <v>513</v>
      </c>
      <c r="D30" t="s">
        <v>501</v>
      </c>
      <c r="E30" t="s">
        <v>502</v>
      </c>
      <c r="F30" t="s">
        <v>503</v>
      </c>
      <c r="I30" t="s">
        <v>194</v>
      </c>
      <c r="J30" t="s">
        <v>195</v>
      </c>
      <c r="U30" t="s">
        <v>196</v>
      </c>
      <c r="V30" t="s">
        <v>157</v>
      </c>
      <c r="W30">
        <v>77838285206</v>
      </c>
      <c r="X30">
        <v>10077838085209</v>
      </c>
      <c r="Y30" t="s">
        <v>504</v>
      </c>
      <c r="Z30" t="s">
        <v>505</v>
      </c>
      <c r="AA30" t="s">
        <v>506</v>
      </c>
      <c r="AB30" t="s">
        <v>328</v>
      </c>
      <c r="AC30" t="s">
        <v>340</v>
      </c>
      <c r="AD30" t="s">
        <v>396</v>
      </c>
      <c r="AE30" t="s">
        <v>303</v>
      </c>
      <c r="AF30" t="s">
        <v>507</v>
      </c>
      <c r="AG30">
        <v>392410.4</v>
      </c>
      <c r="AH30">
        <v>175</v>
      </c>
      <c r="AM30" t="s">
        <v>508</v>
      </c>
      <c r="BL30" t="s">
        <v>509</v>
      </c>
      <c r="BM30" t="s">
        <v>510</v>
      </c>
      <c r="BO30" t="s">
        <v>511</v>
      </c>
    </row>
    <row r="31" spans="1:75" x14ac:dyDescent="0.25">
      <c r="A31" t="s">
        <v>512</v>
      </c>
      <c r="B31" t="e">
        <f>_xlfn.XLOOKUP(C31,'[1]Image URL'!$E:$E,'[1]Image URL'!$A:$A)</f>
        <v>#N/A</v>
      </c>
      <c r="C31" t="s">
        <v>526</v>
      </c>
      <c r="D31" t="s">
        <v>514</v>
      </c>
      <c r="E31" t="s">
        <v>515</v>
      </c>
      <c r="U31" t="s">
        <v>156</v>
      </c>
      <c r="V31" t="s">
        <v>157</v>
      </c>
      <c r="W31">
        <v>77838165423</v>
      </c>
      <c r="X31">
        <v>10077838165420</v>
      </c>
      <c r="Y31" t="s">
        <v>516</v>
      </c>
      <c r="Z31" t="s">
        <v>517</v>
      </c>
      <c r="AA31" t="s">
        <v>518</v>
      </c>
      <c r="AB31" t="s">
        <v>454</v>
      </c>
      <c r="AC31" t="s">
        <v>519</v>
      </c>
      <c r="AD31" t="s">
        <v>455</v>
      </c>
      <c r="AE31" t="s">
        <v>315</v>
      </c>
      <c r="AF31" t="s">
        <v>456</v>
      </c>
      <c r="AG31">
        <v>392410.4</v>
      </c>
      <c r="AH31">
        <v>125</v>
      </c>
      <c r="AM31" t="s">
        <v>520</v>
      </c>
      <c r="AS31" t="s">
        <v>196</v>
      </c>
      <c r="BS31" t="s">
        <v>521</v>
      </c>
      <c r="BT31" t="s">
        <v>522</v>
      </c>
      <c r="BU31" t="s">
        <v>472</v>
      </c>
      <c r="BV31" t="s">
        <v>523</v>
      </c>
      <c r="BW31" t="s">
        <v>524</v>
      </c>
    </row>
    <row r="32" spans="1:75" x14ac:dyDescent="0.25">
      <c r="A32" t="s">
        <v>525</v>
      </c>
      <c r="B32" t="e">
        <f>_xlfn.XLOOKUP(C32,'[1]Image URL'!$E:$E,'[1]Image URL'!$A:$A)</f>
        <v>#N/A</v>
      </c>
      <c r="C32">
        <v>662103</v>
      </c>
      <c r="D32" t="s">
        <v>527</v>
      </c>
      <c r="E32" t="s">
        <v>528</v>
      </c>
      <c r="F32" t="s">
        <v>529</v>
      </c>
      <c r="G32" t="s">
        <v>175</v>
      </c>
      <c r="H32" t="s">
        <v>530</v>
      </c>
      <c r="I32" t="s">
        <v>147</v>
      </c>
      <c r="J32" t="s">
        <v>148</v>
      </c>
      <c r="K32" t="s">
        <v>531</v>
      </c>
      <c r="L32" t="s">
        <v>532</v>
      </c>
      <c r="M32" t="s">
        <v>533</v>
      </c>
      <c r="N32" t="s">
        <v>534</v>
      </c>
      <c r="O32" t="s">
        <v>535</v>
      </c>
      <c r="P32" t="s">
        <v>536</v>
      </c>
      <c r="Q32" t="s">
        <v>530</v>
      </c>
      <c r="R32" t="s">
        <v>529</v>
      </c>
      <c r="S32" t="s">
        <v>537</v>
      </c>
      <c r="T32" t="s">
        <v>538</v>
      </c>
      <c r="U32" t="s">
        <v>156</v>
      </c>
      <c r="V32" t="s">
        <v>157</v>
      </c>
      <c r="W32">
        <v>77838086780</v>
      </c>
      <c r="X32">
        <v>10077838086787</v>
      </c>
      <c r="Y32" t="s">
        <v>539</v>
      </c>
      <c r="Z32" t="s">
        <v>540</v>
      </c>
      <c r="AA32" t="s">
        <v>541</v>
      </c>
      <c r="AB32" t="s">
        <v>542</v>
      </c>
      <c r="AC32" t="s">
        <v>332</v>
      </c>
      <c r="AD32" t="s">
        <v>203</v>
      </c>
      <c r="AE32" t="s">
        <v>235</v>
      </c>
      <c r="AF32" t="s">
        <v>235</v>
      </c>
      <c r="AG32">
        <v>392410.4</v>
      </c>
      <c r="AH32">
        <v>100</v>
      </c>
      <c r="AI32" t="s">
        <v>186</v>
      </c>
      <c r="AK32" t="s">
        <v>543</v>
      </c>
      <c r="AM32" t="s">
        <v>544</v>
      </c>
    </row>
    <row r="33" spans="1:79" x14ac:dyDescent="0.25">
      <c r="A33" t="s">
        <v>545</v>
      </c>
      <c r="B33" t="e">
        <f>_xlfn.XLOOKUP(C33,'[1]Image URL'!$E:$E,'[1]Image URL'!$A:$A)</f>
        <v>#N/A</v>
      </c>
      <c r="C33">
        <v>446008</v>
      </c>
      <c r="D33" t="s">
        <v>546</v>
      </c>
      <c r="E33" t="s">
        <v>547</v>
      </c>
      <c r="F33" t="s">
        <v>548</v>
      </c>
      <c r="G33" t="s">
        <v>549</v>
      </c>
      <c r="H33" t="s">
        <v>550</v>
      </c>
      <c r="I33" t="s">
        <v>147</v>
      </c>
      <c r="J33" t="s">
        <v>280</v>
      </c>
      <c r="U33" t="s">
        <v>281</v>
      </c>
      <c r="V33" t="s">
        <v>282</v>
      </c>
      <c r="W33">
        <v>77838125311</v>
      </c>
      <c r="X33">
        <v>10077838125318</v>
      </c>
      <c r="Y33" t="s">
        <v>551</v>
      </c>
      <c r="Z33" t="s">
        <v>552</v>
      </c>
      <c r="AA33" t="s">
        <v>553</v>
      </c>
      <c r="AB33" t="s">
        <v>536</v>
      </c>
      <c r="AC33" t="s">
        <v>554</v>
      </c>
      <c r="AD33" t="s">
        <v>555</v>
      </c>
      <c r="AE33" t="s">
        <v>302</v>
      </c>
      <c r="AF33" t="s">
        <v>314</v>
      </c>
      <c r="AG33">
        <v>940390.5</v>
      </c>
      <c r="AH33">
        <v>85</v>
      </c>
      <c r="AL33" t="s">
        <v>556</v>
      </c>
    </row>
    <row r="34" spans="1:79" x14ac:dyDescent="0.25">
      <c r="A34" t="s">
        <v>557</v>
      </c>
      <c r="B34" t="e">
        <f>_xlfn.XLOOKUP(C34,'[1]Image URL'!$E:$E,'[1]Image URL'!$A:$A)</f>
        <v>#N/A</v>
      </c>
      <c r="C34">
        <v>926003</v>
      </c>
      <c r="D34" t="s">
        <v>558</v>
      </c>
      <c r="E34" t="s">
        <v>191</v>
      </c>
      <c r="F34" t="s">
        <v>192</v>
      </c>
      <c r="G34" t="s">
        <v>186</v>
      </c>
      <c r="H34" t="s">
        <v>193</v>
      </c>
      <c r="I34" t="s">
        <v>194</v>
      </c>
      <c r="J34" t="s">
        <v>195</v>
      </c>
      <c r="U34" t="s">
        <v>196</v>
      </c>
      <c r="V34" t="s">
        <v>157</v>
      </c>
      <c r="W34">
        <v>77838579404</v>
      </c>
      <c r="X34">
        <v>10077838079406</v>
      </c>
      <c r="Y34" t="s">
        <v>197</v>
      </c>
      <c r="Z34" t="s">
        <v>198</v>
      </c>
      <c r="AA34" t="s">
        <v>199</v>
      </c>
      <c r="AB34" t="s">
        <v>200</v>
      </c>
      <c r="AC34" t="s">
        <v>201</v>
      </c>
      <c r="AD34" t="s">
        <v>202</v>
      </c>
      <c r="AE34" t="s">
        <v>203</v>
      </c>
      <c r="AF34" t="s">
        <v>204</v>
      </c>
      <c r="AG34">
        <v>392410.4</v>
      </c>
      <c r="AH34">
        <v>70</v>
      </c>
      <c r="AL34" t="s">
        <v>205</v>
      </c>
      <c r="AM34" t="s">
        <v>206</v>
      </c>
    </row>
    <row r="35" spans="1:79" x14ac:dyDescent="0.25">
      <c r="A35" t="s">
        <v>559</v>
      </c>
      <c r="B35" t="e">
        <f>_xlfn.XLOOKUP(C35,'[1]Image URL'!$E:$E,'[1]Image URL'!$A:$A)</f>
        <v>#N/A</v>
      </c>
      <c r="C35">
        <v>772159</v>
      </c>
      <c r="D35" t="s">
        <v>560</v>
      </c>
      <c r="E35" t="s">
        <v>561</v>
      </c>
      <c r="F35" t="s">
        <v>562</v>
      </c>
      <c r="G35" t="s">
        <v>563</v>
      </c>
      <c r="H35" t="s">
        <v>291</v>
      </c>
      <c r="I35" t="s">
        <v>147</v>
      </c>
      <c r="J35" t="s">
        <v>212</v>
      </c>
      <c r="U35" t="s">
        <v>262</v>
      </c>
      <c r="V35" t="s">
        <v>157</v>
      </c>
      <c r="W35">
        <v>77838123812</v>
      </c>
      <c r="X35">
        <v>10077838123819</v>
      </c>
      <c r="Y35" t="s">
        <v>564</v>
      </c>
      <c r="Z35" t="s">
        <v>565</v>
      </c>
      <c r="AA35" t="s">
        <v>385</v>
      </c>
      <c r="AB35" t="s">
        <v>463</v>
      </c>
      <c r="AC35" t="s">
        <v>566</v>
      </c>
      <c r="AD35" t="s">
        <v>314</v>
      </c>
      <c r="AE35" t="s">
        <v>316</v>
      </c>
      <c r="AF35" t="s">
        <v>315</v>
      </c>
      <c r="AG35">
        <v>940389.60199999996</v>
      </c>
      <c r="AH35">
        <v>150</v>
      </c>
      <c r="AL35" t="s">
        <v>567</v>
      </c>
      <c r="AT35" t="s">
        <v>563</v>
      </c>
      <c r="AW35" t="s">
        <v>562</v>
      </c>
      <c r="AX35" t="s">
        <v>568</v>
      </c>
      <c r="AY35" t="s">
        <v>273</v>
      </c>
    </row>
    <row r="36" spans="1:79" x14ac:dyDescent="0.25">
      <c r="A36" t="s">
        <v>569</v>
      </c>
      <c r="B36" t="e">
        <f>_xlfn.XLOOKUP(C36,'[1]Image URL'!$E:$E,'[1]Image URL'!$A:$A)</f>
        <v>#N/A</v>
      </c>
      <c r="C36">
        <v>30107</v>
      </c>
    </row>
    <row r="37" spans="1:79" x14ac:dyDescent="0.25">
      <c r="A37" t="s">
        <v>570</v>
      </c>
      <c r="B37" t="e">
        <f>_xlfn.XLOOKUP(C37,'[1]Image URL'!$E:$E,'[1]Image URL'!$A:$A)</f>
        <v>#N/A</v>
      </c>
      <c r="C37">
        <v>30207</v>
      </c>
    </row>
    <row r="38" spans="1:79" x14ac:dyDescent="0.25">
      <c r="A38" t="s">
        <v>571</v>
      </c>
      <c r="B38" t="e">
        <f>_xlfn.XLOOKUP(C38,'[1]Image URL'!$E:$E,'[1]Image URL'!$A:$A)</f>
        <v>#N/A</v>
      </c>
      <c r="C38">
        <v>445003</v>
      </c>
      <c r="D38" t="s">
        <v>572</v>
      </c>
      <c r="E38" t="s">
        <v>573</v>
      </c>
      <c r="F38" t="s">
        <v>548</v>
      </c>
      <c r="G38" t="s">
        <v>549</v>
      </c>
      <c r="H38" t="s">
        <v>550</v>
      </c>
      <c r="I38" t="s">
        <v>147</v>
      </c>
      <c r="J38" t="s">
        <v>280</v>
      </c>
      <c r="U38" t="s">
        <v>281</v>
      </c>
      <c r="V38" t="s">
        <v>282</v>
      </c>
      <c r="W38">
        <v>77838105665</v>
      </c>
      <c r="X38">
        <v>10077838105662</v>
      </c>
      <c r="Y38" t="s">
        <v>556</v>
      </c>
      <c r="Z38" t="s">
        <v>574</v>
      </c>
      <c r="AA38" t="s">
        <v>575</v>
      </c>
      <c r="AB38" t="s">
        <v>576</v>
      </c>
      <c r="AC38" t="s">
        <v>577</v>
      </c>
      <c r="AD38" t="s">
        <v>402</v>
      </c>
      <c r="AE38" t="s">
        <v>164</v>
      </c>
      <c r="AF38" t="s">
        <v>314</v>
      </c>
      <c r="AG38">
        <v>940390.5</v>
      </c>
      <c r="AH38">
        <v>85</v>
      </c>
      <c r="AL38" t="s">
        <v>556</v>
      </c>
      <c r="BF38" t="s">
        <v>578</v>
      </c>
    </row>
    <row r="39" spans="1:79" x14ac:dyDescent="0.25">
      <c r="A39" t="s">
        <v>579</v>
      </c>
      <c r="B39" t="e">
        <f>_xlfn.XLOOKUP(C39,'[1]Image URL'!$E:$E,'[1]Image URL'!$A:$A)</f>
        <v>#N/A</v>
      </c>
      <c r="C39">
        <v>660103</v>
      </c>
      <c r="D39" t="s">
        <v>580</v>
      </c>
      <c r="E39" t="s">
        <v>581</v>
      </c>
      <c r="F39" t="s">
        <v>582</v>
      </c>
      <c r="G39" t="s">
        <v>582</v>
      </c>
      <c r="H39" t="s">
        <v>583</v>
      </c>
      <c r="J39" t="s">
        <v>212</v>
      </c>
      <c r="U39" t="s">
        <v>584</v>
      </c>
      <c r="V39" t="s">
        <v>157</v>
      </c>
      <c r="W39">
        <v>77838505724</v>
      </c>
      <c r="X39">
        <v>10077838005726</v>
      </c>
      <c r="Y39" t="s">
        <v>585</v>
      </c>
      <c r="Z39" t="s">
        <v>586</v>
      </c>
      <c r="AA39" t="s">
        <v>495</v>
      </c>
      <c r="AB39" t="s">
        <v>587</v>
      </c>
      <c r="AC39" t="s">
        <v>169</v>
      </c>
      <c r="AD39" t="s">
        <v>588</v>
      </c>
      <c r="AE39" t="s">
        <v>349</v>
      </c>
      <c r="AF39" t="s">
        <v>302</v>
      </c>
      <c r="AG39">
        <v>392410.4</v>
      </c>
      <c r="AH39">
        <v>125</v>
      </c>
      <c r="AM39" t="s">
        <v>589</v>
      </c>
      <c r="AS39" t="s">
        <v>217</v>
      </c>
      <c r="BX39" t="s">
        <v>582</v>
      </c>
      <c r="BY39" t="s">
        <v>590</v>
      </c>
    </row>
    <row r="40" spans="1:79" x14ac:dyDescent="0.25">
      <c r="A40" t="s">
        <v>591</v>
      </c>
      <c r="B40" t="e">
        <f>_xlfn.XLOOKUP(C40,'[1]Image URL'!$E:$E,'[1]Image URL'!$A:$A)</f>
        <v>#N/A</v>
      </c>
      <c r="C40">
        <v>917207</v>
      </c>
      <c r="D40" t="s">
        <v>592</v>
      </c>
      <c r="E40" t="s">
        <v>593</v>
      </c>
      <c r="F40" t="s">
        <v>594</v>
      </c>
      <c r="G40" t="s">
        <v>594</v>
      </c>
      <c r="H40" t="s">
        <v>361</v>
      </c>
      <c r="J40" t="s">
        <v>212</v>
      </c>
      <c r="U40" t="s">
        <v>584</v>
      </c>
      <c r="V40" t="s">
        <v>157</v>
      </c>
      <c r="W40">
        <v>77838505656</v>
      </c>
      <c r="X40">
        <v>10077838005658</v>
      </c>
      <c r="Y40" t="s">
        <v>595</v>
      </c>
      <c r="Z40" t="s">
        <v>596</v>
      </c>
      <c r="AA40" t="s">
        <v>597</v>
      </c>
      <c r="AB40" t="s">
        <v>598</v>
      </c>
      <c r="AC40" t="s">
        <v>599</v>
      </c>
      <c r="AD40" t="s">
        <v>600</v>
      </c>
      <c r="AE40" t="s">
        <v>185</v>
      </c>
      <c r="AF40" t="s">
        <v>235</v>
      </c>
      <c r="AG40">
        <v>392410.4</v>
      </c>
      <c r="AH40">
        <v>175</v>
      </c>
      <c r="AM40" t="s">
        <v>601</v>
      </c>
      <c r="AS40" t="s">
        <v>217</v>
      </c>
      <c r="BX40" t="s">
        <v>594</v>
      </c>
      <c r="BY40" t="s">
        <v>602</v>
      </c>
    </row>
    <row r="41" spans="1:79" x14ac:dyDescent="0.25">
      <c r="A41" t="s">
        <v>603</v>
      </c>
      <c r="B41" t="e">
        <f>_xlfn.XLOOKUP(C41,'[1]Image URL'!$E:$E,'[1]Image URL'!$A:$A)</f>
        <v>#N/A</v>
      </c>
      <c r="C41">
        <v>442003</v>
      </c>
      <c r="D41" t="s">
        <v>604</v>
      </c>
      <c r="E41" t="s">
        <v>605</v>
      </c>
      <c r="F41" t="s">
        <v>466</v>
      </c>
      <c r="G41" t="s">
        <v>186</v>
      </c>
      <c r="H41" t="s">
        <v>193</v>
      </c>
      <c r="I41" t="s">
        <v>194</v>
      </c>
      <c r="J41" t="s">
        <v>195</v>
      </c>
      <c r="U41" t="s">
        <v>196</v>
      </c>
      <c r="V41" t="s">
        <v>157</v>
      </c>
      <c r="W41">
        <v>77838509814</v>
      </c>
      <c r="X41">
        <v>10077838009816</v>
      </c>
      <c r="Y41" t="s">
        <v>197</v>
      </c>
      <c r="Z41" t="s">
        <v>198</v>
      </c>
      <c r="AA41" t="s">
        <v>199</v>
      </c>
      <c r="AB41" t="s">
        <v>200</v>
      </c>
      <c r="AC41" t="s">
        <v>201</v>
      </c>
      <c r="AD41" t="s">
        <v>202</v>
      </c>
      <c r="AE41" t="s">
        <v>203</v>
      </c>
      <c r="AF41" t="s">
        <v>204</v>
      </c>
      <c r="AG41">
        <v>392410.4</v>
      </c>
      <c r="AH41">
        <v>70</v>
      </c>
      <c r="AL41" t="s">
        <v>205</v>
      </c>
      <c r="AM41" t="s">
        <v>606</v>
      </c>
    </row>
    <row r="42" spans="1:79" x14ac:dyDescent="0.25">
      <c r="A42" t="s">
        <v>607</v>
      </c>
      <c r="B42" t="e">
        <f>_xlfn.XLOOKUP(C42,'[1]Image URL'!$E:$E,'[1]Image URL'!$A:$A)</f>
        <v>#N/A</v>
      </c>
      <c r="C42">
        <v>300407</v>
      </c>
      <c r="D42" t="s">
        <v>608</v>
      </c>
      <c r="E42" t="s">
        <v>609</v>
      </c>
      <c r="F42" t="s">
        <v>610</v>
      </c>
      <c r="G42" t="s">
        <v>290</v>
      </c>
      <c r="H42" t="s">
        <v>611</v>
      </c>
      <c r="I42" t="s">
        <v>147</v>
      </c>
      <c r="J42" t="s">
        <v>280</v>
      </c>
      <c r="U42" t="s">
        <v>281</v>
      </c>
      <c r="V42" t="s">
        <v>282</v>
      </c>
      <c r="W42">
        <v>77838125083</v>
      </c>
      <c r="X42">
        <v>10077838125080</v>
      </c>
      <c r="Y42" t="s">
        <v>612</v>
      </c>
      <c r="Z42" t="s">
        <v>613</v>
      </c>
      <c r="AA42" t="s">
        <v>614</v>
      </c>
      <c r="AB42" t="s">
        <v>286</v>
      </c>
      <c r="AC42" t="s">
        <v>615</v>
      </c>
      <c r="AD42" t="s">
        <v>269</v>
      </c>
      <c r="AE42" t="s">
        <v>269</v>
      </c>
      <c r="AF42" t="s">
        <v>269</v>
      </c>
      <c r="AG42">
        <v>940370.80299999996</v>
      </c>
      <c r="AH42">
        <v>250</v>
      </c>
      <c r="AL42" t="s">
        <v>616</v>
      </c>
      <c r="AZ42" t="s">
        <v>288</v>
      </c>
      <c r="BZ42" t="s">
        <v>313</v>
      </c>
      <c r="CA42" t="s">
        <v>617</v>
      </c>
    </row>
    <row r="43" spans="1:79" x14ac:dyDescent="0.25">
      <c r="A43" t="s">
        <v>618</v>
      </c>
      <c r="B43" t="e">
        <f>_xlfn.XLOOKUP(C43,'[1]Image URL'!$E:$E,'[1]Image URL'!$A:$A)</f>
        <v>#N/A</v>
      </c>
      <c r="C43">
        <v>1085003</v>
      </c>
      <c r="D43" t="s">
        <v>619</v>
      </c>
      <c r="E43" t="s">
        <v>620</v>
      </c>
      <c r="F43" t="s">
        <v>621</v>
      </c>
      <c r="G43" t="s">
        <v>260</v>
      </c>
      <c r="H43" t="s">
        <v>261</v>
      </c>
      <c r="I43" t="s">
        <v>147</v>
      </c>
      <c r="J43" t="s">
        <v>212</v>
      </c>
      <c r="U43" t="s">
        <v>262</v>
      </c>
      <c r="V43" t="s">
        <v>157</v>
      </c>
      <c r="W43">
        <v>77838061268</v>
      </c>
      <c r="X43">
        <v>10077838061265</v>
      </c>
      <c r="Y43" t="s">
        <v>622</v>
      </c>
      <c r="Z43" t="s">
        <v>623</v>
      </c>
      <c r="AA43" t="s">
        <v>624</v>
      </c>
      <c r="AB43" t="s">
        <v>265</v>
      </c>
      <c r="AC43" t="s">
        <v>188</v>
      </c>
      <c r="AD43" t="s">
        <v>246</v>
      </c>
      <c r="AE43" t="s">
        <v>316</v>
      </c>
      <c r="AF43" t="s">
        <v>185</v>
      </c>
      <c r="AG43">
        <v>940389.60199999996</v>
      </c>
      <c r="AH43">
        <v>150</v>
      </c>
      <c r="AL43" t="s">
        <v>625</v>
      </c>
      <c r="AT43" t="s">
        <v>260</v>
      </c>
      <c r="AU43" t="s">
        <v>261</v>
      </c>
      <c r="AV43" t="s">
        <v>271</v>
      </c>
      <c r="AW43" t="s">
        <v>621</v>
      </c>
      <c r="AX43" t="s">
        <v>626</v>
      </c>
      <c r="AY43" t="s">
        <v>273</v>
      </c>
    </row>
    <row r="44" spans="1:79" x14ac:dyDescent="0.25">
      <c r="A44" t="s">
        <v>627</v>
      </c>
      <c r="B44" t="e">
        <f>_xlfn.XLOOKUP(C44,'[1]Image URL'!$E:$E,'[1]Image URL'!$A:$A)</f>
        <v>#N/A</v>
      </c>
      <c r="C44">
        <v>38310</v>
      </c>
    </row>
    <row r="45" spans="1:79" x14ac:dyDescent="0.25">
      <c r="A45" t="s">
        <v>628</v>
      </c>
      <c r="B45" t="e">
        <f>_xlfn.XLOOKUP(C45,'[1]Image URL'!$E:$E,'[1]Image URL'!$A:$A)</f>
        <v>#N/A</v>
      </c>
      <c r="C45">
        <v>446002</v>
      </c>
      <c r="D45" t="s">
        <v>629</v>
      </c>
      <c r="E45" t="s">
        <v>630</v>
      </c>
      <c r="F45" t="s">
        <v>311</v>
      </c>
      <c r="G45" t="s">
        <v>186</v>
      </c>
      <c r="H45" t="s">
        <v>193</v>
      </c>
      <c r="I45" t="s">
        <v>194</v>
      </c>
      <c r="J45" t="s">
        <v>195</v>
      </c>
      <c r="U45" t="s">
        <v>196</v>
      </c>
      <c r="V45" t="s">
        <v>157</v>
      </c>
      <c r="W45">
        <v>77838587119</v>
      </c>
      <c r="X45">
        <v>10077838087111</v>
      </c>
      <c r="Y45" t="s">
        <v>631</v>
      </c>
      <c r="Z45" t="s">
        <v>632</v>
      </c>
      <c r="AA45" t="s">
        <v>633</v>
      </c>
      <c r="AB45" t="s">
        <v>152</v>
      </c>
      <c r="AC45" t="s">
        <v>333</v>
      </c>
      <c r="AD45" t="s">
        <v>634</v>
      </c>
      <c r="AE45" t="s">
        <v>635</v>
      </c>
      <c r="AF45" t="s">
        <v>349</v>
      </c>
      <c r="AG45">
        <v>392410.4</v>
      </c>
      <c r="AH45">
        <v>100</v>
      </c>
      <c r="AL45" t="s">
        <v>636</v>
      </c>
      <c r="AM45" t="s">
        <v>508</v>
      </c>
    </row>
    <row r="46" spans="1:79" x14ac:dyDescent="0.25">
      <c r="A46" t="s">
        <v>637</v>
      </c>
      <c r="B46" t="e">
        <f>_xlfn.XLOOKUP(C46,'[1]Image URL'!$E:$E,'[1]Image URL'!$A:$A)</f>
        <v>#N/A</v>
      </c>
      <c r="C46">
        <v>60230</v>
      </c>
    </row>
    <row r="47" spans="1:79" x14ac:dyDescent="0.25">
      <c r="A47" t="s">
        <v>638</v>
      </c>
      <c r="B47" t="e">
        <f>_xlfn.XLOOKUP(C47,'[1]Image URL'!$E:$E,'[1]Image URL'!$A:$A)</f>
        <v>#N/A</v>
      </c>
      <c r="C47" t="s">
        <v>684</v>
      </c>
    </row>
    <row r="48" spans="1:79" x14ac:dyDescent="0.25">
      <c r="A48" t="s">
        <v>639</v>
      </c>
      <c r="B48" t="e">
        <f>_xlfn.XLOOKUP(C48,'[1]Image URL'!$E:$E,'[1]Image URL'!$A:$A)</f>
        <v>#N/A</v>
      </c>
      <c r="C48">
        <v>31603</v>
      </c>
      <c r="D48" t="s">
        <v>470</v>
      </c>
      <c r="E48" t="s">
        <v>471</v>
      </c>
      <c r="F48" t="s">
        <v>472</v>
      </c>
      <c r="G48" t="s">
        <v>186</v>
      </c>
      <c r="H48" t="s">
        <v>193</v>
      </c>
      <c r="I48" t="s">
        <v>194</v>
      </c>
      <c r="J48" t="s">
        <v>195</v>
      </c>
      <c r="U48" t="s">
        <v>196</v>
      </c>
      <c r="V48" t="s">
        <v>157</v>
      </c>
      <c r="W48">
        <v>77838509081</v>
      </c>
      <c r="X48">
        <v>10077838009083</v>
      </c>
      <c r="Y48" t="s">
        <v>473</v>
      </c>
      <c r="Z48" t="s">
        <v>474</v>
      </c>
      <c r="AA48" t="s">
        <v>475</v>
      </c>
      <c r="AB48" t="s">
        <v>476</v>
      </c>
      <c r="AC48" t="s">
        <v>477</v>
      </c>
      <c r="AD48" t="s">
        <v>478</v>
      </c>
      <c r="AE48" t="s">
        <v>479</v>
      </c>
      <c r="AF48" t="s">
        <v>204</v>
      </c>
      <c r="AG48">
        <v>392410.4</v>
      </c>
      <c r="AH48">
        <v>100</v>
      </c>
      <c r="AL48" t="s">
        <v>350</v>
      </c>
      <c r="AM48" t="s">
        <v>480</v>
      </c>
    </row>
    <row r="49" spans="1:83" x14ac:dyDescent="0.25">
      <c r="A49" t="s">
        <v>640</v>
      </c>
      <c r="B49" t="e">
        <f>_xlfn.XLOOKUP(C49,'[1]Image URL'!$E:$E,'[1]Image URL'!$A:$A)</f>
        <v>#N/A</v>
      </c>
      <c r="C49">
        <v>446006</v>
      </c>
      <c r="D49" t="s">
        <v>641</v>
      </c>
      <c r="E49" t="s">
        <v>642</v>
      </c>
      <c r="F49" t="s">
        <v>643</v>
      </c>
      <c r="G49" t="s">
        <v>643</v>
      </c>
      <c r="H49" t="s">
        <v>509</v>
      </c>
      <c r="J49" t="s">
        <v>212</v>
      </c>
      <c r="U49" t="s">
        <v>584</v>
      </c>
      <c r="V49" t="s">
        <v>157</v>
      </c>
      <c r="W49">
        <v>77838304518</v>
      </c>
      <c r="X49">
        <v>10077838004514</v>
      </c>
      <c r="Y49" t="s">
        <v>644</v>
      </c>
      <c r="Z49" t="s">
        <v>179</v>
      </c>
      <c r="AA49" t="s">
        <v>645</v>
      </c>
      <c r="AB49" t="s">
        <v>646</v>
      </c>
      <c r="AC49" t="s">
        <v>400</v>
      </c>
      <c r="AD49" t="s">
        <v>647</v>
      </c>
      <c r="AE49" t="s">
        <v>315</v>
      </c>
      <c r="AF49" t="s">
        <v>185</v>
      </c>
      <c r="AG49">
        <v>392410.2</v>
      </c>
      <c r="AH49">
        <v>70</v>
      </c>
      <c r="AL49" t="s">
        <v>648</v>
      </c>
      <c r="AN49" t="s">
        <v>643</v>
      </c>
    </row>
    <row r="50" spans="1:83" x14ac:dyDescent="0.25">
      <c r="A50" t="s">
        <v>649</v>
      </c>
      <c r="B50" t="e">
        <f>_xlfn.XLOOKUP(C50,'[1]Image URL'!$E:$E,'[1]Image URL'!$A:$A)</f>
        <v>#N/A</v>
      </c>
      <c r="C50">
        <v>29503</v>
      </c>
      <c r="D50" t="s">
        <v>650</v>
      </c>
      <c r="E50" t="s">
        <v>651</v>
      </c>
      <c r="F50" t="s">
        <v>652</v>
      </c>
      <c r="G50" t="s">
        <v>466</v>
      </c>
      <c r="H50" t="s">
        <v>385</v>
      </c>
      <c r="I50" t="s">
        <v>194</v>
      </c>
      <c r="J50" t="s">
        <v>195</v>
      </c>
      <c r="M50" t="s">
        <v>653</v>
      </c>
      <c r="T50" t="s">
        <v>654</v>
      </c>
      <c r="U50" t="s">
        <v>196</v>
      </c>
      <c r="V50" t="s">
        <v>157</v>
      </c>
      <c r="W50">
        <v>77838112731</v>
      </c>
      <c r="X50">
        <v>10077838112738</v>
      </c>
      <c r="Y50" t="s">
        <v>655</v>
      </c>
      <c r="Z50" t="s">
        <v>656</v>
      </c>
      <c r="AA50" t="s">
        <v>657</v>
      </c>
      <c r="AB50" t="s">
        <v>532</v>
      </c>
      <c r="AC50" t="s">
        <v>658</v>
      </c>
      <c r="AD50" t="s">
        <v>507</v>
      </c>
      <c r="AE50" t="s">
        <v>268</v>
      </c>
      <c r="AF50" t="s">
        <v>316</v>
      </c>
      <c r="AG50">
        <v>392410.4</v>
      </c>
      <c r="AH50">
        <v>250</v>
      </c>
      <c r="AL50" t="s">
        <v>659</v>
      </c>
      <c r="AT50" t="s">
        <v>652</v>
      </c>
      <c r="BG50" t="s">
        <v>660</v>
      </c>
    </row>
    <row r="51" spans="1:83" x14ac:dyDescent="0.25">
      <c r="A51" t="s">
        <v>661</v>
      </c>
      <c r="B51" t="e">
        <f>_xlfn.XLOOKUP(C51,'[1]Image URL'!$E:$E,'[1]Image URL'!$A:$A)</f>
        <v>#N/A</v>
      </c>
      <c r="C51">
        <v>914803</v>
      </c>
      <c r="D51" t="s">
        <v>662</v>
      </c>
      <c r="E51" t="s">
        <v>663</v>
      </c>
      <c r="F51" t="s">
        <v>457</v>
      </c>
      <c r="G51" t="s">
        <v>664</v>
      </c>
      <c r="H51" t="s">
        <v>193</v>
      </c>
      <c r="U51" t="s">
        <v>217</v>
      </c>
      <c r="V51" t="s">
        <v>157</v>
      </c>
      <c r="W51">
        <v>77838247723</v>
      </c>
      <c r="X51">
        <v>10077838147723</v>
      </c>
      <c r="Y51" t="s">
        <v>665</v>
      </c>
      <c r="Z51" t="s">
        <v>666</v>
      </c>
      <c r="AA51" t="s">
        <v>462</v>
      </c>
      <c r="AB51" t="s">
        <v>667</v>
      </c>
      <c r="AC51" t="s">
        <v>668</v>
      </c>
      <c r="AD51" t="s">
        <v>669</v>
      </c>
      <c r="AE51" t="s">
        <v>314</v>
      </c>
      <c r="AF51" t="s">
        <v>268</v>
      </c>
      <c r="AG51">
        <v>842490.90800000005</v>
      </c>
      <c r="AH51">
        <v>175</v>
      </c>
      <c r="AL51" t="s">
        <v>343</v>
      </c>
      <c r="CB51" t="s">
        <v>670</v>
      </c>
    </row>
    <row r="52" spans="1:83" x14ac:dyDescent="0.25">
      <c r="A52" t="s">
        <v>671</v>
      </c>
      <c r="B52" t="e">
        <f>_xlfn.XLOOKUP(C52,'[1]Image URL'!$E:$E,'[1]Image URL'!$A:$A)</f>
        <v>#N/A</v>
      </c>
      <c r="C52">
        <v>446003</v>
      </c>
      <c r="D52" t="s">
        <v>672</v>
      </c>
      <c r="E52" t="s">
        <v>191</v>
      </c>
      <c r="F52" t="s">
        <v>192</v>
      </c>
      <c r="G52" t="s">
        <v>186</v>
      </c>
      <c r="H52" t="s">
        <v>193</v>
      </c>
      <c r="I52" t="s">
        <v>194</v>
      </c>
      <c r="J52" t="s">
        <v>195</v>
      </c>
      <c r="U52" t="s">
        <v>196</v>
      </c>
      <c r="V52" t="s">
        <v>157</v>
      </c>
      <c r="W52">
        <v>77838509005</v>
      </c>
      <c r="X52">
        <v>10077838009007</v>
      </c>
      <c r="Y52" t="s">
        <v>197</v>
      </c>
      <c r="Z52" t="s">
        <v>198</v>
      </c>
      <c r="AA52" t="s">
        <v>199</v>
      </c>
      <c r="AB52" t="s">
        <v>200</v>
      </c>
      <c r="AC52" t="s">
        <v>201</v>
      </c>
      <c r="AD52" t="s">
        <v>202</v>
      </c>
      <c r="AE52" t="s">
        <v>203</v>
      </c>
      <c r="AF52" t="s">
        <v>204</v>
      </c>
      <c r="AG52">
        <v>392410.4</v>
      </c>
      <c r="AH52">
        <v>70</v>
      </c>
      <c r="AL52" t="s">
        <v>205</v>
      </c>
      <c r="AM52" t="s">
        <v>206</v>
      </c>
    </row>
    <row r="53" spans="1:83" x14ac:dyDescent="0.25">
      <c r="A53" t="s">
        <v>673</v>
      </c>
      <c r="B53" t="e">
        <f>_xlfn.XLOOKUP(C53,'[1]Image URL'!$E:$E,'[1]Image URL'!$A:$A)</f>
        <v>#N/A</v>
      </c>
      <c r="C53">
        <v>660603</v>
      </c>
      <c r="D53" t="s">
        <v>674</v>
      </c>
      <c r="E53" t="s">
        <v>675</v>
      </c>
      <c r="F53" t="s">
        <v>676</v>
      </c>
      <c r="G53" t="s">
        <v>676</v>
      </c>
      <c r="H53" t="s">
        <v>677</v>
      </c>
      <c r="I53" t="s">
        <v>147</v>
      </c>
      <c r="J53" t="s">
        <v>678</v>
      </c>
      <c r="U53" t="s">
        <v>217</v>
      </c>
      <c r="V53" t="s">
        <v>157</v>
      </c>
      <c r="W53">
        <v>77838501047</v>
      </c>
      <c r="X53">
        <v>10077838001049</v>
      </c>
      <c r="Y53" t="s">
        <v>679</v>
      </c>
      <c r="Z53" t="s">
        <v>680</v>
      </c>
      <c r="AA53" t="s">
        <v>463</v>
      </c>
      <c r="AB53" t="s">
        <v>549</v>
      </c>
      <c r="AC53" t="s">
        <v>660</v>
      </c>
      <c r="AD53" t="s">
        <v>467</v>
      </c>
      <c r="AE53" t="s">
        <v>496</v>
      </c>
      <c r="AF53" t="s">
        <v>315</v>
      </c>
      <c r="AG53">
        <v>392350</v>
      </c>
      <c r="AH53">
        <v>100</v>
      </c>
      <c r="AL53" t="s">
        <v>681</v>
      </c>
      <c r="AN53" t="s">
        <v>676</v>
      </c>
      <c r="CC53" t="s">
        <v>682</v>
      </c>
    </row>
    <row r="54" spans="1:83" x14ac:dyDescent="0.25">
      <c r="A54" t="s">
        <v>683</v>
      </c>
      <c r="B54" t="e">
        <f>_xlfn.XLOOKUP(C54,'[1]Image URL'!$E:$E,'[1]Image URL'!$A:$A)</f>
        <v>#N/A</v>
      </c>
      <c r="C54">
        <v>927203</v>
      </c>
      <c r="D54" t="s">
        <v>685</v>
      </c>
      <c r="E54" t="s">
        <v>686</v>
      </c>
      <c r="F54" t="s">
        <v>144</v>
      </c>
      <c r="G54" t="s">
        <v>145</v>
      </c>
      <c r="H54" t="s">
        <v>146</v>
      </c>
      <c r="I54" t="s">
        <v>147</v>
      </c>
      <c r="J54" t="s">
        <v>148</v>
      </c>
      <c r="K54" t="s">
        <v>149</v>
      </c>
      <c r="L54" t="s">
        <v>150</v>
      </c>
      <c r="M54" t="s">
        <v>151</v>
      </c>
      <c r="N54" t="s">
        <v>152</v>
      </c>
      <c r="O54" t="s">
        <v>153</v>
      </c>
      <c r="P54" t="s">
        <v>154</v>
      </c>
      <c r="Q54" t="s">
        <v>146</v>
      </c>
      <c r="R54" t="s">
        <v>144</v>
      </c>
      <c r="S54" t="s">
        <v>145</v>
      </c>
      <c r="T54" t="s">
        <v>155</v>
      </c>
      <c r="U54" t="s">
        <v>156</v>
      </c>
      <c r="V54" t="s">
        <v>157</v>
      </c>
      <c r="W54">
        <v>77838089804</v>
      </c>
      <c r="X54">
        <v>10077838089801</v>
      </c>
      <c r="Y54" t="s">
        <v>158</v>
      </c>
      <c r="Z54" t="s">
        <v>159</v>
      </c>
      <c r="AA54" t="s">
        <v>160</v>
      </c>
      <c r="AB54" t="s">
        <v>160</v>
      </c>
      <c r="AC54" t="s">
        <v>161</v>
      </c>
      <c r="AD54" t="s">
        <v>162</v>
      </c>
      <c r="AE54" t="s">
        <v>163</v>
      </c>
      <c r="AF54" t="s">
        <v>164</v>
      </c>
      <c r="AG54">
        <v>392410.4</v>
      </c>
      <c r="AH54">
        <v>92.5</v>
      </c>
      <c r="AI54" t="s">
        <v>193</v>
      </c>
      <c r="AK54" t="s">
        <v>687</v>
      </c>
    </row>
    <row r="55" spans="1:83" x14ac:dyDescent="0.25">
      <c r="A55" t="s">
        <v>688</v>
      </c>
      <c r="B55" t="e">
        <f>_xlfn.XLOOKUP(C55,'[1]Image URL'!$E:$E,'[1]Image URL'!$A:$A)</f>
        <v>#N/A</v>
      </c>
      <c r="C55">
        <v>441003</v>
      </c>
      <c r="D55" t="s">
        <v>689</v>
      </c>
      <c r="E55" t="s">
        <v>690</v>
      </c>
      <c r="F55" t="s">
        <v>594</v>
      </c>
      <c r="G55" t="s">
        <v>594</v>
      </c>
      <c r="H55" t="s">
        <v>691</v>
      </c>
      <c r="J55" t="s">
        <v>212</v>
      </c>
      <c r="U55" t="s">
        <v>584</v>
      </c>
      <c r="V55" t="s">
        <v>157</v>
      </c>
      <c r="W55">
        <v>77838505571</v>
      </c>
      <c r="X55">
        <v>10077838005573</v>
      </c>
      <c r="Y55" t="s">
        <v>692</v>
      </c>
      <c r="Z55" t="s">
        <v>693</v>
      </c>
      <c r="AA55" t="s">
        <v>694</v>
      </c>
      <c r="AB55" t="s">
        <v>695</v>
      </c>
      <c r="AC55" t="s">
        <v>696</v>
      </c>
      <c r="AD55" t="s">
        <v>245</v>
      </c>
      <c r="AE55" t="s">
        <v>185</v>
      </c>
      <c r="AF55" t="s">
        <v>349</v>
      </c>
      <c r="AG55">
        <v>392410.4</v>
      </c>
      <c r="AH55">
        <v>125</v>
      </c>
      <c r="AM55" t="s">
        <v>697</v>
      </c>
      <c r="AS55" t="s">
        <v>217</v>
      </c>
      <c r="BX55" t="s">
        <v>594</v>
      </c>
      <c r="BY55" t="s">
        <v>249</v>
      </c>
    </row>
    <row r="56" spans="1:83" x14ac:dyDescent="0.25">
      <c r="A56" t="s">
        <v>698</v>
      </c>
      <c r="B56" t="e">
        <f>_xlfn.XLOOKUP(C56,'[1]Image URL'!$E:$E,'[1]Image URL'!$A:$A)</f>
        <v>#N/A</v>
      </c>
      <c r="C56">
        <v>441103</v>
      </c>
      <c r="D56" t="s">
        <v>460</v>
      </c>
      <c r="E56" t="s">
        <v>461</v>
      </c>
      <c r="F56" t="s">
        <v>462</v>
      </c>
      <c r="G56" t="s">
        <v>463</v>
      </c>
      <c r="H56" t="s">
        <v>186</v>
      </c>
      <c r="I56" t="s">
        <v>194</v>
      </c>
      <c r="J56" t="s">
        <v>195</v>
      </c>
      <c r="U56" t="s">
        <v>196</v>
      </c>
      <c r="V56" t="s">
        <v>157</v>
      </c>
      <c r="W56">
        <v>77838516379</v>
      </c>
      <c r="X56">
        <v>10077838016371</v>
      </c>
      <c r="Y56" t="s">
        <v>464</v>
      </c>
      <c r="Z56" t="s">
        <v>465</v>
      </c>
      <c r="AA56" t="s">
        <v>444</v>
      </c>
      <c r="AB56" t="s">
        <v>466</v>
      </c>
      <c r="AC56" t="s">
        <v>345</v>
      </c>
      <c r="AD56" t="s">
        <v>467</v>
      </c>
      <c r="AE56" t="s">
        <v>303</v>
      </c>
      <c r="AF56" t="s">
        <v>303</v>
      </c>
      <c r="AG56">
        <v>392410.4</v>
      </c>
      <c r="AH56">
        <v>300</v>
      </c>
      <c r="AL56" t="s">
        <v>350</v>
      </c>
      <c r="BO56" t="s">
        <v>329</v>
      </c>
    </row>
    <row r="57" spans="1:83" x14ac:dyDescent="0.25">
      <c r="A57" t="s">
        <v>699</v>
      </c>
      <c r="B57" t="e">
        <f>_xlfn.XLOOKUP(C57,'[1]Image URL'!$E:$E,'[1]Image URL'!$A:$A)</f>
        <v>#N/A</v>
      </c>
      <c r="C57">
        <v>471203</v>
      </c>
      <c r="D57" t="s">
        <v>700</v>
      </c>
      <c r="E57" t="s">
        <v>191</v>
      </c>
      <c r="F57" t="s">
        <v>192</v>
      </c>
      <c r="G57" t="s">
        <v>186</v>
      </c>
      <c r="H57" t="s">
        <v>193</v>
      </c>
      <c r="I57" t="s">
        <v>194</v>
      </c>
      <c r="J57" t="s">
        <v>195</v>
      </c>
      <c r="U57" t="s">
        <v>196</v>
      </c>
      <c r="V57" t="s">
        <v>157</v>
      </c>
      <c r="W57">
        <v>77838500668</v>
      </c>
      <c r="X57">
        <v>10077838000660</v>
      </c>
      <c r="Y57" t="s">
        <v>197</v>
      </c>
      <c r="Z57" t="s">
        <v>198</v>
      </c>
      <c r="AA57" t="s">
        <v>199</v>
      </c>
      <c r="AB57" t="s">
        <v>200</v>
      </c>
      <c r="AC57" t="s">
        <v>201</v>
      </c>
      <c r="AD57" t="s">
        <v>202</v>
      </c>
      <c r="AE57" t="s">
        <v>203</v>
      </c>
      <c r="AF57" t="s">
        <v>204</v>
      </c>
      <c r="AG57">
        <v>392410.4</v>
      </c>
      <c r="AH57">
        <v>70</v>
      </c>
      <c r="AL57" t="s">
        <v>205</v>
      </c>
      <c r="AM57" t="s">
        <v>206</v>
      </c>
    </row>
    <row r="58" spans="1:83" x14ac:dyDescent="0.25">
      <c r="A58" t="s">
        <v>701</v>
      </c>
      <c r="B58" t="e">
        <f>_xlfn.XLOOKUP(C58,'[1]Image URL'!$E:$E,'[1]Image URL'!$A:$A)</f>
        <v>#N/A</v>
      </c>
      <c r="C58">
        <v>470905</v>
      </c>
      <c r="D58" t="s">
        <v>702</v>
      </c>
      <c r="E58" t="s">
        <v>703</v>
      </c>
      <c r="F58" t="s">
        <v>462</v>
      </c>
      <c r="G58" t="s">
        <v>186</v>
      </c>
      <c r="H58" t="s">
        <v>186</v>
      </c>
      <c r="I58" t="s">
        <v>194</v>
      </c>
      <c r="J58" t="s">
        <v>195</v>
      </c>
      <c r="M58" t="s">
        <v>704</v>
      </c>
      <c r="T58" t="s">
        <v>705</v>
      </c>
      <c r="U58" t="s">
        <v>196</v>
      </c>
      <c r="V58" t="s">
        <v>157</v>
      </c>
      <c r="W58">
        <v>77838506028</v>
      </c>
      <c r="X58">
        <v>10077838006020</v>
      </c>
      <c r="Y58" t="s">
        <v>197</v>
      </c>
      <c r="Z58" t="s">
        <v>505</v>
      </c>
      <c r="AA58" t="s">
        <v>706</v>
      </c>
      <c r="AB58" t="s">
        <v>152</v>
      </c>
      <c r="AC58" t="s">
        <v>707</v>
      </c>
      <c r="AD58" t="s">
        <v>708</v>
      </c>
      <c r="AE58" t="s">
        <v>203</v>
      </c>
      <c r="AF58" t="s">
        <v>268</v>
      </c>
      <c r="AG58">
        <v>392410.4</v>
      </c>
      <c r="AH58">
        <v>250</v>
      </c>
      <c r="CD58" t="s">
        <v>709</v>
      </c>
    </row>
    <row r="59" spans="1:83" x14ac:dyDescent="0.25">
      <c r="A59" t="s">
        <v>710</v>
      </c>
      <c r="B59" t="e">
        <f>_xlfn.XLOOKUP(C59,'[1]Image URL'!$E:$E,'[1]Image URL'!$A:$A)</f>
        <v>#N/A</v>
      </c>
      <c r="C59" t="s">
        <v>768</v>
      </c>
      <c r="D59" t="s">
        <v>257</v>
      </c>
      <c r="E59" t="s">
        <v>711</v>
      </c>
      <c r="F59" t="s">
        <v>380</v>
      </c>
      <c r="G59" t="s">
        <v>260</v>
      </c>
      <c r="H59" t="s">
        <v>261</v>
      </c>
      <c r="I59" t="s">
        <v>147</v>
      </c>
      <c r="J59" t="s">
        <v>212</v>
      </c>
      <c r="U59" t="s">
        <v>262</v>
      </c>
      <c r="V59" t="s">
        <v>157</v>
      </c>
      <c r="W59">
        <v>77838123768</v>
      </c>
      <c r="X59">
        <v>10077838123765</v>
      </c>
      <c r="Y59" t="s">
        <v>712</v>
      </c>
      <c r="Z59" t="s">
        <v>713</v>
      </c>
      <c r="AA59" t="s">
        <v>714</v>
      </c>
      <c r="AB59" t="s">
        <v>715</v>
      </c>
      <c r="AC59" t="s">
        <v>716</v>
      </c>
      <c r="AD59" t="s">
        <v>349</v>
      </c>
      <c r="AE59" t="s">
        <v>269</v>
      </c>
      <c r="AF59" t="s">
        <v>349</v>
      </c>
      <c r="AG59">
        <v>940389.60199999996</v>
      </c>
      <c r="AH59">
        <v>150</v>
      </c>
      <c r="AL59" t="s">
        <v>270</v>
      </c>
      <c r="AT59" t="s">
        <v>260</v>
      </c>
      <c r="AU59" t="s">
        <v>261</v>
      </c>
      <c r="AV59" t="s">
        <v>271</v>
      </c>
      <c r="AW59" t="s">
        <v>380</v>
      </c>
      <c r="AX59" t="s">
        <v>717</v>
      </c>
      <c r="AY59" t="s">
        <v>273</v>
      </c>
    </row>
    <row r="60" spans="1:83" x14ac:dyDescent="0.25">
      <c r="A60" t="s">
        <v>718</v>
      </c>
      <c r="B60" t="e">
        <f>_xlfn.XLOOKUP(C60,'[1]Image URL'!$E:$E,'[1]Image URL'!$A:$A)</f>
        <v>#N/A</v>
      </c>
      <c r="C60">
        <v>470903</v>
      </c>
      <c r="D60" t="s">
        <v>719</v>
      </c>
      <c r="E60" t="s">
        <v>191</v>
      </c>
      <c r="F60" t="s">
        <v>192</v>
      </c>
      <c r="G60" t="s">
        <v>186</v>
      </c>
      <c r="H60" t="s">
        <v>193</v>
      </c>
      <c r="I60" t="s">
        <v>194</v>
      </c>
      <c r="J60" t="s">
        <v>195</v>
      </c>
      <c r="U60" t="s">
        <v>196</v>
      </c>
      <c r="V60" t="s">
        <v>157</v>
      </c>
      <c r="W60">
        <v>77838500743</v>
      </c>
      <c r="X60">
        <v>10077838000745</v>
      </c>
      <c r="Y60" t="s">
        <v>197</v>
      </c>
      <c r="Z60" t="s">
        <v>198</v>
      </c>
      <c r="AA60" t="s">
        <v>199</v>
      </c>
      <c r="AB60" t="s">
        <v>200</v>
      </c>
      <c r="AC60" t="s">
        <v>201</v>
      </c>
      <c r="AD60" t="s">
        <v>202</v>
      </c>
      <c r="AE60" t="s">
        <v>203</v>
      </c>
      <c r="AF60" t="s">
        <v>204</v>
      </c>
      <c r="AG60">
        <v>392410.4</v>
      </c>
      <c r="AH60">
        <v>70</v>
      </c>
      <c r="AL60" t="s">
        <v>205</v>
      </c>
      <c r="AM60" t="s">
        <v>206</v>
      </c>
    </row>
    <row r="61" spans="1:83" x14ac:dyDescent="0.25">
      <c r="A61" t="s">
        <v>720</v>
      </c>
      <c r="B61" t="e">
        <f>_xlfn.XLOOKUP(C61,'[1]Image URL'!$E:$E,'[1]Image URL'!$A:$A)</f>
        <v>#N/A</v>
      </c>
      <c r="C61">
        <v>771103</v>
      </c>
      <c r="D61" t="s">
        <v>721</v>
      </c>
      <c r="E61" t="s">
        <v>722</v>
      </c>
      <c r="I61" t="s">
        <v>147</v>
      </c>
      <c r="J61" t="s">
        <v>280</v>
      </c>
      <c r="U61" t="s">
        <v>281</v>
      </c>
      <c r="V61" t="s">
        <v>282</v>
      </c>
      <c r="W61">
        <v>77838124819</v>
      </c>
      <c r="X61">
        <v>10077838124816</v>
      </c>
      <c r="Y61" t="s">
        <v>723</v>
      </c>
      <c r="Z61" t="s">
        <v>724</v>
      </c>
      <c r="AA61" t="s">
        <v>725</v>
      </c>
      <c r="AB61" t="s">
        <v>726</v>
      </c>
      <c r="AC61" t="s">
        <v>727</v>
      </c>
      <c r="AD61" t="s">
        <v>269</v>
      </c>
      <c r="AE61" t="s">
        <v>269</v>
      </c>
      <c r="AF61" t="s">
        <v>269</v>
      </c>
      <c r="AG61">
        <v>940370.80299999996</v>
      </c>
      <c r="AH61">
        <v>250</v>
      </c>
      <c r="AZ61" t="s">
        <v>288</v>
      </c>
      <c r="BA61" t="s">
        <v>289</v>
      </c>
      <c r="BB61" t="s">
        <v>279</v>
      </c>
      <c r="BC61" t="s">
        <v>610</v>
      </c>
      <c r="BD61" t="s">
        <v>290</v>
      </c>
      <c r="BE61" t="s">
        <v>291</v>
      </c>
      <c r="BF61" t="s">
        <v>278</v>
      </c>
      <c r="BZ61" t="s">
        <v>313</v>
      </c>
      <c r="CA61" t="s">
        <v>617</v>
      </c>
      <c r="CE61" t="s">
        <v>728</v>
      </c>
    </row>
    <row r="62" spans="1:83" x14ac:dyDescent="0.25">
      <c r="A62" t="s">
        <v>729</v>
      </c>
      <c r="B62" t="e">
        <f>_xlfn.XLOOKUP(C62,'[1]Image URL'!$E:$E,'[1]Image URL'!$A:$A)</f>
        <v>#N/A</v>
      </c>
      <c r="C62">
        <v>471205</v>
      </c>
      <c r="D62" t="s">
        <v>730</v>
      </c>
      <c r="E62" t="s">
        <v>561</v>
      </c>
      <c r="F62" t="s">
        <v>731</v>
      </c>
      <c r="G62" t="s">
        <v>563</v>
      </c>
      <c r="H62" t="s">
        <v>291</v>
      </c>
      <c r="I62" t="s">
        <v>147</v>
      </c>
      <c r="J62" t="s">
        <v>212</v>
      </c>
      <c r="U62" t="s">
        <v>262</v>
      </c>
      <c r="V62" t="s">
        <v>157</v>
      </c>
      <c r="W62">
        <v>77838123829</v>
      </c>
      <c r="X62">
        <v>10077838123826</v>
      </c>
      <c r="Y62" t="s">
        <v>732</v>
      </c>
      <c r="Z62" t="s">
        <v>733</v>
      </c>
      <c r="AA62" t="s">
        <v>734</v>
      </c>
      <c r="AB62" t="s">
        <v>463</v>
      </c>
      <c r="AC62" t="s">
        <v>735</v>
      </c>
      <c r="AD62" t="s">
        <v>314</v>
      </c>
      <c r="AE62" t="s">
        <v>316</v>
      </c>
      <c r="AF62" t="s">
        <v>315</v>
      </c>
      <c r="AG62">
        <v>940389.60199999996</v>
      </c>
      <c r="AH62">
        <v>150</v>
      </c>
      <c r="AL62" t="s">
        <v>736</v>
      </c>
      <c r="AT62" t="s">
        <v>563</v>
      </c>
      <c r="AW62" t="s">
        <v>731</v>
      </c>
      <c r="AX62" t="s">
        <v>737</v>
      </c>
      <c r="AY62" t="s">
        <v>273</v>
      </c>
    </row>
    <row r="63" spans="1:83" x14ac:dyDescent="0.25">
      <c r="A63" t="s">
        <v>738</v>
      </c>
      <c r="B63" t="e">
        <f>_xlfn.XLOOKUP(C63,'[1]Image URL'!$E:$E,'[1]Image URL'!$A:$A)</f>
        <v>#N/A</v>
      </c>
      <c r="C63">
        <v>480603</v>
      </c>
      <c r="D63" t="s">
        <v>739</v>
      </c>
      <c r="E63" t="s">
        <v>740</v>
      </c>
      <c r="F63" t="s">
        <v>523</v>
      </c>
      <c r="G63" t="s">
        <v>186</v>
      </c>
      <c r="H63" t="s">
        <v>193</v>
      </c>
      <c r="I63" t="s">
        <v>194</v>
      </c>
      <c r="J63" t="s">
        <v>195</v>
      </c>
      <c r="U63" t="s">
        <v>196</v>
      </c>
      <c r="V63" t="s">
        <v>157</v>
      </c>
      <c r="W63">
        <v>77838500682</v>
      </c>
      <c r="X63">
        <v>10077838000684</v>
      </c>
      <c r="Y63" t="s">
        <v>741</v>
      </c>
      <c r="Z63" t="s">
        <v>632</v>
      </c>
      <c r="AA63" t="s">
        <v>742</v>
      </c>
      <c r="AB63" t="s">
        <v>152</v>
      </c>
      <c r="AC63" t="s">
        <v>707</v>
      </c>
      <c r="AD63" t="s">
        <v>634</v>
      </c>
      <c r="AE63" t="s">
        <v>635</v>
      </c>
      <c r="AF63" t="s">
        <v>349</v>
      </c>
      <c r="AG63">
        <v>392410.4</v>
      </c>
      <c r="AH63">
        <v>125</v>
      </c>
      <c r="AL63" t="s">
        <v>205</v>
      </c>
      <c r="AM63" t="s">
        <v>508</v>
      </c>
      <c r="BC63" t="s">
        <v>523</v>
      </c>
    </row>
    <row r="64" spans="1:83" x14ac:dyDescent="0.25">
      <c r="A64" t="s">
        <v>743</v>
      </c>
      <c r="B64" t="e">
        <f>_xlfn.XLOOKUP(C64,'[1]Image URL'!$E:$E,'[1]Image URL'!$A:$A)</f>
        <v>#N/A</v>
      </c>
      <c r="C64">
        <v>1085203</v>
      </c>
      <c r="D64" t="s">
        <v>744</v>
      </c>
      <c r="E64" t="s">
        <v>745</v>
      </c>
      <c r="F64" t="s">
        <v>523</v>
      </c>
      <c r="G64" t="s">
        <v>186</v>
      </c>
      <c r="H64" t="s">
        <v>193</v>
      </c>
      <c r="I64" t="s">
        <v>194</v>
      </c>
      <c r="J64" t="s">
        <v>195</v>
      </c>
      <c r="U64" t="s">
        <v>196</v>
      </c>
      <c r="V64" t="s">
        <v>157</v>
      </c>
      <c r="W64">
        <v>77838500873</v>
      </c>
      <c r="X64">
        <v>10077838000875</v>
      </c>
      <c r="Y64" t="s">
        <v>197</v>
      </c>
      <c r="Z64" t="s">
        <v>746</v>
      </c>
      <c r="AA64" t="s">
        <v>747</v>
      </c>
      <c r="AB64" t="s">
        <v>748</v>
      </c>
      <c r="AC64" t="s">
        <v>152</v>
      </c>
      <c r="AD64" t="s">
        <v>708</v>
      </c>
      <c r="AE64" t="s">
        <v>203</v>
      </c>
      <c r="AF64" t="s">
        <v>268</v>
      </c>
      <c r="AG64">
        <v>392410.4</v>
      </c>
      <c r="AH64">
        <v>125</v>
      </c>
      <c r="AL64" t="s">
        <v>205</v>
      </c>
      <c r="AM64" t="s">
        <v>508</v>
      </c>
    </row>
    <row r="65" spans="1:93" x14ac:dyDescent="0.25">
      <c r="A65" t="s">
        <v>749</v>
      </c>
      <c r="B65" t="e">
        <f>_xlfn.XLOOKUP(C65,'[1]Image URL'!$E:$E,'[1]Image URL'!$A:$A)</f>
        <v>#N/A</v>
      </c>
      <c r="C65" t="s">
        <v>810</v>
      </c>
      <c r="D65" t="s">
        <v>750</v>
      </c>
      <c r="E65" t="s">
        <v>751</v>
      </c>
      <c r="F65" t="s">
        <v>752</v>
      </c>
      <c r="G65" t="s">
        <v>550</v>
      </c>
      <c r="H65" t="s">
        <v>463</v>
      </c>
      <c r="J65" t="s">
        <v>341</v>
      </c>
      <c r="U65" t="s">
        <v>342</v>
      </c>
      <c r="V65" t="s">
        <v>157</v>
      </c>
      <c r="W65">
        <v>77838500835</v>
      </c>
      <c r="X65">
        <v>10077838000837</v>
      </c>
      <c r="Y65" t="s">
        <v>753</v>
      </c>
      <c r="Z65" t="s">
        <v>754</v>
      </c>
      <c r="AA65" t="s">
        <v>755</v>
      </c>
      <c r="AB65" t="s">
        <v>756</v>
      </c>
      <c r="AC65" t="s">
        <v>757</v>
      </c>
      <c r="AD65" t="s">
        <v>758</v>
      </c>
      <c r="AE65" t="s">
        <v>314</v>
      </c>
      <c r="AF65" t="s">
        <v>403</v>
      </c>
      <c r="AG65">
        <v>392410.4</v>
      </c>
      <c r="AH65">
        <v>100</v>
      </c>
      <c r="AL65" t="s">
        <v>681</v>
      </c>
    </row>
    <row r="66" spans="1:93" x14ac:dyDescent="0.25">
      <c r="A66" t="s">
        <v>759</v>
      </c>
      <c r="B66" t="e">
        <f>_xlfn.XLOOKUP(C66,'[1]Image URL'!$E:$E,'[1]Image URL'!$A:$A)</f>
        <v>#N/A</v>
      </c>
      <c r="C66">
        <v>400907</v>
      </c>
      <c r="D66" t="s">
        <v>760</v>
      </c>
      <c r="E66" t="s">
        <v>761</v>
      </c>
      <c r="F66" t="s">
        <v>762</v>
      </c>
      <c r="G66" t="s">
        <v>550</v>
      </c>
      <c r="H66" t="s">
        <v>340</v>
      </c>
      <c r="J66" t="s">
        <v>341</v>
      </c>
      <c r="U66" t="s">
        <v>342</v>
      </c>
      <c r="V66" t="s">
        <v>157</v>
      </c>
      <c r="W66">
        <v>77838509302</v>
      </c>
      <c r="X66">
        <v>10077838009304</v>
      </c>
      <c r="Y66" t="s">
        <v>763</v>
      </c>
      <c r="Z66" t="s">
        <v>764</v>
      </c>
      <c r="AA66" t="s">
        <v>765</v>
      </c>
      <c r="AB66" t="s">
        <v>756</v>
      </c>
      <c r="AC66" t="s">
        <v>766</v>
      </c>
      <c r="AD66" t="s">
        <v>234</v>
      </c>
      <c r="AE66" t="s">
        <v>314</v>
      </c>
      <c r="AF66" t="s">
        <v>349</v>
      </c>
      <c r="AG66">
        <v>392410.4</v>
      </c>
      <c r="AH66">
        <v>100</v>
      </c>
      <c r="AL66" t="s">
        <v>681</v>
      </c>
    </row>
    <row r="67" spans="1:93" x14ac:dyDescent="0.25">
      <c r="A67" t="s">
        <v>767</v>
      </c>
      <c r="B67" t="e">
        <f>_xlfn.XLOOKUP(C67,'[1]Image URL'!$E:$E,'[1]Image URL'!$A:$A)</f>
        <v>#N/A</v>
      </c>
      <c r="C67">
        <v>1085303</v>
      </c>
      <c r="D67" t="s">
        <v>769</v>
      </c>
      <c r="E67" t="s">
        <v>770</v>
      </c>
      <c r="F67" t="s">
        <v>771</v>
      </c>
      <c r="G67" t="s">
        <v>772</v>
      </c>
      <c r="H67" t="s">
        <v>523</v>
      </c>
      <c r="U67" t="s">
        <v>422</v>
      </c>
      <c r="V67" t="s">
        <v>157</v>
      </c>
      <c r="W67">
        <v>77838148600</v>
      </c>
      <c r="X67">
        <v>10077838148607</v>
      </c>
      <c r="Y67" t="s">
        <v>773</v>
      </c>
      <c r="Z67" t="s">
        <v>774</v>
      </c>
      <c r="AA67" t="s">
        <v>379</v>
      </c>
      <c r="AB67" t="s">
        <v>775</v>
      </c>
      <c r="AC67" t="s">
        <v>776</v>
      </c>
      <c r="AD67" t="s">
        <v>588</v>
      </c>
      <c r="AE67" t="s">
        <v>349</v>
      </c>
      <c r="AF67" t="s">
        <v>302</v>
      </c>
      <c r="AG67">
        <v>842489.9</v>
      </c>
      <c r="AH67">
        <v>85</v>
      </c>
    </row>
    <row r="68" spans="1:93" x14ac:dyDescent="0.25">
      <c r="A68" t="s">
        <v>777</v>
      </c>
      <c r="B68" t="e">
        <f>_xlfn.XLOOKUP(C68,'[1]Image URL'!$E:$E,'[1]Image URL'!$A:$A)</f>
        <v>#N/A</v>
      </c>
      <c r="C68">
        <v>460605</v>
      </c>
    </row>
    <row r="69" spans="1:93" x14ac:dyDescent="0.25">
      <c r="A69" t="s">
        <v>778</v>
      </c>
      <c r="B69" t="e">
        <f>_xlfn.XLOOKUP(C69,'[1]Image URL'!$E:$E,'[1]Image URL'!$A:$A)</f>
        <v>#N/A</v>
      </c>
      <c r="C69">
        <v>900503</v>
      </c>
    </row>
    <row r="70" spans="1:93" x14ac:dyDescent="0.25">
      <c r="A70" t="s">
        <v>779</v>
      </c>
      <c r="B70" t="e">
        <f>_xlfn.XLOOKUP(C70,'[1]Image URL'!$E:$E,'[1]Image URL'!$A:$A)</f>
        <v>#N/A</v>
      </c>
      <c r="C70">
        <v>436206</v>
      </c>
      <c r="D70" t="s">
        <v>780</v>
      </c>
      <c r="E70" t="s">
        <v>761</v>
      </c>
      <c r="F70" t="s">
        <v>762</v>
      </c>
      <c r="G70" t="s">
        <v>550</v>
      </c>
      <c r="H70" t="s">
        <v>340</v>
      </c>
      <c r="J70" t="s">
        <v>341</v>
      </c>
      <c r="U70" t="s">
        <v>342</v>
      </c>
      <c r="V70" t="s">
        <v>157</v>
      </c>
      <c r="W70">
        <v>77838509296</v>
      </c>
      <c r="X70">
        <v>10077838009298</v>
      </c>
      <c r="Y70" t="s">
        <v>763</v>
      </c>
      <c r="Z70" t="s">
        <v>764</v>
      </c>
      <c r="AA70" t="s">
        <v>765</v>
      </c>
      <c r="AB70" t="s">
        <v>756</v>
      </c>
      <c r="AC70" t="s">
        <v>766</v>
      </c>
      <c r="AD70" t="s">
        <v>234</v>
      </c>
      <c r="AE70" t="s">
        <v>314</v>
      </c>
      <c r="AF70" t="s">
        <v>349</v>
      </c>
      <c r="AG70">
        <v>392410.4</v>
      </c>
      <c r="AH70">
        <v>100</v>
      </c>
      <c r="AL70" t="s">
        <v>681</v>
      </c>
    </row>
    <row r="71" spans="1:93" x14ac:dyDescent="0.25">
      <c r="A71" t="s">
        <v>781</v>
      </c>
      <c r="B71" t="e">
        <f>_xlfn.XLOOKUP(C71,'[1]Image URL'!$E:$E,'[1]Image URL'!$A:$A)</f>
        <v>#N/A</v>
      </c>
      <c r="C71" t="s">
        <v>855</v>
      </c>
      <c r="D71" t="s">
        <v>782</v>
      </c>
      <c r="E71" t="s">
        <v>783</v>
      </c>
      <c r="F71" t="s">
        <v>784</v>
      </c>
      <c r="G71" t="s">
        <v>785</v>
      </c>
      <c r="H71" t="s">
        <v>784</v>
      </c>
      <c r="I71" t="s">
        <v>147</v>
      </c>
      <c r="J71" t="s">
        <v>280</v>
      </c>
      <c r="U71" t="s">
        <v>281</v>
      </c>
      <c r="V71" t="s">
        <v>282</v>
      </c>
      <c r="W71">
        <v>77838105375</v>
      </c>
      <c r="X71">
        <v>10077838105372</v>
      </c>
      <c r="Y71" t="s">
        <v>786</v>
      </c>
      <c r="Z71" t="s">
        <v>787</v>
      </c>
      <c r="AA71" t="s">
        <v>788</v>
      </c>
      <c r="AB71" t="s">
        <v>789</v>
      </c>
      <c r="AC71" t="s">
        <v>790</v>
      </c>
      <c r="AD71" t="s">
        <v>269</v>
      </c>
      <c r="AE71" t="s">
        <v>269</v>
      </c>
      <c r="AF71" t="s">
        <v>269</v>
      </c>
      <c r="AG71">
        <v>940370.80299999996</v>
      </c>
      <c r="AH71">
        <v>85</v>
      </c>
      <c r="AK71" t="s">
        <v>784</v>
      </c>
      <c r="AL71" t="s">
        <v>791</v>
      </c>
      <c r="BF71" t="s">
        <v>785</v>
      </c>
      <c r="CF71" t="s">
        <v>792</v>
      </c>
      <c r="CG71" t="s">
        <v>361</v>
      </c>
      <c r="CH71" t="s">
        <v>726</v>
      </c>
      <c r="CI71" t="s">
        <v>313</v>
      </c>
      <c r="CJ71" t="s">
        <v>553</v>
      </c>
      <c r="CK71" t="s">
        <v>793</v>
      </c>
      <c r="CL71" t="s">
        <v>361</v>
      </c>
      <c r="CM71" t="s">
        <v>794</v>
      </c>
      <c r="CN71" t="s">
        <v>313</v>
      </c>
    </row>
    <row r="72" spans="1:93" x14ac:dyDescent="0.25">
      <c r="A72" t="s">
        <v>795</v>
      </c>
      <c r="B72" t="e">
        <f>_xlfn.XLOOKUP(C72,'[1]Image URL'!$E:$E,'[1]Image URL'!$A:$A)</f>
        <v>#N/A</v>
      </c>
      <c r="C72">
        <v>767008</v>
      </c>
      <c r="D72" t="s">
        <v>796</v>
      </c>
      <c r="E72" t="s">
        <v>751</v>
      </c>
      <c r="F72" t="s">
        <v>752</v>
      </c>
      <c r="G72" t="s">
        <v>550</v>
      </c>
      <c r="H72" t="s">
        <v>463</v>
      </c>
      <c r="J72" t="s">
        <v>341</v>
      </c>
      <c r="U72" t="s">
        <v>342</v>
      </c>
      <c r="V72" t="s">
        <v>157</v>
      </c>
      <c r="W72">
        <v>77838509357</v>
      </c>
      <c r="X72">
        <v>10077838009359</v>
      </c>
      <c r="Y72" t="s">
        <v>753</v>
      </c>
      <c r="Z72" t="s">
        <v>754</v>
      </c>
      <c r="AA72" t="s">
        <v>755</v>
      </c>
      <c r="AB72" t="s">
        <v>756</v>
      </c>
      <c r="AC72" t="s">
        <v>757</v>
      </c>
      <c r="AD72" t="s">
        <v>758</v>
      </c>
      <c r="AE72" t="s">
        <v>314</v>
      </c>
      <c r="AF72" t="s">
        <v>403</v>
      </c>
      <c r="AG72">
        <v>392410.4</v>
      </c>
      <c r="AH72">
        <v>100</v>
      </c>
      <c r="AL72" t="s">
        <v>681</v>
      </c>
    </row>
    <row r="73" spans="1:93" x14ac:dyDescent="0.25">
      <c r="A73" t="s">
        <v>797</v>
      </c>
      <c r="B73" t="e">
        <f>_xlfn.XLOOKUP(C73,'[1]Image URL'!$E:$E,'[1]Image URL'!$A:$A)</f>
        <v>#N/A</v>
      </c>
      <c r="C73" t="s">
        <v>873</v>
      </c>
      <c r="D73" t="s">
        <v>798</v>
      </c>
      <c r="E73" t="s">
        <v>799</v>
      </c>
      <c r="F73" t="s">
        <v>800</v>
      </c>
      <c r="G73" t="s">
        <v>550</v>
      </c>
      <c r="H73" t="s">
        <v>340</v>
      </c>
      <c r="J73" t="s">
        <v>341</v>
      </c>
      <c r="U73" t="s">
        <v>342</v>
      </c>
      <c r="V73" t="s">
        <v>157</v>
      </c>
      <c r="W73">
        <v>77838623213</v>
      </c>
      <c r="X73">
        <v>10077838123215</v>
      </c>
      <c r="Y73" t="s">
        <v>343</v>
      </c>
      <c r="Z73" t="s">
        <v>344</v>
      </c>
      <c r="AA73" t="s">
        <v>345</v>
      </c>
      <c r="AB73" t="s">
        <v>152</v>
      </c>
      <c r="AC73" t="s">
        <v>242</v>
      </c>
      <c r="AD73" t="s">
        <v>801</v>
      </c>
      <c r="AE73" t="s">
        <v>802</v>
      </c>
      <c r="AF73" t="s">
        <v>164</v>
      </c>
      <c r="AG73">
        <v>392410.4</v>
      </c>
      <c r="AH73">
        <v>250</v>
      </c>
      <c r="AL73" t="s">
        <v>350</v>
      </c>
    </row>
    <row r="74" spans="1:93" x14ac:dyDescent="0.25">
      <c r="A74" t="s">
        <v>803</v>
      </c>
      <c r="B74" t="e">
        <f>_xlfn.XLOOKUP(C74,'[1]Image URL'!$E:$E,'[1]Image URL'!$A:$A)</f>
        <v>#N/A</v>
      </c>
      <c r="C74" t="s">
        <v>876</v>
      </c>
      <c r="D74" t="s">
        <v>804</v>
      </c>
      <c r="E74" t="s">
        <v>805</v>
      </c>
      <c r="F74" t="s">
        <v>652</v>
      </c>
      <c r="G74" t="s">
        <v>466</v>
      </c>
      <c r="H74" t="s">
        <v>385</v>
      </c>
      <c r="I74" t="s">
        <v>194</v>
      </c>
      <c r="J74" t="s">
        <v>195</v>
      </c>
      <c r="M74" t="s">
        <v>653</v>
      </c>
      <c r="T74" t="s">
        <v>654</v>
      </c>
      <c r="U74" t="s">
        <v>196</v>
      </c>
      <c r="V74" t="s">
        <v>157</v>
      </c>
      <c r="W74">
        <v>77838112779</v>
      </c>
      <c r="X74">
        <v>10077838112776</v>
      </c>
      <c r="Y74" t="s">
        <v>806</v>
      </c>
      <c r="Z74" t="s">
        <v>656</v>
      </c>
      <c r="AA74" t="s">
        <v>807</v>
      </c>
      <c r="AB74" t="s">
        <v>169</v>
      </c>
      <c r="AC74" t="s">
        <v>808</v>
      </c>
      <c r="AD74" t="s">
        <v>507</v>
      </c>
      <c r="AE74" t="s">
        <v>268</v>
      </c>
      <c r="AF74" t="s">
        <v>316</v>
      </c>
      <c r="AG74">
        <v>392410.4</v>
      </c>
      <c r="AH74">
        <v>250</v>
      </c>
      <c r="AL74" t="s">
        <v>452</v>
      </c>
      <c r="AT74" t="s">
        <v>652</v>
      </c>
      <c r="BG74" t="s">
        <v>660</v>
      </c>
    </row>
    <row r="75" spans="1:93" x14ac:dyDescent="0.25">
      <c r="A75" t="s">
        <v>809</v>
      </c>
      <c r="B75" t="e">
        <f>_xlfn.XLOOKUP(C75,'[1]Image URL'!$E:$E,'[1]Image URL'!$A:$A)</f>
        <v>#N/A</v>
      </c>
      <c r="C75" t="s">
        <v>879</v>
      </c>
      <c r="D75" t="s">
        <v>811</v>
      </c>
      <c r="E75" t="s">
        <v>253</v>
      </c>
      <c r="I75" t="s">
        <v>147</v>
      </c>
      <c r="J75" t="s">
        <v>148</v>
      </c>
      <c r="K75" t="s">
        <v>149</v>
      </c>
      <c r="L75" t="s">
        <v>150</v>
      </c>
      <c r="M75" t="s">
        <v>230</v>
      </c>
      <c r="N75" t="s">
        <v>254</v>
      </c>
      <c r="O75" t="s">
        <v>255</v>
      </c>
      <c r="P75" t="s">
        <v>200</v>
      </c>
      <c r="Q75" t="s">
        <v>229</v>
      </c>
      <c r="R75" t="s">
        <v>228</v>
      </c>
      <c r="S75" t="s">
        <v>145</v>
      </c>
      <c r="T75" t="s">
        <v>231</v>
      </c>
      <c r="U75" t="s">
        <v>156</v>
      </c>
      <c r="V75" t="s">
        <v>157</v>
      </c>
      <c r="W75">
        <v>77838156872</v>
      </c>
      <c r="X75">
        <v>10077838156879</v>
      </c>
      <c r="Y75" t="s">
        <v>232</v>
      </c>
      <c r="Z75" t="s">
        <v>159</v>
      </c>
      <c r="AA75" t="s">
        <v>160</v>
      </c>
      <c r="AB75" t="s">
        <v>160</v>
      </c>
      <c r="AC75" t="s">
        <v>233</v>
      </c>
      <c r="AD75" t="s">
        <v>234</v>
      </c>
      <c r="AE75" t="s">
        <v>163</v>
      </c>
      <c r="AF75" t="s">
        <v>235</v>
      </c>
      <c r="AG75">
        <v>392410.4</v>
      </c>
      <c r="AH75">
        <v>100</v>
      </c>
      <c r="AI75" t="s">
        <v>193</v>
      </c>
      <c r="AK75" t="s">
        <v>229</v>
      </c>
    </row>
    <row r="76" spans="1:93" x14ac:dyDescent="0.25">
      <c r="A76" t="s">
        <v>812</v>
      </c>
      <c r="B76" t="e">
        <f>_xlfn.XLOOKUP(C76,'[1]Image URL'!$E:$E,'[1]Image URL'!$A:$A)</f>
        <v>#N/A</v>
      </c>
      <c r="C76">
        <v>30202</v>
      </c>
      <c r="D76" t="s">
        <v>813</v>
      </c>
      <c r="E76" t="s">
        <v>814</v>
      </c>
      <c r="F76" t="s">
        <v>815</v>
      </c>
      <c r="G76" t="s">
        <v>550</v>
      </c>
      <c r="H76" t="s">
        <v>340</v>
      </c>
      <c r="I76" t="s">
        <v>194</v>
      </c>
      <c r="J76" t="s">
        <v>195</v>
      </c>
      <c r="U76" t="s">
        <v>196</v>
      </c>
      <c r="V76" t="s">
        <v>157</v>
      </c>
      <c r="W76">
        <v>77838500606</v>
      </c>
      <c r="X76">
        <v>10077838000608</v>
      </c>
      <c r="Y76" t="s">
        <v>816</v>
      </c>
      <c r="Z76" t="s">
        <v>754</v>
      </c>
      <c r="AA76" t="s">
        <v>817</v>
      </c>
      <c r="AB76" t="s">
        <v>288</v>
      </c>
      <c r="AC76" t="s">
        <v>757</v>
      </c>
      <c r="AD76" t="s">
        <v>758</v>
      </c>
      <c r="AE76" t="s">
        <v>314</v>
      </c>
      <c r="AF76" t="s">
        <v>403</v>
      </c>
      <c r="AG76">
        <v>392410.4</v>
      </c>
      <c r="AH76">
        <v>175</v>
      </c>
      <c r="AL76" t="s">
        <v>636</v>
      </c>
      <c r="CO76" t="s">
        <v>550</v>
      </c>
    </row>
    <row r="77" spans="1:93" x14ac:dyDescent="0.25">
      <c r="A77" t="s">
        <v>818</v>
      </c>
      <c r="B77" t="e">
        <f>_xlfn.XLOOKUP(C77,'[1]Image URL'!$E:$E,'[1]Image URL'!$A:$A)</f>
        <v>#N/A</v>
      </c>
      <c r="C77">
        <v>905107</v>
      </c>
      <c r="D77" t="s">
        <v>819</v>
      </c>
      <c r="E77" t="s">
        <v>820</v>
      </c>
      <c r="F77" t="s">
        <v>652</v>
      </c>
      <c r="G77" t="s">
        <v>821</v>
      </c>
      <c r="H77" t="s">
        <v>385</v>
      </c>
      <c r="I77" t="s">
        <v>194</v>
      </c>
      <c r="J77" t="s">
        <v>195</v>
      </c>
      <c r="M77" t="s">
        <v>822</v>
      </c>
      <c r="T77" t="s">
        <v>823</v>
      </c>
      <c r="U77" t="s">
        <v>196</v>
      </c>
      <c r="V77" t="s">
        <v>157</v>
      </c>
      <c r="W77">
        <v>77838112786</v>
      </c>
      <c r="X77">
        <v>10077838112783</v>
      </c>
      <c r="Y77" t="s">
        <v>824</v>
      </c>
      <c r="Z77" t="s">
        <v>825</v>
      </c>
      <c r="AA77" t="s">
        <v>826</v>
      </c>
      <c r="AB77" t="s">
        <v>827</v>
      </c>
      <c r="AC77" t="s">
        <v>828</v>
      </c>
      <c r="AD77" t="s">
        <v>184</v>
      </c>
      <c r="AE77" t="s">
        <v>235</v>
      </c>
      <c r="AF77" t="s">
        <v>316</v>
      </c>
      <c r="AG77">
        <v>392410.4</v>
      </c>
      <c r="AH77">
        <v>250</v>
      </c>
      <c r="AL77" t="s">
        <v>773</v>
      </c>
      <c r="AT77" t="s">
        <v>652</v>
      </c>
      <c r="BG77" t="s">
        <v>660</v>
      </c>
    </row>
    <row r="78" spans="1:93" x14ac:dyDescent="0.25">
      <c r="A78" t="s">
        <v>829</v>
      </c>
      <c r="B78" t="e">
        <f>_xlfn.XLOOKUP(C78,'[1]Image URL'!$E:$E,'[1]Image URL'!$A:$A)</f>
        <v>#N/A</v>
      </c>
      <c r="C78">
        <v>772508</v>
      </c>
      <c r="D78" t="s">
        <v>830</v>
      </c>
      <c r="E78" t="s">
        <v>337</v>
      </c>
      <c r="F78" t="s">
        <v>338</v>
      </c>
      <c r="G78" t="s">
        <v>339</v>
      </c>
      <c r="H78" t="s">
        <v>340</v>
      </c>
      <c r="J78" t="s">
        <v>341</v>
      </c>
      <c r="U78" t="s">
        <v>342</v>
      </c>
      <c r="V78" t="s">
        <v>157</v>
      </c>
      <c r="W78">
        <v>77838501504</v>
      </c>
      <c r="X78">
        <v>10077838001506</v>
      </c>
      <c r="Y78" t="s">
        <v>343</v>
      </c>
      <c r="Z78" t="s">
        <v>344</v>
      </c>
      <c r="AA78" t="s">
        <v>345</v>
      </c>
      <c r="AB78" t="s">
        <v>346</v>
      </c>
      <c r="AC78" t="s">
        <v>242</v>
      </c>
      <c r="AD78" t="s">
        <v>347</v>
      </c>
      <c r="AE78" t="s">
        <v>348</v>
      </c>
      <c r="AF78" t="s">
        <v>349</v>
      </c>
      <c r="AG78">
        <v>392410.4</v>
      </c>
      <c r="AH78">
        <v>250</v>
      </c>
      <c r="AL78" t="s">
        <v>350</v>
      </c>
    </row>
    <row r="79" spans="1:93" x14ac:dyDescent="0.25">
      <c r="A79" t="s">
        <v>831</v>
      </c>
      <c r="B79" t="e">
        <f>_xlfn.XLOOKUP(C79,'[1]Image URL'!$E:$E,'[1]Image URL'!$A:$A)</f>
        <v>#N/A</v>
      </c>
      <c r="C79">
        <v>30101</v>
      </c>
      <c r="D79" t="s">
        <v>832</v>
      </c>
      <c r="E79" t="s">
        <v>833</v>
      </c>
      <c r="I79" t="s">
        <v>194</v>
      </c>
      <c r="J79" t="s">
        <v>834</v>
      </c>
      <c r="U79" t="s">
        <v>273</v>
      </c>
      <c r="V79" t="s">
        <v>157</v>
      </c>
      <c r="W79">
        <v>77838124079</v>
      </c>
      <c r="X79">
        <v>10077838124076</v>
      </c>
      <c r="Y79" t="s">
        <v>473</v>
      </c>
      <c r="Z79" t="s">
        <v>835</v>
      </c>
      <c r="AA79" t="s">
        <v>756</v>
      </c>
      <c r="AB79" t="s">
        <v>756</v>
      </c>
      <c r="AC79" t="s">
        <v>836</v>
      </c>
      <c r="AD79" t="s">
        <v>837</v>
      </c>
      <c r="AE79" t="s">
        <v>600</v>
      </c>
      <c r="AF79" t="s">
        <v>185</v>
      </c>
      <c r="AG79">
        <v>940399.40800000005</v>
      </c>
      <c r="AH79">
        <v>175</v>
      </c>
      <c r="AL79" t="s">
        <v>838</v>
      </c>
    </row>
    <row r="80" spans="1:93" x14ac:dyDescent="0.25">
      <c r="A80" t="s">
        <v>839</v>
      </c>
      <c r="B80" t="e">
        <f>_xlfn.XLOOKUP(C80,'[1]Image URL'!$E:$E,'[1]Image URL'!$A:$A)</f>
        <v>#N/A</v>
      </c>
      <c r="C80">
        <v>932507</v>
      </c>
      <c r="D80" t="s">
        <v>840</v>
      </c>
      <c r="E80" t="s">
        <v>841</v>
      </c>
      <c r="F80" t="s">
        <v>842</v>
      </c>
      <c r="I80" t="s">
        <v>194</v>
      </c>
      <c r="J80" t="s">
        <v>195</v>
      </c>
      <c r="U80" t="s">
        <v>196</v>
      </c>
      <c r="V80" t="s">
        <v>157</v>
      </c>
      <c r="W80">
        <v>77838242339</v>
      </c>
      <c r="X80">
        <v>10077838142339</v>
      </c>
      <c r="Y80" t="s">
        <v>843</v>
      </c>
      <c r="Z80" t="s">
        <v>844</v>
      </c>
      <c r="AA80" t="s">
        <v>845</v>
      </c>
      <c r="AB80" t="s">
        <v>846</v>
      </c>
      <c r="AC80" t="s">
        <v>224</v>
      </c>
      <c r="AD80" t="s">
        <v>467</v>
      </c>
      <c r="AE80" t="s">
        <v>303</v>
      </c>
      <c r="AF80" t="s">
        <v>303</v>
      </c>
      <c r="AG80">
        <v>392410.4</v>
      </c>
      <c r="AH80">
        <v>125</v>
      </c>
      <c r="AM80" t="s">
        <v>847</v>
      </c>
      <c r="AN80" t="s">
        <v>334</v>
      </c>
      <c r="AT80" t="s">
        <v>848</v>
      </c>
      <c r="BL80" t="s">
        <v>849</v>
      </c>
      <c r="BM80" t="s">
        <v>850</v>
      </c>
      <c r="BO80" t="s">
        <v>851</v>
      </c>
    </row>
    <row r="81" spans="1:94" x14ac:dyDescent="0.25">
      <c r="A81" t="s">
        <v>852</v>
      </c>
      <c r="B81" t="e">
        <f>_xlfn.XLOOKUP(C81,'[1]Image URL'!$E:$E,'[1]Image URL'!$A:$A)</f>
        <v>#N/A</v>
      </c>
      <c r="C81">
        <v>771108</v>
      </c>
      <c r="D81" t="s">
        <v>449</v>
      </c>
      <c r="E81" t="s">
        <v>450</v>
      </c>
      <c r="H81" t="s">
        <v>451</v>
      </c>
      <c r="U81" t="s">
        <v>422</v>
      </c>
      <c r="V81" t="s">
        <v>157</v>
      </c>
      <c r="W81">
        <v>77838202074</v>
      </c>
      <c r="X81">
        <v>10077838202071</v>
      </c>
      <c r="Y81" t="s">
        <v>452</v>
      </c>
      <c r="Z81" t="s">
        <v>453</v>
      </c>
      <c r="AA81" t="s">
        <v>454</v>
      </c>
      <c r="AB81" t="s">
        <v>454</v>
      </c>
      <c r="AC81" t="s">
        <v>454</v>
      </c>
      <c r="AD81" t="s">
        <v>455</v>
      </c>
      <c r="AE81" t="s">
        <v>315</v>
      </c>
      <c r="AF81" t="s">
        <v>456</v>
      </c>
      <c r="AG81">
        <v>732393.00800000003</v>
      </c>
      <c r="AH81">
        <v>175</v>
      </c>
      <c r="AN81" t="s">
        <v>457</v>
      </c>
      <c r="BP81" t="s">
        <v>458</v>
      </c>
    </row>
    <row r="82" spans="1:94" x14ac:dyDescent="0.25">
      <c r="A82" t="s">
        <v>853</v>
      </c>
      <c r="B82" t="e">
        <f>_xlfn.XLOOKUP(C82,'[1]Image URL'!$E:$E,'[1]Image URL'!$A:$A)</f>
        <v>#N/A</v>
      </c>
      <c r="C82">
        <v>30206</v>
      </c>
      <c r="D82" t="s">
        <v>798</v>
      </c>
      <c r="E82" t="s">
        <v>799</v>
      </c>
      <c r="F82" t="s">
        <v>800</v>
      </c>
      <c r="G82" t="s">
        <v>550</v>
      </c>
      <c r="H82" t="s">
        <v>340</v>
      </c>
      <c r="J82" t="s">
        <v>341</v>
      </c>
      <c r="U82" t="s">
        <v>342</v>
      </c>
      <c r="V82" t="s">
        <v>157</v>
      </c>
      <c r="W82">
        <v>77838623213</v>
      </c>
      <c r="X82">
        <v>10077838123215</v>
      </c>
      <c r="Y82" t="s">
        <v>343</v>
      </c>
      <c r="Z82" t="s">
        <v>344</v>
      </c>
      <c r="AA82" t="s">
        <v>345</v>
      </c>
      <c r="AB82" t="s">
        <v>152</v>
      </c>
      <c r="AC82" t="s">
        <v>242</v>
      </c>
      <c r="AD82" t="s">
        <v>801</v>
      </c>
      <c r="AE82" t="s">
        <v>802</v>
      </c>
      <c r="AF82" t="s">
        <v>164</v>
      </c>
      <c r="AG82">
        <v>392410.4</v>
      </c>
      <c r="AH82">
        <v>250</v>
      </c>
      <c r="AL82" t="s">
        <v>350</v>
      </c>
    </row>
    <row r="83" spans="1:94" x14ac:dyDescent="0.25">
      <c r="A83" t="s">
        <v>854</v>
      </c>
      <c r="B83" t="e">
        <f>_xlfn.XLOOKUP(C83,'[1]Image URL'!$E:$E,'[1]Image URL'!$A:$A)</f>
        <v>#N/A</v>
      </c>
      <c r="C83">
        <v>660808</v>
      </c>
      <c r="D83" t="s">
        <v>856</v>
      </c>
      <c r="E83" t="s">
        <v>857</v>
      </c>
      <c r="I83" t="s">
        <v>147</v>
      </c>
      <c r="J83" t="s">
        <v>148</v>
      </c>
      <c r="K83" t="s">
        <v>752</v>
      </c>
      <c r="L83" t="s">
        <v>188</v>
      </c>
      <c r="M83" t="s">
        <v>858</v>
      </c>
      <c r="O83" t="s">
        <v>859</v>
      </c>
      <c r="P83" t="s">
        <v>860</v>
      </c>
      <c r="Q83" t="s">
        <v>174</v>
      </c>
      <c r="R83" t="s">
        <v>439</v>
      </c>
      <c r="S83" t="s">
        <v>861</v>
      </c>
      <c r="T83" t="s">
        <v>862</v>
      </c>
      <c r="U83" t="s">
        <v>156</v>
      </c>
      <c r="V83" t="s">
        <v>157</v>
      </c>
      <c r="W83">
        <v>77838086766</v>
      </c>
      <c r="X83">
        <v>10077838086763</v>
      </c>
      <c r="Y83" t="s">
        <v>863</v>
      </c>
      <c r="Z83" t="s">
        <v>864</v>
      </c>
      <c r="AA83" t="s">
        <v>865</v>
      </c>
      <c r="AB83" t="s">
        <v>866</v>
      </c>
      <c r="AC83" t="s">
        <v>329</v>
      </c>
      <c r="AD83" t="s">
        <v>867</v>
      </c>
      <c r="AE83" t="s">
        <v>314</v>
      </c>
      <c r="AF83" t="s">
        <v>185</v>
      </c>
      <c r="AG83">
        <v>392410.4</v>
      </c>
      <c r="AH83">
        <v>85</v>
      </c>
      <c r="AI83" t="s">
        <v>186</v>
      </c>
      <c r="AK83" t="s">
        <v>174</v>
      </c>
      <c r="CP83" t="s">
        <v>868</v>
      </c>
    </row>
    <row r="84" spans="1:94" x14ac:dyDescent="0.25">
      <c r="A84" t="s">
        <v>869</v>
      </c>
      <c r="B84" t="e">
        <f>_xlfn.XLOOKUP(C84,'[1]Image URL'!$E:$E,'[1]Image URL'!$A:$A)</f>
        <v>#N/A</v>
      </c>
      <c r="C84">
        <v>900103</v>
      </c>
      <c r="D84" t="s">
        <v>870</v>
      </c>
      <c r="E84" t="s">
        <v>871</v>
      </c>
      <c r="F84" t="s">
        <v>295</v>
      </c>
      <c r="G84" t="s">
        <v>354</v>
      </c>
      <c r="H84" t="s">
        <v>355</v>
      </c>
      <c r="I84" t="s">
        <v>147</v>
      </c>
      <c r="J84" t="s">
        <v>280</v>
      </c>
      <c r="K84" t="s">
        <v>356</v>
      </c>
      <c r="L84" t="s">
        <v>357</v>
      </c>
      <c r="U84" t="s">
        <v>281</v>
      </c>
      <c r="V84" t="s">
        <v>282</v>
      </c>
      <c r="W84">
        <v>77838072004</v>
      </c>
      <c r="X84">
        <v>10077838072001</v>
      </c>
      <c r="Y84" t="s">
        <v>358</v>
      </c>
      <c r="Z84" t="s">
        <v>359</v>
      </c>
      <c r="AA84" t="s">
        <v>360</v>
      </c>
      <c r="AB84" t="s">
        <v>361</v>
      </c>
      <c r="AC84" t="s">
        <v>362</v>
      </c>
      <c r="AD84" t="s">
        <v>235</v>
      </c>
      <c r="AE84" t="s">
        <v>269</v>
      </c>
      <c r="AF84" t="s">
        <v>235</v>
      </c>
      <c r="AG84">
        <v>940370.80299999996</v>
      </c>
      <c r="AH84">
        <v>250</v>
      </c>
      <c r="AL84" t="s">
        <v>363</v>
      </c>
      <c r="AT84" t="s">
        <v>364</v>
      </c>
      <c r="AW84" t="s">
        <v>295</v>
      </c>
      <c r="AX84" t="s">
        <v>365</v>
      </c>
      <c r="AZ84" t="s">
        <v>288</v>
      </c>
      <c r="BJ84" t="s">
        <v>354</v>
      </c>
      <c r="BK84" t="s">
        <v>366</v>
      </c>
    </row>
    <row r="85" spans="1:94" x14ac:dyDescent="0.25">
      <c r="A85" t="s">
        <v>872</v>
      </c>
      <c r="B85" t="e">
        <f>_xlfn.XLOOKUP(C85,'[1]Image URL'!$E:$E,'[1]Image URL'!$A:$A)</f>
        <v>#N/A</v>
      </c>
      <c r="C85">
        <v>30003</v>
      </c>
      <c r="D85" t="s">
        <v>874</v>
      </c>
      <c r="E85" t="s">
        <v>515</v>
      </c>
      <c r="U85" t="s">
        <v>156</v>
      </c>
      <c r="V85" t="s">
        <v>157</v>
      </c>
      <c r="W85">
        <v>77838166116</v>
      </c>
      <c r="X85">
        <v>10077838166113</v>
      </c>
      <c r="Y85" t="s">
        <v>516</v>
      </c>
      <c r="Z85" t="s">
        <v>517</v>
      </c>
      <c r="AA85" t="s">
        <v>518</v>
      </c>
      <c r="AB85" t="s">
        <v>454</v>
      </c>
      <c r="AC85" t="s">
        <v>519</v>
      </c>
      <c r="AD85" t="s">
        <v>455</v>
      </c>
      <c r="AE85" t="s">
        <v>315</v>
      </c>
      <c r="AF85" t="s">
        <v>456</v>
      </c>
      <c r="AG85">
        <v>392410.4</v>
      </c>
      <c r="AH85">
        <v>125</v>
      </c>
      <c r="AM85" t="s">
        <v>520</v>
      </c>
      <c r="AS85" t="s">
        <v>196</v>
      </c>
      <c r="BS85" t="s">
        <v>521</v>
      </c>
      <c r="BT85" t="s">
        <v>522</v>
      </c>
      <c r="BU85" t="s">
        <v>472</v>
      </c>
      <c r="BV85" t="s">
        <v>523</v>
      </c>
      <c r="BW85" t="s">
        <v>524</v>
      </c>
    </row>
    <row r="86" spans="1:94" x14ac:dyDescent="0.25">
      <c r="A86" t="s">
        <v>875</v>
      </c>
      <c r="B86" t="e">
        <f>_xlfn.XLOOKUP(C86,'[1]Image URL'!$E:$E,'[1]Image URL'!$A:$A)</f>
        <v>#N/A</v>
      </c>
      <c r="C86">
        <v>916007</v>
      </c>
      <c r="D86" t="s">
        <v>877</v>
      </c>
      <c r="E86" t="s">
        <v>686</v>
      </c>
      <c r="F86" t="s">
        <v>144</v>
      </c>
      <c r="G86" t="s">
        <v>145</v>
      </c>
      <c r="H86" t="s">
        <v>146</v>
      </c>
      <c r="I86" t="s">
        <v>147</v>
      </c>
      <c r="J86" t="s">
        <v>148</v>
      </c>
      <c r="K86" t="s">
        <v>149</v>
      </c>
      <c r="L86" t="s">
        <v>150</v>
      </c>
      <c r="M86" t="s">
        <v>151</v>
      </c>
      <c r="N86" t="s">
        <v>152</v>
      </c>
      <c r="O86" t="s">
        <v>153</v>
      </c>
      <c r="P86" t="s">
        <v>154</v>
      </c>
      <c r="Q86" t="s">
        <v>146</v>
      </c>
      <c r="R86" t="s">
        <v>144</v>
      </c>
      <c r="S86" t="s">
        <v>145</v>
      </c>
      <c r="T86" t="s">
        <v>155</v>
      </c>
      <c r="U86" t="s">
        <v>156</v>
      </c>
      <c r="V86" t="s">
        <v>157</v>
      </c>
      <c r="W86">
        <v>77838089811</v>
      </c>
      <c r="X86">
        <v>10077838089818</v>
      </c>
      <c r="Y86" t="s">
        <v>158</v>
      </c>
      <c r="Z86" t="s">
        <v>159</v>
      </c>
      <c r="AA86" t="s">
        <v>160</v>
      </c>
      <c r="AB86" t="s">
        <v>160</v>
      </c>
      <c r="AC86" t="s">
        <v>161</v>
      </c>
      <c r="AD86" t="s">
        <v>162</v>
      </c>
      <c r="AE86" t="s">
        <v>163</v>
      </c>
      <c r="AF86" t="s">
        <v>164</v>
      </c>
      <c r="AG86">
        <v>392410.4</v>
      </c>
      <c r="AH86">
        <v>92.5</v>
      </c>
      <c r="AI86" t="s">
        <v>193</v>
      </c>
      <c r="AK86" t="s">
        <v>687</v>
      </c>
    </row>
    <row r="87" spans="1:94" x14ac:dyDescent="0.25">
      <c r="A87" t="s">
        <v>878</v>
      </c>
      <c r="B87" t="e">
        <f>_xlfn.XLOOKUP(C87,'[1]Image URL'!$E:$E,'[1]Image URL'!$A:$A)</f>
        <v>#N/A</v>
      </c>
      <c r="C87">
        <v>922407</v>
      </c>
      <c r="D87" t="s">
        <v>880</v>
      </c>
      <c r="E87" t="s">
        <v>437</v>
      </c>
      <c r="F87" t="s">
        <v>881</v>
      </c>
      <c r="G87" t="s">
        <v>882</v>
      </c>
      <c r="H87" t="s">
        <v>440</v>
      </c>
      <c r="I87" t="s">
        <v>147</v>
      </c>
      <c r="J87" t="s">
        <v>212</v>
      </c>
      <c r="U87" t="s">
        <v>262</v>
      </c>
      <c r="V87" t="s">
        <v>157</v>
      </c>
      <c r="W87">
        <v>77838145241</v>
      </c>
      <c r="X87">
        <v>10077838145248</v>
      </c>
      <c r="Y87" t="s">
        <v>883</v>
      </c>
      <c r="Z87" t="s">
        <v>884</v>
      </c>
      <c r="AA87" t="s">
        <v>598</v>
      </c>
      <c r="AB87" t="s">
        <v>181</v>
      </c>
      <c r="AC87" t="s">
        <v>696</v>
      </c>
      <c r="AD87" t="s">
        <v>162</v>
      </c>
      <c r="AE87" t="s">
        <v>303</v>
      </c>
      <c r="AF87" t="s">
        <v>349</v>
      </c>
      <c r="AG87">
        <v>392350</v>
      </c>
      <c r="AH87">
        <v>175</v>
      </c>
    </row>
    <row r="88" spans="1:94" x14ac:dyDescent="0.25">
      <c r="A88" t="s">
        <v>885</v>
      </c>
      <c r="B88" t="e">
        <f>_xlfn.XLOOKUP(C88,'[1]Image URL'!$E:$E,'[1]Image URL'!$A:$A)</f>
        <v>#N/A</v>
      </c>
      <c r="C88">
        <v>771101</v>
      </c>
      <c r="D88" t="s">
        <v>886</v>
      </c>
      <c r="E88" t="s">
        <v>593</v>
      </c>
      <c r="F88" t="s">
        <v>594</v>
      </c>
      <c r="G88" t="s">
        <v>594</v>
      </c>
      <c r="H88" t="s">
        <v>361</v>
      </c>
      <c r="J88" t="s">
        <v>212</v>
      </c>
      <c r="U88" t="s">
        <v>584</v>
      </c>
      <c r="V88" t="s">
        <v>157</v>
      </c>
      <c r="W88">
        <v>77838505618</v>
      </c>
      <c r="X88">
        <v>10077838005610</v>
      </c>
      <c r="Y88" t="s">
        <v>595</v>
      </c>
      <c r="Z88" t="s">
        <v>596</v>
      </c>
      <c r="AA88" t="s">
        <v>597</v>
      </c>
      <c r="AB88" t="s">
        <v>598</v>
      </c>
      <c r="AC88" t="s">
        <v>599</v>
      </c>
      <c r="AD88" t="s">
        <v>600</v>
      </c>
      <c r="AE88" t="s">
        <v>185</v>
      </c>
      <c r="AF88" t="s">
        <v>235</v>
      </c>
      <c r="AG88">
        <v>392410.4</v>
      </c>
      <c r="AH88">
        <v>175</v>
      </c>
      <c r="AM88" t="s">
        <v>601</v>
      </c>
      <c r="AS88" t="s">
        <v>217</v>
      </c>
      <c r="BX88" t="s">
        <v>594</v>
      </c>
      <c r="BY88" t="s">
        <v>602</v>
      </c>
    </row>
    <row r="89" spans="1:94" x14ac:dyDescent="0.25">
      <c r="A89" t="s">
        <v>887</v>
      </c>
      <c r="B89" t="e">
        <f>_xlfn.XLOOKUP(C89,'[1]Image URL'!$E:$E,'[1]Image URL'!$A:$A)</f>
        <v>#N/A</v>
      </c>
      <c r="C89">
        <v>922403</v>
      </c>
      <c r="D89" t="s">
        <v>700</v>
      </c>
      <c r="E89" t="s">
        <v>191</v>
      </c>
      <c r="F89" t="s">
        <v>192</v>
      </c>
      <c r="G89" t="s">
        <v>186</v>
      </c>
      <c r="H89" t="s">
        <v>193</v>
      </c>
      <c r="I89" t="s">
        <v>194</v>
      </c>
      <c r="J89" t="s">
        <v>195</v>
      </c>
      <c r="U89" t="s">
        <v>196</v>
      </c>
      <c r="V89" t="s">
        <v>157</v>
      </c>
      <c r="W89">
        <v>77838500668</v>
      </c>
      <c r="X89">
        <v>10077838000660</v>
      </c>
      <c r="Y89" t="s">
        <v>197</v>
      </c>
      <c r="Z89" t="s">
        <v>198</v>
      </c>
      <c r="AA89" t="s">
        <v>199</v>
      </c>
      <c r="AB89" t="s">
        <v>200</v>
      </c>
      <c r="AC89" t="s">
        <v>201</v>
      </c>
      <c r="AD89" t="s">
        <v>202</v>
      </c>
      <c r="AE89" t="s">
        <v>203</v>
      </c>
      <c r="AF89" t="s">
        <v>204</v>
      </c>
      <c r="AG89">
        <v>392410.4</v>
      </c>
      <c r="AH89">
        <v>70</v>
      </c>
      <c r="AL89" t="s">
        <v>205</v>
      </c>
      <c r="AM89" t="s">
        <v>206</v>
      </c>
    </row>
    <row r="90" spans="1:94" x14ac:dyDescent="0.25">
      <c r="A90" t="s">
        <v>888</v>
      </c>
      <c r="B90" t="e">
        <f>_xlfn.XLOOKUP(C90,'[1]Image URL'!$E:$E,'[1]Image URL'!$A:$A)</f>
        <v>#N/A</v>
      </c>
      <c r="C90">
        <v>924803</v>
      </c>
      <c r="D90" t="s">
        <v>889</v>
      </c>
      <c r="E90" t="s">
        <v>890</v>
      </c>
      <c r="F90" t="s">
        <v>643</v>
      </c>
      <c r="G90" t="s">
        <v>472</v>
      </c>
      <c r="H90" t="s">
        <v>392</v>
      </c>
      <c r="I90" t="s">
        <v>147</v>
      </c>
      <c r="J90" t="s">
        <v>212</v>
      </c>
      <c r="U90" t="s">
        <v>262</v>
      </c>
      <c r="V90" t="s">
        <v>157</v>
      </c>
      <c r="W90">
        <v>77838065631</v>
      </c>
      <c r="X90">
        <v>10077838065638</v>
      </c>
      <c r="Y90" t="s">
        <v>891</v>
      </c>
      <c r="Z90" t="s">
        <v>892</v>
      </c>
      <c r="AA90" t="s">
        <v>893</v>
      </c>
      <c r="AB90" t="s">
        <v>894</v>
      </c>
      <c r="AC90" t="s">
        <v>895</v>
      </c>
      <c r="AD90" t="s">
        <v>647</v>
      </c>
      <c r="AE90" t="s">
        <v>456</v>
      </c>
      <c r="AF90" t="s">
        <v>635</v>
      </c>
      <c r="AG90">
        <v>940399.40800000005</v>
      </c>
      <c r="AH90">
        <v>125</v>
      </c>
      <c r="AL90" t="s">
        <v>896</v>
      </c>
      <c r="AT90" t="s">
        <v>472</v>
      </c>
    </row>
    <row r="91" spans="1:94" x14ac:dyDescent="0.25">
      <c r="A91" t="s">
        <v>897</v>
      </c>
      <c r="B91" t="e">
        <f>_xlfn.XLOOKUP(C91,'[1]Image URL'!$E:$E,'[1]Image URL'!$A:$A)</f>
        <v>#N/A</v>
      </c>
      <c r="C91">
        <v>900203</v>
      </c>
      <c r="D91" t="s">
        <v>898</v>
      </c>
      <c r="E91" t="s">
        <v>899</v>
      </c>
      <c r="F91" t="s">
        <v>900</v>
      </c>
      <c r="G91" t="s">
        <v>286</v>
      </c>
      <c r="H91" t="s">
        <v>901</v>
      </c>
      <c r="I91" t="s">
        <v>147</v>
      </c>
      <c r="J91" t="s">
        <v>280</v>
      </c>
      <c r="U91" t="s">
        <v>281</v>
      </c>
      <c r="V91" t="s">
        <v>282</v>
      </c>
      <c r="W91">
        <v>77838105573</v>
      </c>
      <c r="X91">
        <v>10077838105570</v>
      </c>
      <c r="Y91" t="s">
        <v>902</v>
      </c>
      <c r="Z91" t="s">
        <v>903</v>
      </c>
      <c r="AA91" t="s">
        <v>485</v>
      </c>
      <c r="AB91" t="s">
        <v>334</v>
      </c>
      <c r="AC91" t="s">
        <v>904</v>
      </c>
      <c r="AD91" t="s">
        <v>203</v>
      </c>
      <c r="AE91" t="s">
        <v>316</v>
      </c>
      <c r="AF91" t="s">
        <v>314</v>
      </c>
      <c r="AG91">
        <v>940390.5</v>
      </c>
      <c r="AH91">
        <v>70</v>
      </c>
      <c r="AL91" t="s">
        <v>905</v>
      </c>
    </row>
    <row r="92" spans="1:94" x14ac:dyDescent="0.25">
      <c r="A92" t="s">
        <v>906</v>
      </c>
      <c r="B92" t="e">
        <f>_xlfn.XLOOKUP(C92,'[1]Image URL'!$E:$E,'[1]Image URL'!$A:$A)</f>
        <v>#N/A</v>
      </c>
      <c r="C92" t="s">
        <v>977</v>
      </c>
      <c r="D92" t="s">
        <v>907</v>
      </c>
      <c r="E92" t="s">
        <v>581</v>
      </c>
      <c r="F92" t="s">
        <v>582</v>
      </c>
      <c r="G92" t="s">
        <v>582</v>
      </c>
      <c r="H92" t="s">
        <v>583</v>
      </c>
      <c r="J92" t="s">
        <v>212</v>
      </c>
      <c r="U92" t="s">
        <v>584</v>
      </c>
      <c r="V92" t="s">
        <v>157</v>
      </c>
      <c r="W92">
        <v>77838505717</v>
      </c>
      <c r="X92">
        <v>10077838005719</v>
      </c>
      <c r="Y92" t="s">
        <v>585</v>
      </c>
      <c r="Z92" t="s">
        <v>586</v>
      </c>
      <c r="AA92" t="s">
        <v>495</v>
      </c>
      <c r="AB92" t="s">
        <v>587</v>
      </c>
      <c r="AC92" t="s">
        <v>169</v>
      </c>
      <c r="AD92" t="s">
        <v>588</v>
      </c>
      <c r="AE92" t="s">
        <v>349</v>
      </c>
      <c r="AF92" t="s">
        <v>302</v>
      </c>
      <c r="AG92">
        <v>392410.4</v>
      </c>
      <c r="AH92">
        <v>125</v>
      </c>
      <c r="AM92" t="s">
        <v>589</v>
      </c>
      <c r="AS92" t="s">
        <v>217</v>
      </c>
      <c r="BX92" t="s">
        <v>582</v>
      </c>
      <c r="BY92" t="s">
        <v>590</v>
      </c>
    </row>
    <row r="93" spans="1:94" x14ac:dyDescent="0.25">
      <c r="A93" t="s">
        <v>908</v>
      </c>
      <c r="B93" t="e">
        <f>_xlfn.XLOOKUP(C93,'[1]Image URL'!$E:$E,'[1]Image URL'!$A:$A)</f>
        <v>#N/A</v>
      </c>
      <c r="C93">
        <v>30102</v>
      </c>
      <c r="D93" t="s">
        <v>909</v>
      </c>
      <c r="E93" t="s">
        <v>910</v>
      </c>
      <c r="F93" t="s">
        <v>911</v>
      </c>
      <c r="G93" t="s">
        <v>457</v>
      </c>
      <c r="H93" t="s">
        <v>381</v>
      </c>
      <c r="I93" t="s">
        <v>147</v>
      </c>
      <c r="J93" t="s">
        <v>212</v>
      </c>
      <c r="U93" t="s">
        <v>262</v>
      </c>
      <c r="V93" t="s">
        <v>157</v>
      </c>
      <c r="W93">
        <v>77838062616</v>
      </c>
      <c r="X93">
        <v>10077838062613</v>
      </c>
      <c r="Y93" t="s">
        <v>912</v>
      </c>
      <c r="Z93" t="s">
        <v>913</v>
      </c>
      <c r="AA93" t="s">
        <v>914</v>
      </c>
      <c r="AB93" t="s">
        <v>915</v>
      </c>
      <c r="AC93" t="s">
        <v>916</v>
      </c>
      <c r="AD93" t="s">
        <v>314</v>
      </c>
      <c r="AE93" t="s">
        <v>316</v>
      </c>
      <c r="AF93" t="s">
        <v>315</v>
      </c>
      <c r="AG93">
        <v>940399.40800000005</v>
      </c>
      <c r="AH93">
        <v>125</v>
      </c>
      <c r="AL93" t="s">
        <v>452</v>
      </c>
    </row>
    <row r="94" spans="1:94" x14ac:dyDescent="0.25">
      <c r="A94" t="s">
        <v>917</v>
      </c>
      <c r="B94" t="e">
        <f>_xlfn.XLOOKUP(C94,'[1]Image URL'!$E:$E,'[1]Image URL'!$A:$A)</f>
        <v>#N/A</v>
      </c>
      <c r="C94">
        <v>660605</v>
      </c>
      <c r="D94" t="s">
        <v>918</v>
      </c>
      <c r="E94" t="s">
        <v>783</v>
      </c>
      <c r="F94" t="s">
        <v>784</v>
      </c>
      <c r="G94" t="s">
        <v>785</v>
      </c>
      <c r="H94" t="s">
        <v>784</v>
      </c>
      <c r="I94" t="s">
        <v>147</v>
      </c>
      <c r="J94" t="s">
        <v>280</v>
      </c>
      <c r="U94" t="s">
        <v>281</v>
      </c>
      <c r="V94" t="s">
        <v>282</v>
      </c>
      <c r="W94">
        <v>77838105405</v>
      </c>
      <c r="X94">
        <v>10077838105402</v>
      </c>
      <c r="Y94" t="s">
        <v>786</v>
      </c>
      <c r="Z94" t="s">
        <v>787</v>
      </c>
      <c r="AA94" t="s">
        <v>788</v>
      </c>
      <c r="AB94" t="s">
        <v>789</v>
      </c>
      <c r="AC94" t="s">
        <v>790</v>
      </c>
      <c r="AD94" t="s">
        <v>269</v>
      </c>
      <c r="AE94" t="s">
        <v>269</v>
      </c>
      <c r="AF94" t="s">
        <v>269</v>
      </c>
      <c r="AG94">
        <v>940370.80299999996</v>
      </c>
      <c r="AH94">
        <v>250</v>
      </c>
      <c r="AK94" t="s">
        <v>784</v>
      </c>
      <c r="AL94" t="s">
        <v>791</v>
      </c>
      <c r="BF94" t="s">
        <v>785</v>
      </c>
      <c r="CF94" t="s">
        <v>792</v>
      </c>
      <c r="CG94" t="s">
        <v>361</v>
      </c>
      <c r="CH94" t="s">
        <v>726</v>
      </c>
      <c r="CI94" t="s">
        <v>313</v>
      </c>
      <c r="CJ94" t="s">
        <v>553</v>
      </c>
      <c r="CK94" t="s">
        <v>793</v>
      </c>
      <c r="CL94" t="s">
        <v>361</v>
      </c>
      <c r="CM94" t="s">
        <v>794</v>
      </c>
      <c r="CN94" t="s">
        <v>313</v>
      </c>
    </row>
    <row r="95" spans="1:94" x14ac:dyDescent="0.25">
      <c r="A95" t="s">
        <v>919</v>
      </c>
      <c r="B95" t="e">
        <f>_xlfn.XLOOKUP(C95,'[1]Image URL'!$E:$E,'[1]Image URL'!$A:$A)</f>
        <v>#N/A</v>
      </c>
      <c r="C95">
        <v>460906</v>
      </c>
      <c r="D95" t="s">
        <v>920</v>
      </c>
      <c r="E95" t="s">
        <v>921</v>
      </c>
      <c r="F95" t="s">
        <v>594</v>
      </c>
      <c r="G95" t="s">
        <v>594</v>
      </c>
      <c r="H95" t="s">
        <v>361</v>
      </c>
      <c r="J95" t="s">
        <v>212</v>
      </c>
      <c r="U95" t="s">
        <v>584</v>
      </c>
      <c r="V95" t="s">
        <v>157</v>
      </c>
      <c r="W95">
        <v>77838505632</v>
      </c>
      <c r="X95">
        <v>10077838005634</v>
      </c>
      <c r="Y95" t="s">
        <v>595</v>
      </c>
      <c r="Z95" t="s">
        <v>596</v>
      </c>
      <c r="AA95" t="s">
        <v>597</v>
      </c>
      <c r="AB95" t="s">
        <v>598</v>
      </c>
      <c r="AC95" t="s">
        <v>599</v>
      </c>
      <c r="AD95" t="s">
        <v>600</v>
      </c>
      <c r="AE95" t="s">
        <v>185</v>
      </c>
      <c r="AF95" t="s">
        <v>235</v>
      </c>
      <c r="AG95">
        <v>392410.4</v>
      </c>
      <c r="AH95">
        <v>175</v>
      </c>
      <c r="AM95" t="s">
        <v>601</v>
      </c>
      <c r="AS95" t="s">
        <v>217</v>
      </c>
      <c r="BX95" t="s">
        <v>594</v>
      </c>
      <c r="BY95" t="s">
        <v>602</v>
      </c>
    </row>
    <row r="96" spans="1:94" x14ac:dyDescent="0.25">
      <c r="A96" t="s">
        <v>922</v>
      </c>
      <c r="B96" t="e">
        <f>_xlfn.XLOOKUP(C96,'[1]Image URL'!$E:$E,'[1]Image URL'!$A:$A)</f>
        <v>#N/A</v>
      </c>
      <c r="C96">
        <v>38502</v>
      </c>
    </row>
    <row r="97" spans="1:92" x14ac:dyDescent="0.25">
      <c r="A97" t="s">
        <v>923</v>
      </c>
      <c r="B97" t="e">
        <f>_xlfn.XLOOKUP(C97,'[1]Image URL'!$E:$E,'[1]Image URL'!$A:$A)</f>
        <v>#N/A</v>
      </c>
      <c r="C97">
        <v>30103</v>
      </c>
      <c r="D97" t="s">
        <v>719</v>
      </c>
      <c r="E97" t="s">
        <v>191</v>
      </c>
      <c r="F97" t="s">
        <v>192</v>
      </c>
      <c r="G97" t="s">
        <v>186</v>
      </c>
      <c r="H97" t="s">
        <v>193</v>
      </c>
      <c r="I97" t="s">
        <v>194</v>
      </c>
      <c r="J97" t="s">
        <v>195</v>
      </c>
      <c r="U97" t="s">
        <v>196</v>
      </c>
      <c r="V97" t="s">
        <v>157</v>
      </c>
      <c r="W97">
        <v>77838500743</v>
      </c>
      <c r="X97">
        <v>10077838000745</v>
      </c>
      <c r="Y97" t="s">
        <v>197</v>
      </c>
      <c r="Z97" t="s">
        <v>198</v>
      </c>
      <c r="AA97" t="s">
        <v>199</v>
      </c>
      <c r="AB97" t="s">
        <v>200</v>
      </c>
      <c r="AC97" t="s">
        <v>201</v>
      </c>
      <c r="AD97" t="s">
        <v>202</v>
      </c>
      <c r="AE97" t="s">
        <v>203</v>
      </c>
      <c r="AF97" t="s">
        <v>204</v>
      </c>
      <c r="AG97">
        <v>392410.4</v>
      </c>
      <c r="AH97">
        <v>70</v>
      </c>
      <c r="AL97" t="s">
        <v>205</v>
      </c>
      <c r="AM97" t="s">
        <v>206</v>
      </c>
    </row>
    <row r="98" spans="1:92" x14ac:dyDescent="0.25">
      <c r="A98" t="s">
        <v>924</v>
      </c>
      <c r="B98" t="e">
        <f>_xlfn.XLOOKUP(C98,'[1]Image URL'!$E:$E,'[1]Image URL'!$A:$A)</f>
        <v>#N/A</v>
      </c>
      <c r="C98">
        <v>460903</v>
      </c>
      <c r="D98" t="s">
        <v>925</v>
      </c>
      <c r="E98" t="s">
        <v>926</v>
      </c>
      <c r="F98" t="s">
        <v>610</v>
      </c>
      <c r="G98" t="s">
        <v>278</v>
      </c>
      <c r="H98" t="s">
        <v>927</v>
      </c>
      <c r="I98" t="s">
        <v>147</v>
      </c>
      <c r="J98" t="s">
        <v>280</v>
      </c>
      <c r="U98" t="s">
        <v>281</v>
      </c>
      <c r="V98" t="s">
        <v>282</v>
      </c>
      <c r="W98">
        <v>77838126073</v>
      </c>
      <c r="X98">
        <v>10077838126070</v>
      </c>
      <c r="Y98" t="s">
        <v>723</v>
      </c>
      <c r="Z98" t="s">
        <v>928</v>
      </c>
      <c r="AA98" t="s">
        <v>614</v>
      </c>
      <c r="AB98" t="s">
        <v>929</v>
      </c>
      <c r="AC98" t="s">
        <v>930</v>
      </c>
      <c r="AD98" t="s">
        <v>269</v>
      </c>
      <c r="AE98" t="s">
        <v>269</v>
      </c>
      <c r="AF98" t="s">
        <v>269</v>
      </c>
      <c r="AG98">
        <v>940370.80299999996</v>
      </c>
      <c r="AH98">
        <v>250</v>
      </c>
      <c r="AL98" t="s">
        <v>931</v>
      </c>
      <c r="AZ98" t="s">
        <v>288</v>
      </c>
      <c r="BA98" t="s">
        <v>932</v>
      </c>
      <c r="BB98" t="s">
        <v>927</v>
      </c>
      <c r="BC98" t="s">
        <v>610</v>
      </c>
      <c r="BD98" t="s">
        <v>290</v>
      </c>
      <c r="BE98" t="s">
        <v>933</v>
      </c>
      <c r="BF98" t="s">
        <v>278</v>
      </c>
      <c r="BZ98" t="s">
        <v>313</v>
      </c>
      <c r="CA98" t="s">
        <v>617</v>
      </c>
    </row>
    <row r="99" spans="1:92" x14ac:dyDescent="0.25">
      <c r="A99" t="s">
        <v>934</v>
      </c>
      <c r="B99" t="e">
        <f>_xlfn.XLOOKUP(C99,'[1]Image URL'!$E:$E,'[1]Image URL'!$A:$A)</f>
        <v>#N/A</v>
      </c>
      <c r="C99">
        <v>937507</v>
      </c>
      <c r="D99" t="s">
        <v>935</v>
      </c>
      <c r="E99" t="s">
        <v>398</v>
      </c>
      <c r="I99" t="s">
        <v>194</v>
      </c>
      <c r="J99" t="s">
        <v>195</v>
      </c>
      <c r="U99" t="s">
        <v>196</v>
      </c>
      <c r="V99" t="s">
        <v>157</v>
      </c>
      <c r="W99">
        <v>77838124031</v>
      </c>
      <c r="X99">
        <v>10077838124038</v>
      </c>
      <c r="Y99" t="s">
        <v>399</v>
      </c>
      <c r="Z99" t="s">
        <v>198</v>
      </c>
      <c r="AA99" t="s">
        <v>400</v>
      </c>
      <c r="AB99" t="s">
        <v>400</v>
      </c>
      <c r="AC99" t="s">
        <v>345</v>
      </c>
      <c r="AD99" t="s">
        <v>401</v>
      </c>
      <c r="AE99" t="s">
        <v>402</v>
      </c>
      <c r="AF99" t="s">
        <v>403</v>
      </c>
      <c r="AG99">
        <v>940399.40800000005</v>
      </c>
      <c r="AH99">
        <v>92.5</v>
      </c>
      <c r="AL99" t="s">
        <v>399</v>
      </c>
    </row>
    <row r="100" spans="1:92" x14ac:dyDescent="0.25">
      <c r="A100" t="s">
        <v>936</v>
      </c>
      <c r="B100" t="e">
        <f>_xlfn.XLOOKUP(C100,'[1]Image URL'!$E:$E,'[1]Image URL'!$A:$A)</f>
        <v>#N/A</v>
      </c>
      <c r="C100">
        <v>1085103</v>
      </c>
      <c r="D100" t="s">
        <v>937</v>
      </c>
      <c r="E100" t="s">
        <v>938</v>
      </c>
      <c r="F100" t="s">
        <v>582</v>
      </c>
      <c r="G100" t="s">
        <v>582</v>
      </c>
      <c r="H100" t="s">
        <v>939</v>
      </c>
      <c r="J100" t="s">
        <v>212</v>
      </c>
      <c r="U100" t="s">
        <v>584</v>
      </c>
      <c r="V100" t="s">
        <v>157</v>
      </c>
      <c r="W100">
        <v>77838527894</v>
      </c>
      <c r="X100">
        <v>10077838027896</v>
      </c>
      <c r="Y100" t="s">
        <v>940</v>
      </c>
      <c r="Z100" t="s">
        <v>941</v>
      </c>
      <c r="AA100" t="s">
        <v>181</v>
      </c>
      <c r="AB100" t="s">
        <v>181</v>
      </c>
      <c r="AC100" t="s">
        <v>942</v>
      </c>
      <c r="AD100" t="s">
        <v>555</v>
      </c>
      <c r="AE100" t="s">
        <v>184</v>
      </c>
      <c r="AF100" t="s">
        <v>235</v>
      </c>
      <c r="AG100">
        <v>392410.4</v>
      </c>
      <c r="AH100">
        <v>175</v>
      </c>
      <c r="AM100" t="s">
        <v>943</v>
      </c>
      <c r="AS100" t="s">
        <v>217</v>
      </c>
      <c r="BX100" t="s">
        <v>582</v>
      </c>
      <c r="BY100" t="s">
        <v>345</v>
      </c>
    </row>
    <row r="101" spans="1:92" x14ac:dyDescent="0.25">
      <c r="A101" t="s">
        <v>944</v>
      </c>
      <c r="B101" t="e">
        <f>_xlfn.XLOOKUP(C101,'[1]Image URL'!$E:$E,'[1]Image URL'!$A:$A)</f>
        <v>#N/A</v>
      </c>
      <c r="C101" t="s">
        <v>1020</v>
      </c>
      <c r="D101" t="s">
        <v>874</v>
      </c>
      <c r="E101" t="s">
        <v>515</v>
      </c>
      <c r="U101" t="s">
        <v>156</v>
      </c>
      <c r="V101" t="s">
        <v>157</v>
      </c>
      <c r="W101">
        <v>77838166116</v>
      </c>
      <c r="X101">
        <v>10077838166113</v>
      </c>
      <c r="Y101" t="s">
        <v>516</v>
      </c>
      <c r="Z101" t="s">
        <v>517</v>
      </c>
      <c r="AA101" t="s">
        <v>518</v>
      </c>
      <c r="AB101" t="s">
        <v>454</v>
      </c>
      <c r="AC101" t="s">
        <v>519</v>
      </c>
      <c r="AD101" t="s">
        <v>455</v>
      </c>
      <c r="AE101" t="s">
        <v>315</v>
      </c>
      <c r="AF101" t="s">
        <v>456</v>
      </c>
      <c r="AG101">
        <v>392410.4</v>
      </c>
      <c r="AH101">
        <v>125</v>
      </c>
      <c r="AM101" t="s">
        <v>520</v>
      </c>
      <c r="AS101" t="s">
        <v>196</v>
      </c>
      <c r="BS101" t="s">
        <v>521</v>
      </c>
      <c r="BT101" t="s">
        <v>522</v>
      </c>
      <c r="BU101" t="s">
        <v>472</v>
      </c>
      <c r="BV101" t="s">
        <v>523</v>
      </c>
      <c r="BW101" t="s">
        <v>524</v>
      </c>
    </row>
    <row r="102" spans="1:92" x14ac:dyDescent="0.25">
      <c r="A102" t="s">
        <v>945</v>
      </c>
      <c r="B102" t="e">
        <f>_xlfn.XLOOKUP(C102,'[1]Image URL'!$E:$E,'[1]Image URL'!$A:$A)</f>
        <v>#N/A</v>
      </c>
      <c r="C102">
        <v>972203</v>
      </c>
      <c r="D102" t="s">
        <v>946</v>
      </c>
      <c r="E102" t="s">
        <v>258</v>
      </c>
      <c r="F102" t="s">
        <v>259</v>
      </c>
      <c r="G102" t="s">
        <v>260</v>
      </c>
      <c r="H102" t="s">
        <v>261</v>
      </c>
      <c r="I102" t="s">
        <v>147</v>
      </c>
      <c r="J102" t="s">
        <v>212</v>
      </c>
      <c r="U102" t="s">
        <v>262</v>
      </c>
      <c r="V102" t="s">
        <v>157</v>
      </c>
      <c r="W102">
        <v>77838061251</v>
      </c>
      <c r="X102">
        <v>10077838061258</v>
      </c>
      <c r="Y102" t="s">
        <v>263</v>
      </c>
      <c r="Z102" t="s">
        <v>264</v>
      </c>
      <c r="AA102" t="s">
        <v>265</v>
      </c>
      <c r="AB102" t="s">
        <v>266</v>
      </c>
      <c r="AC102" t="s">
        <v>267</v>
      </c>
      <c r="AD102" t="s">
        <v>268</v>
      </c>
      <c r="AE102" t="s">
        <v>269</v>
      </c>
      <c r="AF102" t="s">
        <v>268</v>
      </c>
      <c r="AG102">
        <v>940389.60199999996</v>
      </c>
      <c r="AH102">
        <v>150</v>
      </c>
      <c r="AL102" t="s">
        <v>270</v>
      </c>
      <c r="AT102" t="s">
        <v>260</v>
      </c>
      <c r="AU102" t="s">
        <v>261</v>
      </c>
      <c r="AV102" t="s">
        <v>271</v>
      </c>
      <c r="AW102" t="s">
        <v>259</v>
      </c>
      <c r="AX102" t="s">
        <v>272</v>
      </c>
      <c r="AY102" t="s">
        <v>273</v>
      </c>
    </row>
    <row r="103" spans="1:92" x14ac:dyDescent="0.25">
      <c r="A103" t="s">
        <v>947</v>
      </c>
      <c r="B103" t="e">
        <f>_xlfn.XLOOKUP(C103,'[1]Image URL'!$E:$E,'[1]Image URL'!$A:$A)</f>
        <v>#N/A</v>
      </c>
      <c r="C103">
        <v>900303</v>
      </c>
      <c r="D103" t="s">
        <v>948</v>
      </c>
      <c r="E103" t="s">
        <v>949</v>
      </c>
      <c r="F103" t="s">
        <v>494</v>
      </c>
      <c r="G103" t="s">
        <v>563</v>
      </c>
      <c r="H103" t="s">
        <v>291</v>
      </c>
      <c r="I103" t="s">
        <v>147</v>
      </c>
      <c r="J103" t="s">
        <v>212</v>
      </c>
      <c r="U103" t="s">
        <v>262</v>
      </c>
      <c r="V103" t="s">
        <v>157</v>
      </c>
      <c r="W103">
        <v>77838062289</v>
      </c>
      <c r="X103">
        <v>10077838062286</v>
      </c>
      <c r="Y103" t="s">
        <v>950</v>
      </c>
      <c r="Z103" t="s">
        <v>951</v>
      </c>
      <c r="AA103" t="s">
        <v>952</v>
      </c>
      <c r="AB103" t="s">
        <v>953</v>
      </c>
      <c r="AC103" t="s">
        <v>954</v>
      </c>
      <c r="AD103" t="s">
        <v>204</v>
      </c>
      <c r="AE103" t="s">
        <v>316</v>
      </c>
      <c r="AF103" t="s">
        <v>349</v>
      </c>
      <c r="AG103">
        <v>940389.60199999996</v>
      </c>
      <c r="AH103">
        <v>150</v>
      </c>
      <c r="AL103" t="s">
        <v>955</v>
      </c>
      <c r="AT103" t="s">
        <v>563</v>
      </c>
      <c r="AW103" t="s">
        <v>494</v>
      </c>
      <c r="AX103" t="s">
        <v>734</v>
      </c>
      <c r="AY103" t="s">
        <v>273</v>
      </c>
    </row>
    <row r="104" spans="1:92" x14ac:dyDescent="0.25">
      <c r="A104" t="s">
        <v>956</v>
      </c>
      <c r="B104" t="e">
        <f>_xlfn.XLOOKUP(C104,'[1]Image URL'!$E:$E,'[1]Image URL'!$A:$A)</f>
        <v>#N/A</v>
      </c>
      <c r="C104">
        <v>900231</v>
      </c>
      <c r="D104" t="s">
        <v>957</v>
      </c>
      <c r="E104" t="s">
        <v>783</v>
      </c>
      <c r="F104" t="s">
        <v>784</v>
      </c>
      <c r="G104" t="s">
        <v>785</v>
      </c>
      <c r="H104" t="s">
        <v>784</v>
      </c>
      <c r="I104" t="s">
        <v>147</v>
      </c>
      <c r="J104" t="s">
        <v>280</v>
      </c>
      <c r="U104" t="s">
        <v>281</v>
      </c>
      <c r="V104" t="s">
        <v>282</v>
      </c>
      <c r="W104">
        <v>77838105368</v>
      </c>
      <c r="X104">
        <v>10077838105365</v>
      </c>
      <c r="Y104" t="s">
        <v>786</v>
      </c>
      <c r="Z104" t="s">
        <v>787</v>
      </c>
      <c r="AA104" t="s">
        <v>788</v>
      </c>
      <c r="AB104" t="s">
        <v>789</v>
      </c>
      <c r="AC104" t="s">
        <v>790</v>
      </c>
      <c r="AD104" t="s">
        <v>269</v>
      </c>
      <c r="AE104" t="s">
        <v>269</v>
      </c>
      <c r="AF104" t="s">
        <v>269</v>
      </c>
      <c r="AG104">
        <v>940370.80299999996</v>
      </c>
      <c r="AH104">
        <v>250</v>
      </c>
      <c r="AK104" t="s">
        <v>784</v>
      </c>
      <c r="AL104" t="s">
        <v>791</v>
      </c>
      <c r="BF104" t="s">
        <v>785</v>
      </c>
      <c r="CF104" t="s">
        <v>792</v>
      </c>
      <c r="CG104" t="s">
        <v>361</v>
      </c>
      <c r="CH104" t="s">
        <v>726</v>
      </c>
      <c r="CI104" t="s">
        <v>313</v>
      </c>
      <c r="CJ104" t="s">
        <v>553</v>
      </c>
      <c r="CK104" t="s">
        <v>793</v>
      </c>
      <c r="CL104" t="s">
        <v>361</v>
      </c>
      <c r="CM104" t="s">
        <v>794</v>
      </c>
      <c r="CN104" t="s">
        <v>313</v>
      </c>
    </row>
    <row r="105" spans="1:92" x14ac:dyDescent="0.25">
      <c r="A105" t="s">
        <v>958</v>
      </c>
      <c r="B105" t="e">
        <f>_xlfn.XLOOKUP(C105,'[1]Image URL'!$E:$E,'[1]Image URL'!$A:$A)</f>
        <v>#N/A</v>
      </c>
      <c r="C105">
        <v>221002</v>
      </c>
      <c r="D105" t="s">
        <v>959</v>
      </c>
      <c r="E105" t="s">
        <v>949</v>
      </c>
      <c r="F105" t="s">
        <v>494</v>
      </c>
      <c r="G105" t="s">
        <v>563</v>
      </c>
      <c r="H105" t="s">
        <v>291</v>
      </c>
      <c r="I105" t="s">
        <v>147</v>
      </c>
      <c r="J105" t="s">
        <v>212</v>
      </c>
      <c r="U105" t="s">
        <v>262</v>
      </c>
      <c r="V105" t="s">
        <v>157</v>
      </c>
      <c r="W105">
        <v>77838123799</v>
      </c>
      <c r="X105">
        <v>10077838123796</v>
      </c>
      <c r="Y105" t="s">
        <v>950</v>
      </c>
      <c r="Z105" t="s">
        <v>951</v>
      </c>
      <c r="AA105" t="s">
        <v>952</v>
      </c>
      <c r="AB105" t="s">
        <v>953</v>
      </c>
      <c r="AC105" t="s">
        <v>954</v>
      </c>
      <c r="AD105" t="s">
        <v>204</v>
      </c>
      <c r="AE105" t="s">
        <v>316</v>
      </c>
      <c r="AF105" t="s">
        <v>349</v>
      </c>
      <c r="AG105">
        <v>940389.60199999996</v>
      </c>
      <c r="AH105">
        <v>150</v>
      </c>
      <c r="AL105" t="s">
        <v>955</v>
      </c>
      <c r="AT105" t="s">
        <v>563</v>
      </c>
      <c r="AW105" t="s">
        <v>494</v>
      </c>
      <c r="AX105" t="s">
        <v>734</v>
      </c>
      <c r="AY105" t="s">
        <v>273</v>
      </c>
    </row>
    <row r="106" spans="1:92" x14ac:dyDescent="0.25">
      <c r="A106" t="s">
        <v>960</v>
      </c>
      <c r="B106" t="e">
        <f>_xlfn.XLOOKUP(C106,'[1]Image URL'!$E:$E,'[1]Image URL'!$A:$A)</f>
        <v>#N/A</v>
      </c>
      <c r="C106">
        <v>661103</v>
      </c>
      <c r="D106" t="s">
        <v>961</v>
      </c>
      <c r="E106" t="s">
        <v>962</v>
      </c>
      <c r="F106" t="s">
        <v>380</v>
      </c>
      <c r="G106" t="s">
        <v>563</v>
      </c>
      <c r="H106" t="s">
        <v>291</v>
      </c>
      <c r="I106" t="s">
        <v>147</v>
      </c>
      <c r="J106" t="s">
        <v>212</v>
      </c>
      <c r="U106" t="s">
        <v>262</v>
      </c>
      <c r="V106" t="s">
        <v>157</v>
      </c>
      <c r="W106">
        <v>77838123805</v>
      </c>
      <c r="X106">
        <v>10077838123802</v>
      </c>
      <c r="Y106" t="s">
        <v>963</v>
      </c>
      <c r="Z106" t="s">
        <v>964</v>
      </c>
      <c r="AA106" t="s">
        <v>385</v>
      </c>
      <c r="AB106" t="s">
        <v>965</v>
      </c>
      <c r="AC106" t="s">
        <v>966</v>
      </c>
      <c r="AD106" t="s">
        <v>204</v>
      </c>
      <c r="AE106" t="s">
        <v>316</v>
      </c>
      <c r="AF106" t="s">
        <v>349</v>
      </c>
      <c r="AG106">
        <v>940389.60199999996</v>
      </c>
      <c r="AH106">
        <v>150</v>
      </c>
      <c r="AL106" t="s">
        <v>967</v>
      </c>
      <c r="AT106" t="s">
        <v>563</v>
      </c>
      <c r="AW106" t="s">
        <v>380</v>
      </c>
      <c r="AX106" t="s">
        <v>717</v>
      </c>
      <c r="AY106" t="s">
        <v>273</v>
      </c>
    </row>
    <row r="107" spans="1:92" x14ac:dyDescent="0.25">
      <c r="A107" t="s">
        <v>968</v>
      </c>
      <c r="B107" t="e">
        <f>_xlfn.XLOOKUP(C107,'[1]Image URL'!$E:$E,'[1]Image URL'!$A:$A)</f>
        <v>#N/A</v>
      </c>
      <c r="C107">
        <v>20230</v>
      </c>
    </row>
    <row r="108" spans="1:92" x14ac:dyDescent="0.25">
      <c r="A108" t="s">
        <v>969</v>
      </c>
      <c r="B108" t="e">
        <f>_xlfn.XLOOKUP(C108,'[1]Image URL'!$E:$E,'[1]Image URL'!$A:$A)</f>
        <v>#N/A</v>
      </c>
      <c r="C108">
        <v>446007</v>
      </c>
      <c r="D108" t="s">
        <v>970</v>
      </c>
      <c r="E108" t="s">
        <v>398</v>
      </c>
      <c r="I108" t="s">
        <v>194</v>
      </c>
      <c r="J108" t="s">
        <v>195</v>
      </c>
      <c r="U108" t="s">
        <v>196</v>
      </c>
      <c r="V108" t="s">
        <v>157</v>
      </c>
      <c r="W108">
        <v>77838124048</v>
      </c>
      <c r="X108">
        <v>10077838124045</v>
      </c>
      <c r="Y108" t="s">
        <v>971</v>
      </c>
      <c r="Z108" t="s">
        <v>972</v>
      </c>
      <c r="AA108" t="s">
        <v>345</v>
      </c>
      <c r="AB108" t="s">
        <v>345</v>
      </c>
      <c r="AC108" t="s">
        <v>973</v>
      </c>
      <c r="AD108" t="s">
        <v>974</v>
      </c>
      <c r="AE108" t="s">
        <v>975</v>
      </c>
      <c r="AF108" t="s">
        <v>349</v>
      </c>
      <c r="AG108">
        <v>940399.40800000005</v>
      </c>
      <c r="AH108">
        <v>92.5</v>
      </c>
      <c r="AL108" t="s">
        <v>399</v>
      </c>
    </row>
    <row r="109" spans="1:92" x14ac:dyDescent="0.25">
      <c r="A109" t="s">
        <v>976</v>
      </c>
      <c r="B109" t="e">
        <f>_xlfn.XLOOKUP(C109,'[1]Image URL'!$E:$E,'[1]Image URL'!$A:$A)</f>
        <v>#N/A</v>
      </c>
      <c r="C109">
        <v>31607</v>
      </c>
      <c r="D109" t="s">
        <v>978</v>
      </c>
      <c r="E109" t="s">
        <v>210</v>
      </c>
      <c r="H109" t="s">
        <v>211</v>
      </c>
      <c r="I109" t="s">
        <v>194</v>
      </c>
      <c r="J109" t="s">
        <v>212</v>
      </c>
      <c r="M109" t="s">
        <v>213</v>
      </c>
      <c r="N109" t="s">
        <v>214</v>
      </c>
      <c r="Q109" t="s">
        <v>215</v>
      </c>
      <c r="T109" t="s">
        <v>216</v>
      </c>
      <c r="U109" t="s">
        <v>217</v>
      </c>
      <c r="V109" t="s">
        <v>157</v>
      </c>
      <c r="W109">
        <v>77838027066</v>
      </c>
      <c r="X109">
        <v>10077838027063</v>
      </c>
      <c r="Y109" t="s">
        <v>218</v>
      </c>
      <c r="Z109" t="s">
        <v>219</v>
      </c>
      <c r="AA109" t="s">
        <v>220</v>
      </c>
      <c r="AB109" t="s">
        <v>221</v>
      </c>
      <c r="AC109" t="s">
        <v>222</v>
      </c>
      <c r="AD109" t="s">
        <v>162</v>
      </c>
      <c r="AE109" t="s">
        <v>163</v>
      </c>
      <c r="AF109" t="s">
        <v>164</v>
      </c>
      <c r="AG109">
        <v>392410.4</v>
      </c>
      <c r="AH109">
        <v>85</v>
      </c>
      <c r="AN109" t="s">
        <v>211</v>
      </c>
      <c r="AO109" t="s">
        <v>223</v>
      </c>
      <c r="AP109" t="s">
        <v>224</v>
      </c>
    </row>
    <row r="110" spans="1:92" x14ac:dyDescent="0.25">
      <c r="A110" t="s">
        <v>979</v>
      </c>
      <c r="B110" t="e">
        <f>_xlfn.XLOOKUP(C110,'[1]Image URL'!$E:$E,'[1]Image URL'!$A:$A)</f>
        <v>#N/A</v>
      </c>
      <c r="C110">
        <v>400607</v>
      </c>
    </row>
    <row r="111" spans="1:92" x14ac:dyDescent="0.25">
      <c r="A111" t="s">
        <v>980</v>
      </c>
      <c r="B111" t="e">
        <f>_xlfn.XLOOKUP(C111,'[1]Image URL'!$E:$E,'[1]Image URL'!$A:$A)</f>
        <v>#N/A</v>
      </c>
      <c r="C111">
        <v>420607</v>
      </c>
      <c r="D111" t="s">
        <v>981</v>
      </c>
      <c r="E111" t="s">
        <v>581</v>
      </c>
      <c r="F111" t="s">
        <v>582</v>
      </c>
      <c r="G111" t="s">
        <v>582</v>
      </c>
      <c r="H111" t="s">
        <v>583</v>
      </c>
      <c r="J111" t="s">
        <v>212</v>
      </c>
      <c r="U111" t="s">
        <v>584</v>
      </c>
      <c r="V111" t="s">
        <v>157</v>
      </c>
      <c r="W111">
        <v>77838505694</v>
      </c>
      <c r="X111">
        <v>10077838005696</v>
      </c>
      <c r="Y111" t="s">
        <v>585</v>
      </c>
      <c r="Z111" t="s">
        <v>586</v>
      </c>
      <c r="AA111" t="s">
        <v>495</v>
      </c>
      <c r="AB111" t="s">
        <v>587</v>
      </c>
      <c r="AC111" t="s">
        <v>169</v>
      </c>
      <c r="AD111" t="s">
        <v>588</v>
      </c>
      <c r="AE111" t="s">
        <v>349</v>
      </c>
      <c r="AF111" t="s">
        <v>302</v>
      </c>
      <c r="AG111">
        <v>392410.4</v>
      </c>
      <c r="AH111">
        <v>125</v>
      </c>
      <c r="AM111" t="s">
        <v>589</v>
      </c>
      <c r="AS111" t="s">
        <v>217</v>
      </c>
      <c r="BX111" t="s">
        <v>582</v>
      </c>
      <c r="BY111" t="s">
        <v>590</v>
      </c>
    </row>
    <row r="112" spans="1:92" x14ac:dyDescent="0.25">
      <c r="A112" t="s">
        <v>982</v>
      </c>
      <c r="B112" t="e">
        <f>_xlfn.XLOOKUP(C112,'[1]Image URL'!$E:$E,'[1]Image URL'!$A:$A)</f>
        <v>#N/A</v>
      </c>
      <c r="C112">
        <v>900431</v>
      </c>
      <c r="E112" t="s">
        <v>722</v>
      </c>
      <c r="I112" t="s">
        <v>147</v>
      </c>
      <c r="J112" t="s">
        <v>280</v>
      </c>
      <c r="U112" t="s">
        <v>281</v>
      </c>
      <c r="V112" t="s">
        <v>282</v>
      </c>
      <c r="W112">
        <v>77838124826</v>
      </c>
      <c r="X112">
        <v>10077838124823</v>
      </c>
      <c r="Y112" t="s">
        <v>723</v>
      </c>
      <c r="Z112" t="s">
        <v>724</v>
      </c>
      <c r="AA112" t="s">
        <v>725</v>
      </c>
      <c r="AB112" t="s">
        <v>726</v>
      </c>
      <c r="AC112" t="s">
        <v>727</v>
      </c>
      <c r="AD112" t="s">
        <v>269</v>
      </c>
      <c r="AE112" t="s">
        <v>269</v>
      </c>
      <c r="AF112" t="s">
        <v>269</v>
      </c>
      <c r="AG112">
        <v>940370.80299999996</v>
      </c>
      <c r="AH112">
        <v>250</v>
      </c>
      <c r="AZ112" t="s">
        <v>288</v>
      </c>
      <c r="BA112" t="s">
        <v>289</v>
      </c>
      <c r="BB112" t="s">
        <v>279</v>
      </c>
      <c r="BC112" t="s">
        <v>610</v>
      </c>
      <c r="BD112" t="s">
        <v>290</v>
      </c>
      <c r="BE112" t="s">
        <v>291</v>
      </c>
      <c r="BF112" t="s">
        <v>278</v>
      </c>
      <c r="BZ112" t="s">
        <v>313</v>
      </c>
      <c r="CA112" t="s">
        <v>617</v>
      </c>
      <c r="CE112" t="s">
        <v>728</v>
      </c>
    </row>
    <row r="113" spans="1:82" x14ac:dyDescent="0.25">
      <c r="A113" t="s">
        <v>983</v>
      </c>
      <c r="B113" t="e">
        <f>_xlfn.XLOOKUP(C113,'[1]Image URL'!$E:$E,'[1]Image URL'!$A:$A)</f>
        <v>#N/A</v>
      </c>
      <c r="C113" t="s">
        <v>1080</v>
      </c>
    </row>
    <row r="114" spans="1:82" x14ac:dyDescent="0.25">
      <c r="A114" t="s">
        <v>984</v>
      </c>
      <c r="B114" t="e">
        <f>_xlfn.XLOOKUP(C114,'[1]Image URL'!$E:$E,'[1]Image URL'!$A:$A)</f>
        <v>#N/A</v>
      </c>
      <c r="C114" t="s">
        <v>1087</v>
      </c>
      <c r="D114" t="s">
        <v>985</v>
      </c>
      <c r="E114" t="s">
        <v>986</v>
      </c>
      <c r="F114" t="s">
        <v>815</v>
      </c>
      <c r="G114" t="s">
        <v>550</v>
      </c>
      <c r="H114" t="s">
        <v>340</v>
      </c>
      <c r="J114" t="s">
        <v>341</v>
      </c>
      <c r="U114" t="s">
        <v>342</v>
      </c>
      <c r="V114" t="s">
        <v>157</v>
      </c>
      <c r="W114">
        <v>77838500675</v>
      </c>
      <c r="X114">
        <v>10077838000677</v>
      </c>
      <c r="Y114" t="s">
        <v>679</v>
      </c>
      <c r="Z114" t="s">
        <v>754</v>
      </c>
      <c r="AA114" t="s">
        <v>646</v>
      </c>
      <c r="AB114" t="s">
        <v>530</v>
      </c>
      <c r="AC114" t="s">
        <v>400</v>
      </c>
      <c r="AD114" t="s">
        <v>758</v>
      </c>
      <c r="AE114" t="s">
        <v>314</v>
      </c>
      <c r="AF114" t="s">
        <v>403</v>
      </c>
      <c r="AG114">
        <v>392410.4</v>
      </c>
      <c r="AH114">
        <v>100</v>
      </c>
      <c r="AL114" t="s">
        <v>681</v>
      </c>
    </row>
    <row r="115" spans="1:82" x14ac:dyDescent="0.25">
      <c r="A115" t="s">
        <v>987</v>
      </c>
      <c r="B115" t="e">
        <f>_xlfn.XLOOKUP(C115,'[1]Image URL'!$E:$E,'[1]Image URL'!$A:$A)</f>
        <v>#N/A</v>
      </c>
      <c r="C115">
        <v>667807</v>
      </c>
    </row>
    <row r="116" spans="1:82" x14ac:dyDescent="0.25">
      <c r="A116" t="s">
        <v>988</v>
      </c>
      <c r="B116" t="str">
        <f>_xlfn.XLOOKUP(C116,'[1]Image URL'!$E:$E,'[1]Image URL'!$A:$A)</f>
        <v>5010-38850GEW</v>
      </c>
      <c r="C116" t="s">
        <v>1099</v>
      </c>
      <c r="D116" t="s">
        <v>989</v>
      </c>
      <c r="E116" t="s">
        <v>419</v>
      </c>
      <c r="F116" t="s">
        <v>990</v>
      </c>
      <c r="G116" t="s">
        <v>324</v>
      </c>
      <c r="H116" t="s">
        <v>991</v>
      </c>
      <c r="U116" t="s">
        <v>422</v>
      </c>
      <c r="V116" t="s">
        <v>157</v>
      </c>
      <c r="W116">
        <v>77838148358</v>
      </c>
      <c r="X116">
        <v>10077838148355</v>
      </c>
      <c r="Y116" t="s">
        <v>992</v>
      </c>
      <c r="Z116" t="s">
        <v>993</v>
      </c>
      <c r="AA116" t="s">
        <v>994</v>
      </c>
      <c r="AB116" t="s">
        <v>995</v>
      </c>
      <c r="AC116" t="s">
        <v>996</v>
      </c>
      <c r="AD116" t="s">
        <v>997</v>
      </c>
      <c r="AE116" t="s">
        <v>507</v>
      </c>
      <c r="AF116" t="s">
        <v>302</v>
      </c>
      <c r="AG116">
        <v>842489.9</v>
      </c>
      <c r="AH116">
        <v>100</v>
      </c>
    </row>
    <row r="117" spans="1:82" x14ac:dyDescent="0.25">
      <c r="A117" t="s">
        <v>998</v>
      </c>
      <c r="B117" t="e">
        <f>_xlfn.XLOOKUP(C117,'[1]Image URL'!$E:$E,'[1]Image URL'!$A:$A)</f>
        <v>#N/A</v>
      </c>
      <c r="C117">
        <v>222903</v>
      </c>
      <c r="D117" t="s">
        <v>999</v>
      </c>
      <c r="E117" t="s">
        <v>581</v>
      </c>
      <c r="F117" t="s">
        <v>582</v>
      </c>
      <c r="G117" t="s">
        <v>582</v>
      </c>
      <c r="H117" t="s">
        <v>583</v>
      </c>
      <c r="J117" t="s">
        <v>212</v>
      </c>
      <c r="U117" t="s">
        <v>584</v>
      </c>
      <c r="V117" t="s">
        <v>157</v>
      </c>
      <c r="W117">
        <v>77838505731</v>
      </c>
      <c r="X117">
        <v>10077838005733</v>
      </c>
      <c r="Y117" t="s">
        <v>585</v>
      </c>
      <c r="Z117" t="s">
        <v>586</v>
      </c>
      <c r="AA117" t="s">
        <v>495</v>
      </c>
      <c r="AB117" t="s">
        <v>587</v>
      </c>
      <c r="AC117" t="s">
        <v>169</v>
      </c>
      <c r="AD117" t="s">
        <v>588</v>
      </c>
      <c r="AE117" t="s">
        <v>349</v>
      </c>
      <c r="AF117" t="s">
        <v>302</v>
      </c>
      <c r="AG117">
        <v>392410.4</v>
      </c>
      <c r="AH117">
        <v>125</v>
      </c>
      <c r="AM117" t="s">
        <v>589</v>
      </c>
      <c r="AS117" t="s">
        <v>217</v>
      </c>
      <c r="BX117" t="s">
        <v>582</v>
      </c>
      <c r="BY117" t="s">
        <v>590</v>
      </c>
    </row>
    <row r="118" spans="1:82" x14ac:dyDescent="0.25">
      <c r="A118" t="s">
        <v>1000</v>
      </c>
      <c r="B118" t="e">
        <f>_xlfn.XLOOKUP(C118,'[1]Image URL'!$E:$E,'[1]Image URL'!$A:$A)</f>
        <v>#N/A</v>
      </c>
      <c r="C118">
        <v>30106</v>
      </c>
      <c r="D118" t="s">
        <v>1001</v>
      </c>
      <c r="E118" t="s">
        <v>986</v>
      </c>
      <c r="F118" t="s">
        <v>815</v>
      </c>
      <c r="G118" t="s">
        <v>550</v>
      </c>
      <c r="H118" t="s">
        <v>340</v>
      </c>
      <c r="J118" t="s">
        <v>341</v>
      </c>
      <c r="U118" t="s">
        <v>342</v>
      </c>
      <c r="V118" t="s">
        <v>157</v>
      </c>
      <c r="W118">
        <v>77838500712</v>
      </c>
      <c r="X118">
        <v>10077838000714</v>
      </c>
      <c r="Y118" t="s">
        <v>679</v>
      </c>
      <c r="Z118" t="s">
        <v>754</v>
      </c>
      <c r="AA118" t="s">
        <v>646</v>
      </c>
      <c r="AB118" t="s">
        <v>530</v>
      </c>
      <c r="AC118" t="s">
        <v>400</v>
      </c>
      <c r="AD118" t="s">
        <v>758</v>
      </c>
      <c r="AE118" t="s">
        <v>314</v>
      </c>
      <c r="AF118" t="s">
        <v>403</v>
      </c>
      <c r="AG118">
        <v>392410.4</v>
      </c>
      <c r="AH118">
        <v>100</v>
      </c>
      <c r="AL118" t="s">
        <v>681</v>
      </c>
    </row>
    <row r="119" spans="1:82" x14ac:dyDescent="0.25">
      <c r="A119" t="s">
        <v>1002</v>
      </c>
      <c r="B119" t="e">
        <f>_xlfn.XLOOKUP(C119,'[1]Image URL'!$E:$E,'[1]Image URL'!$A:$A)</f>
        <v>#N/A</v>
      </c>
      <c r="C119">
        <v>772103</v>
      </c>
      <c r="D119" t="s">
        <v>985</v>
      </c>
      <c r="E119" t="s">
        <v>986</v>
      </c>
      <c r="F119" t="s">
        <v>815</v>
      </c>
      <c r="G119" t="s">
        <v>550</v>
      </c>
      <c r="H119" t="s">
        <v>340</v>
      </c>
      <c r="J119" t="s">
        <v>341</v>
      </c>
      <c r="U119" t="s">
        <v>342</v>
      </c>
      <c r="V119" t="s">
        <v>157</v>
      </c>
      <c r="W119">
        <v>77838500675</v>
      </c>
      <c r="X119">
        <v>10077838000677</v>
      </c>
      <c r="Y119" t="s">
        <v>679</v>
      </c>
      <c r="Z119" t="s">
        <v>754</v>
      </c>
      <c r="AA119" t="s">
        <v>646</v>
      </c>
      <c r="AB119" t="s">
        <v>530</v>
      </c>
      <c r="AC119" t="s">
        <v>400</v>
      </c>
      <c r="AD119" t="s">
        <v>758</v>
      </c>
      <c r="AE119" t="s">
        <v>314</v>
      </c>
      <c r="AF119" t="s">
        <v>403</v>
      </c>
      <c r="AG119">
        <v>392410.4</v>
      </c>
      <c r="AH119">
        <v>100</v>
      </c>
      <c r="AL119" t="s">
        <v>681</v>
      </c>
    </row>
    <row r="120" spans="1:82" x14ac:dyDescent="0.25">
      <c r="A120" t="s">
        <v>1003</v>
      </c>
      <c r="B120" t="e">
        <f>_xlfn.XLOOKUP(C120,'[1]Image URL'!$E:$E,'[1]Image URL'!$A:$A)</f>
        <v>#N/A</v>
      </c>
      <c r="C120">
        <v>30403</v>
      </c>
      <c r="D120" t="s">
        <v>1004</v>
      </c>
      <c r="E120" t="s">
        <v>1005</v>
      </c>
      <c r="F120" t="s">
        <v>379</v>
      </c>
      <c r="G120" t="s">
        <v>1006</v>
      </c>
      <c r="I120" t="s">
        <v>147</v>
      </c>
      <c r="J120" t="s">
        <v>212</v>
      </c>
      <c r="U120" t="s">
        <v>262</v>
      </c>
      <c r="V120" t="s">
        <v>157</v>
      </c>
      <c r="W120">
        <v>77838060735</v>
      </c>
      <c r="X120">
        <v>10077838060732</v>
      </c>
      <c r="Y120" t="s">
        <v>1007</v>
      </c>
      <c r="Z120" t="s">
        <v>1008</v>
      </c>
      <c r="AA120" t="s">
        <v>1009</v>
      </c>
      <c r="AB120" t="s">
        <v>1010</v>
      </c>
      <c r="AC120" t="s">
        <v>696</v>
      </c>
      <c r="AD120" t="s">
        <v>507</v>
      </c>
      <c r="AE120" t="s">
        <v>316</v>
      </c>
      <c r="AF120" t="s">
        <v>268</v>
      </c>
      <c r="AG120">
        <v>940399.40800000005</v>
      </c>
      <c r="AH120">
        <v>125</v>
      </c>
      <c r="AL120" t="s">
        <v>1011</v>
      </c>
      <c r="BP120" t="s">
        <v>1012</v>
      </c>
    </row>
    <row r="121" spans="1:82" x14ac:dyDescent="0.25">
      <c r="A121" t="s">
        <v>1013</v>
      </c>
      <c r="B121" t="e">
        <f>_xlfn.XLOOKUP(C121,'[1]Image URL'!$E:$E,'[1]Image URL'!$A:$A)</f>
        <v>#N/A</v>
      </c>
      <c r="C121" t="s">
        <v>1131</v>
      </c>
      <c r="D121" t="s">
        <v>1014</v>
      </c>
      <c r="E121" t="s">
        <v>1015</v>
      </c>
      <c r="F121" t="s">
        <v>652</v>
      </c>
      <c r="G121" t="s">
        <v>821</v>
      </c>
      <c r="H121" t="s">
        <v>385</v>
      </c>
      <c r="I121" t="s">
        <v>194</v>
      </c>
      <c r="J121" t="s">
        <v>195</v>
      </c>
      <c r="M121" t="s">
        <v>822</v>
      </c>
      <c r="T121" t="s">
        <v>823</v>
      </c>
      <c r="U121" t="s">
        <v>196</v>
      </c>
      <c r="V121" t="s">
        <v>157</v>
      </c>
      <c r="W121">
        <v>77838112748</v>
      </c>
      <c r="X121">
        <v>10077838112745</v>
      </c>
      <c r="Y121" t="s">
        <v>1016</v>
      </c>
      <c r="Z121" t="s">
        <v>1017</v>
      </c>
      <c r="AA121" t="s">
        <v>1018</v>
      </c>
      <c r="AB121" t="s">
        <v>1018</v>
      </c>
      <c r="AC121" t="s">
        <v>914</v>
      </c>
      <c r="AD121" t="s">
        <v>184</v>
      </c>
      <c r="AE121" t="s">
        <v>235</v>
      </c>
      <c r="AF121" t="s">
        <v>316</v>
      </c>
      <c r="AG121">
        <v>392410.4</v>
      </c>
      <c r="AH121">
        <v>250</v>
      </c>
      <c r="AL121" t="s">
        <v>905</v>
      </c>
      <c r="AT121" t="s">
        <v>652</v>
      </c>
      <c r="BG121" t="s">
        <v>660</v>
      </c>
    </row>
    <row r="122" spans="1:82" x14ac:dyDescent="0.25">
      <c r="A122" t="s">
        <v>1019</v>
      </c>
      <c r="B122" t="e">
        <f>_xlfn.XLOOKUP(C122,'[1]Image URL'!$E:$E,'[1]Image URL'!$A:$A)</f>
        <v>#N/A</v>
      </c>
      <c r="C122">
        <v>432406</v>
      </c>
      <c r="D122" t="s">
        <v>1021</v>
      </c>
      <c r="E122" t="s">
        <v>1022</v>
      </c>
      <c r="F122" t="s">
        <v>523</v>
      </c>
      <c r="G122" t="s">
        <v>152</v>
      </c>
      <c r="H122" t="s">
        <v>463</v>
      </c>
      <c r="I122" t="s">
        <v>194</v>
      </c>
      <c r="J122" t="s">
        <v>212</v>
      </c>
      <c r="U122" t="s">
        <v>217</v>
      </c>
      <c r="V122" t="s">
        <v>157</v>
      </c>
      <c r="W122">
        <v>77838149164</v>
      </c>
      <c r="X122">
        <v>10077838149161</v>
      </c>
      <c r="Y122" t="s">
        <v>955</v>
      </c>
      <c r="Z122" t="s">
        <v>1023</v>
      </c>
      <c r="AA122" t="s">
        <v>1024</v>
      </c>
      <c r="AB122" t="s">
        <v>1025</v>
      </c>
      <c r="AC122" t="s">
        <v>506</v>
      </c>
      <c r="AD122" t="s">
        <v>314</v>
      </c>
      <c r="AE122" t="s">
        <v>235</v>
      </c>
      <c r="AF122" t="s">
        <v>456</v>
      </c>
      <c r="AG122">
        <v>392490.565</v>
      </c>
      <c r="AH122">
        <v>175</v>
      </c>
      <c r="AL122" t="s">
        <v>1026</v>
      </c>
      <c r="AM122" t="s">
        <v>1027</v>
      </c>
    </row>
    <row r="123" spans="1:82" x14ac:dyDescent="0.25">
      <c r="A123" t="s">
        <v>1028</v>
      </c>
      <c r="B123" t="e">
        <f>_xlfn.XLOOKUP(C123,'[1]Image URL'!$E:$E,'[1]Image URL'!$A:$A)</f>
        <v>#N/A</v>
      </c>
      <c r="C123" t="s">
        <v>1138</v>
      </c>
    </row>
    <row r="124" spans="1:82" x14ac:dyDescent="0.25">
      <c r="A124" t="s">
        <v>1029</v>
      </c>
      <c r="B124" t="e">
        <f>_xlfn.XLOOKUP(C124,'[1]Image URL'!$E:$E,'[1]Image URL'!$A:$A)</f>
        <v>#N/A</v>
      </c>
      <c r="C124">
        <v>900403</v>
      </c>
      <c r="D124" t="s">
        <v>1030</v>
      </c>
      <c r="E124" t="s">
        <v>1031</v>
      </c>
      <c r="F124" t="s">
        <v>731</v>
      </c>
      <c r="G124" t="s">
        <v>1032</v>
      </c>
      <c r="H124" t="s">
        <v>1033</v>
      </c>
      <c r="I124" t="s">
        <v>147</v>
      </c>
      <c r="J124" t="s">
        <v>212</v>
      </c>
      <c r="U124" t="s">
        <v>262</v>
      </c>
      <c r="V124" t="s">
        <v>157</v>
      </c>
      <c r="W124">
        <v>77838123904</v>
      </c>
      <c r="X124">
        <v>10077838123901</v>
      </c>
      <c r="Y124" t="s">
        <v>1034</v>
      </c>
      <c r="Z124" t="s">
        <v>1035</v>
      </c>
      <c r="AA124" t="s">
        <v>1036</v>
      </c>
      <c r="AB124" t="s">
        <v>1037</v>
      </c>
      <c r="AC124" t="s">
        <v>395</v>
      </c>
      <c r="AD124" t="s">
        <v>507</v>
      </c>
      <c r="AE124" t="s">
        <v>316</v>
      </c>
      <c r="AF124" t="s">
        <v>268</v>
      </c>
      <c r="AG124">
        <v>940399.40800000005</v>
      </c>
      <c r="AH124">
        <v>150</v>
      </c>
      <c r="AL124" t="s">
        <v>1038</v>
      </c>
      <c r="AT124" t="s">
        <v>1032</v>
      </c>
      <c r="AW124" t="s">
        <v>731</v>
      </c>
      <c r="AX124" t="s">
        <v>737</v>
      </c>
      <c r="AY124" t="s">
        <v>273</v>
      </c>
    </row>
    <row r="125" spans="1:82" x14ac:dyDescent="0.25">
      <c r="A125" t="s">
        <v>1039</v>
      </c>
      <c r="B125" t="e">
        <f>_xlfn.XLOOKUP(C125,'[1]Image URL'!$E:$E,'[1]Image URL'!$A:$A)</f>
        <v>#N/A</v>
      </c>
      <c r="C125" t="s">
        <v>1148</v>
      </c>
      <c r="D125" t="s">
        <v>1040</v>
      </c>
      <c r="E125" t="s">
        <v>398</v>
      </c>
      <c r="I125" t="s">
        <v>194</v>
      </c>
      <c r="J125" t="s">
        <v>195</v>
      </c>
      <c r="U125" t="s">
        <v>196</v>
      </c>
      <c r="V125" t="s">
        <v>157</v>
      </c>
      <c r="W125">
        <v>77838124055</v>
      </c>
      <c r="X125">
        <v>10077838124052</v>
      </c>
      <c r="Y125" t="s">
        <v>1041</v>
      </c>
      <c r="Z125" t="s">
        <v>198</v>
      </c>
      <c r="AA125" t="s">
        <v>400</v>
      </c>
      <c r="AB125" t="s">
        <v>400</v>
      </c>
      <c r="AC125" t="s">
        <v>973</v>
      </c>
      <c r="AD125" t="s">
        <v>1042</v>
      </c>
      <c r="AE125" t="s">
        <v>402</v>
      </c>
      <c r="AF125" t="s">
        <v>349</v>
      </c>
      <c r="AG125">
        <v>940399.40800000005</v>
      </c>
      <c r="AH125">
        <v>92.5</v>
      </c>
      <c r="AL125" t="s">
        <v>399</v>
      </c>
    </row>
    <row r="126" spans="1:82" x14ac:dyDescent="0.25">
      <c r="A126" t="s">
        <v>1043</v>
      </c>
      <c r="B126" t="e">
        <f>_xlfn.XLOOKUP(C126,'[1]Image URL'!$E:$E,'[1]Image URL'!$A:$A)</f>
        <v>#N/A</v>
      </c>
      <c r="C126">
        <v>660008</v>
      </c>
    </row>
    <row r="127" spans="1:82" x14ac:dyDescent="0.25">
      <c r="A127" t="s">
        <v>1044</v>
      </c>
      <c r="B127" t="e">
        <f>_xlfn.XLOOKUP(C127,'[1]Image URL'!$E:$E,'[1]Image URL'!$A:$A)</f>
        <v>#N/A</v>
      </c>
      <c r="C127">
        <v>971003</v>
      </c>
      <c r="E127" t="s">
        <v>398</v>
      </c>
      <c r="I127" t="s">
        <v>194</v>
      </c>
      <c r="J127" t="s">
        <v>195</v>
      </c>
      <c r="U127" t="s">
        <v>196</v>
      </c>
      <c r="V127" t="s">
        <v>157</v>
      </c>
      <c r="W127">
        <v>77838060407</v>
      </c>
      <c r="X127">
        <v>10077838060404</v>
      </c>
      <c r="Y127" t="s">
        <v>971</v>
      </c>
      <c r="Z127" t="s">
        <v>972</v>
      </c>
      <c r="AA127" t="s">
        <v>345</v>
      </c>
      <c r="AB127" t="s">
        <v>345</v>
      </c>
      <c r="AC127" t="s">
        <v>973</v>
      </c>
      <c r="AD127" t="s">
        <v>974</v>
      </c>
      <c r="AE127" t="s">
        <v>975</v>
      </c>
      <c r="AF127" t="s">
        <v>349</v>
      </c>
      <c r="AG127">
        <v>940399.40800000005</v>
      </c>
      <c r="AH127">
        <v>92.5</v>
      </c>
      <c r="AL127" t="s">
        <v>399</v>
      </c>
    </row>
    <row r="128" spans="1:82" x14ac:dyDescent="0.25">
      <c r="A128" t="s">
        <v>1045</v>
      </c>
      <c r="B128" t="e">
        <f>_xlfn.XLOOKUP(C128,'[1]Image URL'!$E:$E,'[1]Image URL'!$A:$A)</f>
        <v>#N/A</v>
      </c>
      <c r="C128">
        <v>460603</v>
      </c>
      <c r="D128" t="s">
        <v>702</v>
      </c>
      <c r="E128" t="s">
        <v>703</v>
      </c>
      <c r="F128" t="s">
        <v>462</v>
      </c>
      <c r="G128" t="s">
        <v>186</v>
      </c>
      <c r="H128" t="s">
        <v>186</v>
      </c>
      <c r="I128" t="s">
        <v>194</v>
      </c>
      <c r="J128" t="s">
        <v>195</v>
      </c>
      <c r="M128" t="s">
        <v>704</v>
      </c>
      <c r="T128" t="s">
        <v>705</v>
      </c>
      <c r="U128" t="s">
        <v>196</v>
      </c>
      <c r="V128" t="s">
        <v>157</v>
      </c>
      <c r="W128">
        <v>77838506028</v>
      </c>
      <c r="X128">
        <v>10077838006020</v>
      </c>
      <c r="Y128" t="s">
        <v>197</v>
      </c>
      <c r="Z128" t="s">
        <v>505</v>
      </c>
      <c r="AA128" t="s">
        <v>706</v>
      </c>
      <c r="AB128" t="s">
        <v>152</v>
      </c>
      <c r="AC128" t="s">
        <v>707</v>
      </c>
      <c r="AD128" t="s">
        <v>708</v>
      </c>
      <c r="AE128" t="s">
        <v>203</v>
      </c>
      <c r="AF128" t="s">
        <v>268</v>
      </c>
      <c r="AG128">
        <v>392410.4</v>
      </c>
      <c r="AH128">
        <v>250</v>
      </c>
      <c r="CD128" t="s">
        <v>709</v>
      </c>
    </row>
    <row r="129" spans="1:79" x14ac:dyDescent="0.25">
      <c r="A129" t="s">
        <v>1046</v>
      </c>
      <c r="B129" t="e">
        <f>_xlfn.XLOOKUP(C129,'[1]Image URL'!$E:$E,'[1]Image URL'!$A:$A)</f>
        <v>#N/A</v>
      </c>
      <c r="C129">
        <v>221930</v>
      </c>
      <c r="D129" t="s">
        <v>1047</v>
      </c>
      <c r="E129" t="s">
        <v>307</v>
      </c>
      <c r="H129" t="s">
        <v>308</v>
      </c>
      <c r="I129" t="s">
        <v>147</v>
      </c>
      <c r="J129" t="s">
        <v>280</v>
      </c>
      <c r="U129" t="s">
        <v>281</v>
      </c>
      <c r="V129" t="s">
        <v>157</v>
      </c>
      <c r="W129">
        <v>77838064535</v>
      </c>
      <c r="X129">
        <v>10077838064532</v>
      </c>
      <c r="Y129" t="s">
        <v>326</v>
      </c>
      <c r="Z129" t="s">
        <v>1048</v>
      </c>
      <c r="AA129" t="s">
        <v>311</v>
      </c>
      <c r="AB129" t="s">
        <v>747</v>
      </c>
      <c r="AC129" t="s">
        <v>313</v>
      </c>
      <c r="AD129" t="s">
        <v>314</v>
      </c>
      <c r="AE129" t="s">
        <v>315</v>
      </c>
      <c r="AF129" t="s">
        <v>316</v>
      </c>
      <c r="AG129">
        <v>392410.4</v>
      </c>
      <c r="AH129">
        <v>300</v>
      </c>
      <c r="AM129" t="s">
        <v>317</v>
      </c>
      <c r="AN129" t="s">
        <v>318</v>
      </c>
      <c r="BG129" t="s">
        <v>319</v>
      </c>
    </row>
    <row r="130" spans="1:79" x14ac:dyDescent="0.25">
      <c r="A130" t="s">
        <v>1049</v>
      </c>
      <c r="B130" t="e">
        <f>_xlfn.XLOOKUP(C130,'[1]Image URL'!$E:$E,'[1]Image URL'!$A:$A)</f>
        <v>#N/A</v>
      </c>
      <c r="C130" t="s">
        <v>1173</v>
      </c>
      <c r="D130" t="s">
        <v>1050</v>
      </c>
      <c r="E130" t="s">
        <v>1051</v>
      </c>
      <c r="I130" t="s">
        <v>147</v>
      </c>
      <c r="J130" t="s">
        <v>280</v>
      </c>
      <c r="U130" t="s">
        <v>281</v>
      </c>
      <c r="V130" t="s">
        <v>282</v>
      </c>
      <c r="W130">
        <v>77838125014</v>
      </c>
      <c r="X130">
        <v>10077838125011</v>
      </c>
      <c r="Y130" t="s">
        <v>1052</v>
      </c>
      <c r="Z130" t="s">
        <v>1053</v>
      </c>
      <c r="AA130" t="s">
        <v>1054</v>
      </c>
      <c r="AB130" t="s">
        <v>1055</v>
      </c>
      <c r="AC130" t="s">
        <v>1056</v>
      </c>
      <c r="AD130" t="s">
        <v>269</v>
      </c>
      <c r="AE130" t="s">
        <v>269</v>
      </c>
      <c r="AF130" t="s">
        <v>269</v>
      </c>
      <c r="AG130">
        <v>940370.80299999996</v>
      </c>
      <c r="AH130">
        <v>250</v>
      </c>
      <c r="AZ130" t="s">
        <v>288</v>
      </c>
      <c r="BA130" t="s">
        <v>289</v>
      </c>
      <c r="BB130" t="s">
        <v>279</v>
      </c>
      <c r="BC130" t="s">
        <v>610</v>
      </c>
      <c r="BD130" t="s">
        <v>290</v>
      </c>
      <c r="BE130" t="s">
        <v>291</v>
      </c>
      <c r="BF130" t="s">
        <v>278</v>
      </c>
      <c r="BZ130" t="s">
        <v>313</v>
      </c>
      <c r="CA130" t="s">
        <v>617</v>
      </c>
    </row>
    <row r="131" spans="1:79" x14ac:dyDescent="0.25">
      <c r="A131" t="s">
        <v>1057</v>
      </c>
      <c r="B131" t="e">
        <f>_xlfn.XLOOKUP(C131,'[1]Image URL'!$E:$E,'[1]Image URL'!$A:$A)</f>
        <v>#N/A</v>
      </c>
      <c r="C131">
        <v>30201</v>
      </c>
      <c r="D131" t="s">
        <v>1058</v>
      </c>
      <c r="E131" t="s">
        <v>1059</v>
      </c>
      <c r="F131" t="s">
        <v>329</v>
      </c>
      <c r="G131" t="s">
        <v>329</v>
      </c>
      <c r="H131" t="s">
        <v>1060</v>
      </c>
      <c r="J131" t="s">
        <v>678</v>
      </c>
      <c r="U131" t="s">
        <v>217</v>
      </c>
      <c r="V131" t="s">
        <v>157</v>
      </c>
      <c r="W131">
        <v>77838505779</v>
      </c>
      <c r="X131">
        <v>10077838005771</v>
      </c>
      <c r="Y131" t="s">
        <v>1061</v>
      </c>
      <c r="Z131" t="s">
        <v>746</v>
      </c>
      <c r="AA131" t="s">
        <v>1062</v>
      </c>
      <c r="AB131" t="s">
        <v>332</v>
      </c>
      <c r="AC131" t="s">
        <v>400</v>
      </c>
      <c r="AD131" t="s">
        <v>1063</v>
      </c>
      <c r="AE131" t="s">
        <v>163</v>
      </c>
      <c r="AF131" t="s">
        <v>349</v>
      </c>
      <c r="AG131">
        <v>392350</v>
      </c>
      <c r="AH131">
        <v>125</v>
      </c>
      <c r="AL131" t="s">
        <v>205</v>
      </c>
      <c r="AN131" t="s">
        <v>329</v>
      </c>
    </row>
    <row r="132" spans="1:79" x14ac:dyDescent="0.25">
      <c r="A132" t="s">
        <v>1064</v>
      </c>
      <c r="B132" t="e">
        <f>_xlfn.XLOOKUP(C132,'[1]Image URL'!$E:$E,'[1]Image URL'!$A:$A)</f>
        <v>#N/A</v>
      </c>
      <c r="C132">
        <v>470906</v>
      </c>
      <c r="D132" t="s">
        <v>1065</v>
      </c>
      <c r="E132" t="s">
        <v>191</v>
      </c>
      <c r="F132" t="s">
        <v>192</v>
      </c>
      <c r="G132" t="s">
        <v>186</v>
      </c>
      <c r="H132" t="s">
        <v>193</v>
      </c>
      <c r="I132" t="s">
        <v>194</v>
      </c>
      <c r="J132" t="s">
        <v>195</v>
      </c>
      <c r="U132" t="s">
        <v>196</v>
      </c>
      <c r="V132" t="s">
        <v>157</v>
      </c>
      <c r="W132">
        <v>77838500729</v>
      </c>
      <c r="X132">
        <v>10077838000721</v>
      </c>
      <c r="Y132" t="s">
        <v>197</v>
      </c>
      <c r="Z132" t="s">
        <v>198</v>
      </c>
      <c r="AA132" t="s">
        <v>199</v>
      </c>
      <c r="AB132" t="s">
        <v>200</v>
      </c>
      <c r="AC132" t="s">
        <v>201</v>
      </c>
      <c r="AD132" t="s">
        <v>202</v>
      </c>
      <c r="AE132" t="s">
        <v>203</v>
      </c>
      <c r="AF132" t="s">
        <v>204</v>
      </c>
      <c r="AG132">
        <v>392410.4</v>
      </c>
      <c r="AH132">
        <v>70</v>
      </c>
      <c r="AL132" t="s">
        <v>205</v>
      </c>
      <c r="AM132" t="s">
        <v>206</v>
      </c>
    </row>
    <row r="133" spans="1:79" x14ac:dyDescent="0.25">
      <c r="A133" t="s">
        <v>1066</v>
      </c>
      <c r="B133" t="e">
        <f>_xlfn.XLOOKUP(C133,'[1]Image URL'!$E:$E,'[1]Image URL'!$A:$A)</f>
        <v>#N/A</v>
      </c>
      <c r="C133">
        <v>662503</v>
      </c>
      <c r="D133" t="s">
        <v>1065</v>
      </c>
      <c r="E133" t="s">
        <v>191</v>
      </c>
      <c r="F133" t="s">
        <v>192</v>
      </c>
      <c r="G133" t="s">
        <v>186</v>
      </c>
      <c r="H133" t="s">
        <v>193</v>
      </c>
      <c r="I133" t="s">
        <v>194</v>
      </c>
      <c r="J133" t="s">
        <v>195</v>
      </c>
      <c r="U133" t="s">
        <v>196</v>
      </c>
      <c r="V133" t="s">
        <v>157</v>
      </c>
      <c r="W133">
        <v>77838500729</v>
      </c>
      <c r="X133">
        <v>10077838000721</v>
      </c>
      <c r="Y133" t="s">
        <v>197</v>
      </c>
      <c r="Z133" t="s">
        <v>198</v>
      </c>
      <c r="AA133" t="s">
        <v>199</v>
      </c>
      <c r="AB133" t="s">
        <v>200</v>
      </c>
      <c r="AC133" t="s">
        <v>201</v>
      </c>
      <c r="AD133" t="s">
        <v>202</v>
      </c>
      <c r="AE133" t="s">
        <v>203</v>
      </c>
      <c r="AF133" t="s">
        <v>204</v>
      </c>
      <c r="AG133">
        <v>392410.4</v>
      </c>
      <c r="AH133">
        <v>70</v>
      </c>
      <c r="AL133" t="s">
        <v>205</v>
      </c>
      <c r="AM133" t="s">
        <v>206</v>
      </c>
    </row>
    <row r="134" spans="1:79" x14ac:dyDescent="0.25">
      <c r="A134" t="s">
        <v>1067</v>
      </c>
      <c r="B134" t="e">
        <f>_xlfn.XLOOKUP(C134,'[1]Image URL'!$E:$E,'[1]Image URL'!$A:$A)</f>
        <v>#N/A</v>
      </c>
      <c r="C134">
        <v>914807</v>
      </c>
      <c r="D134" t="s">
        <v>1068</v>
      </c>
      <c r="E134" t="s">
        <v>690</v>
      </c>
      <c r="F134" t="s">
        <v>594</v>
      </c>
      <c r="G134" t="s">
        <v>594</v>
      </c>
      <c r="H134" t="s">
        <v>691</v>
      </c>
      <c r="J134" t="s">
        <v>212</v>
      </c>
      <c r="U134" t="s">
        <v>584</v>
      </c>
      <c r="V134" t="s">
        <v>157</v>
      </c>
      <c r="W134">
        <v>77838505564</v>
      </c>
      <c r="X134">
        <v>10077838005566</v>
      </c>
      <c r="Y134" t="s">
        <v>692</v>
      </c>
      <c r="Z134" t="s">
        <v>693</v>
      </c>
      <c r="AA134" t="s">
        <v>694</v>
      </c>
      <c r="AB134" t="s">
        <v>695</v>
      </c>
      <c r="AC134" t="s">
        <v>696</v>
      </c>
      <c r="AD134" t="s">
        <v>245</v>
      </c>
      <c r="AE134" t="s">
        <v>185</v>
      </c>
      <c r="AF134" t="s">
        <v>349</v>
      </c>
      <c r="AG134">
        <v>392410.4</v>
      </c>
      <c r="AH134">
        <v>125</v>
      </c>
      <c r="AM134" t="s">
        <v>697</v>
      </c>
      <c r="AS134" t="s">
        <v>217</v>
      </c>
      <c r="BX134" t="s">
        <v>594</v>
      </c>
      <c r="BY134" t="s">
        <v>249</v>
      </c>
    </row>
    <row r="135" spans="1:79" x14ac:dyDescent="0.25">
      <c r="A135" t="s">
        <v>1069</v>
      </c>
      <c r="B135" t="e">
        <f>_xlfn.XLOOKUP(C135,'[1]Image URL'!$E:$E,'[1]Image URL'!$A:$A)</f>
        <v>#N/A</v>
      </c>
      <c r="C135">
        <v>432906</v>
      </c>
      <c r="D135" t="s">
        <v>1070</v>
      </c>
      <c r="E135" t="s">
        <v>1071</v>
      </c>
      <c r="F135" t="s">
        <v>338</v>
      </c>
      <c r="G135" t="s">
        <v>339</v>
      </c>
      <c r="H135" t="s">
        <v>340</v>
      </c>
      <c r="I135" t="s">
        <v>194</v>
      </c>
      <c r="J135" t="s">
        <v>195</v>
      </c>
      <c r="U135" t="s">
        <v>196</v>
      </c>
      <c r="V135" t="s">
        <v>157</v>
      </c>
      <c r="W135">
        <v>77838500590</v>
      </c>
      <c r="X135">
        <v>10077838000592</v>
      </c>
      <c r="Y135" t="s">
        <v>343</v>
      </c>
      <c r="Z135" t="s">
        <v>344</v>
      </c>
      <c r="AA135" t="s">
        <v>345</v>
      </c>
      <c r="AB135" t="s">
        <v>395</v>
      </c>
      <c r="AC135" t="s">
        <v>242</v>
      </c>
      <c r="AD135" t="s">
        <v>347</v>
      </c>
      <c r="AE135" t="s">
        <v>348</v>
      </c>
      <c r="AF135" t="s">
        <v>349</v>
      </c>
      <c r="AG135">
        <v>392410.4</v>
      </c>
      <c r="AH135">
        <v>250</v>
      </c>
      <c r="AL135" t="s">
        <v>350</v>
      </c>
    </row>
    <row r="136" spans="1:79" x14ac:dyDescent="0.25">
      <c r="A136" t="s">
        <v>1072</v>
      </c>
      <c r="B136" t="e">
        <f>_xlfn.XLOOKUP(C136,'[1]Image URL'!$E:$E,'[1]Image URL'!$A:$A)</f>
        <v>#N/A</v>
      </c>
      <c r="C136">
        <v>660003</v>
      </c>
      <c r="D136" t="s">
        <v>558</v>
      </c>
      <c r="E136" t="s">
        <v>191</v>
      </c>
      <c r="F136" t="s">
        <v>192</v>
      </c>
      <c r="G136" t="s">
        <v>186</v>
      </c>
      <c r="H136" t="s">
        <v>193</v>
      </c>
      <c r="I136" t="s">
        <v>194</v>
      </c>
      <c r="J136" t="s">
        <v>195</v>
      </c>
      <c r="U136" t="s">
        <v>196</v>
      </c>
      <c r="V136" t="s">
        <v>157</v>
      </c>
      <c r="W136">
        <v>77838579404</v>
      </c>
      <c r="X136">
        <v>10077838079406</v>
      </c>
      <c r="Y136" t="s">
        <v>197</v>
      </c>
      <c r="Z136" t="s">
        <v>198</v>
      </c>
      <c r="AA136" t="s">
        <v>199</v>
      </c>
      <c r="AB136" t="s">
        <v>200</v>
      </c>
      <c r="AC136" t="s">
        <v>201</v>
      </c>
      <c r="AD136" t="s">
        <v>202</v>
      </c>
      <c r="AE136" t="s">
        <v>203</v>
      </c>
      <c r="AF136" t="s">
        <v>204</v>
      </c>
      <c r="AG136">
        <v>392410.4</v>
      </c>
      <c r="AH136">
        <v>70</v>
      </c>
      <c r="AL136" t="s">
        <v>205</v>
      </c>
      <c r="AM136" t="s">
        <v>206</v>
      </c>
    </row>
    <row r="137" spans="1:79" x14ac:dyDescent="0.25">
      <c r="A137" t="s">
        <v>1073</v>
      </c>
      <c r="B137" t="e">
        <f>_xlfn.XLOOKUP(C137,'[1]Image URL'!$E:$E,'[1]Image URL'!$A:$A)</f>
        <v>#N/A</v>
      </c>
      <c r="C137">
        <v>767103</v>
      </c>
      <c r="D137" t="s">
        <v>1074</v>
      </c>
      <c r="E137" t="s">
        <v>1075</v>
      </c>
      <c r="F137" t="s">
        <v>800</v>
      </c>
      <c r="G137" t="s">
        <v>550</v>
      </c>
      <c r="H137" t="s">
        <v>340</v>
      </c>
      <c r="I137" t="s">
        <v>194</v>
      </c>
      <c r="J137" t="s">
        <v>195</v>
      </c>
      <c r="U137" t="s">
        <v>196</v>
      </c>
      <c r="V137" t="s">
        <v>157</v>
      </c>
      <c r="W137">
        <v>77838512760</v>
      </c>
      <c r="X137">
        <v>10077838012762</v>
      </c>
      <c r="Y137" t="s">
        <v>343</v>
      </c>
      <c r="Z137" t="s">
        <v>746</v>
      </c>
      <c r="AA137" t="s">
        <v>298</v>
      </c>
      <c r="AB137" t="s">
        <v>868</v>
      </c>
      <c r="AC137" t="s">
        <v>766</v>
      </c>
      <c r="AD137" t="s">
        <v>1076</v>
      </c>
      <c r="AE137" t="s">
        <v>479</v>
      </c>
      <c r="AF137" t="s">
        <v>349</v>
      </c>
      <c r="AG137">
        <v>392410.4</v>
      </c>
      <c r="AH137">
        <v>250</v>
      </c>
      <c r="AL137" t="s">
        <v>350</v>
      </c>
    </row>
    <row r="138" spans="1:79" x14ac:dyDescent="0.25">
      <c r="A138" t="s">
        <v>1077</v>
      </c>
      <c r="B138" t="e">
        <f>_xlfn.XLOOKUP(C138,'[1]Image URL'!$E:$E,'[1]Image URL'!$A:$A)</f>
        <v>#N/A</v>
      </c>
      <c r="C138" t="s">
        <v>1223</v>
      </c>
      <c r="E138" t="s">
        <v>833</v>
      </c>
      <c r="I138" t="s">
        <v>194</v>
      </c>
      <c r="J138" t="s">
        <v>834</v>
      </c>
      <c r="U138" t="s">
        <v>273</v>
      </c>
      <c r="V138" t="s">
        <v>157</v>
      </c>
      <c r="W138">
        <v>77838060421</v>
      </c>
      <c r="X138">
        <v>10077838060428</v>
      </c>
      <c r="Y138" t="s">
        <v>1078</v>
      </c>
      <c r="Z138" t="s">
        <v>198</v>
      </c>
      <c r="AA138" t="s">
        <v>345</v>
      </c>
      <c r="AB138" t="s">
        <v>400</v>
      </c>
      <c r="AC138" t="s">
        <v>973</v>
      </c>
      <c r="AD138" t="s">
        <v>1042</v>
      </c>
      <c r="AE138" t="s">
        <v>402</v>
      </c>
      <c r="AF138" t="s">
        <v>349</v>
      </c>
      <c r="AG138">
        <v>940399.40800000005</v>
      </c>
      <c r="AH138">
        <v>92.5</v>
      </c>
      <c r="AL138" t="s">
        <v>399</v>
      </c>
    </row>
    <row r="139" spans="1:79" x14ac:dyDescent="0.25">
      <c r="A139" t="s">
        <v>1079</v>
      </c>
      <c r="B139" t="e">
        <f>_xlfn.XLOOKUP(C139,'[1]Image URL'!$E:$E,'[1]Image URL'!$A:$A)</f>
        <v>#N/A</v>
      </c>
      <c r="C139">
        <v>900331</v>
      </c>
      <c r="D139" t="s">
        <v>1081</v>
      </c>
      <c r="E139" t="s">
        <v>1082</v>
      </c>
      <c r="I139" t="s">
        <v>147</v>
      </c>
      <c r="J139" t="s">
        <v>212</v>
      </c>
      <c r="U139" t="s">
        <v>262</v>
      </c>
      <c r="V139" t="s">
        <v>157</v>
      </c>
      <c r="W139">
        <v>77838227114</v>
      </c>
      <c r="X139">
        <v>10077838027117</v>
      </c>
      <c r="Y139" t="s">
        <v>1083</v>
      </c>
      <c r="Z139" t="s">
        <v>1084</v>
      </c>
      <c r="AA139" t="s">
        <v>466</v>
      </c>
      <c r="AB139" t="s">
        <v>160</v>
      </c>
      <c r="AC139" t="s">
        <v>333</v>
      </c>
      <c r="AD139" t="s">
        <v>375</v>
      </c>
      <c r="AE139" t="s">
        <v>163</v>
      </c>
      <c r="AF139" t="s">
        <v>314</v>
      </c>
      <c r="AG139">
        <v>392350</v>
      </c>
      <c r="AH139">
        <v>175</v>
      </c>
      <c r="AN139" t="s">
        <v>145</v>
      </c>
    </row>
    <row r="140" spans="1:79" x14ac:dyDescent="0.25">
      <c r="A140" t="s">
        <v>1085</v>
      </c>
      <c r="B140" t="e">
        <f>_xlfn.XLOOKUP(C140,'[1]Image URL'!$E:$E,'[1]Image URL'!$A:$A)</f>
        <v>#N/A</v>
      </c>
      <c r="C140">
        <v>410907</v>
      </c>
    </row>
    <row r="141" spans="1:79" x14ac:dyDescent="0.25">
      <c r="A141" t="s">
        <v>1086</v>
      </c>
      <c r="B141" t="e">
        <f>_xlfn.XLOOKUP(C141,'[1]Image URL'!$E:$E,'[1]Image URL'!$A:$A)</f>
        <v>#N/A</v>
      </c>
      <c r="C141">
        <v>31606</v>
      </c>
      <c r="D141" t="s">
        <v>1088</v>
      </c>
      <c r="E141" t="s">
        <v>143</v>
      </c>
      <c r="F141" t="s">
        <v>529</v>
      </c>
      <c r="G141" t="s">
        <v>175</v>
      </c>
      <c r="H141" t="s">
        <v>530</v>
      </c>
      <c r="I141" t="s">
        <v>147</v>
      </c>
      <c r="J141" t="s">
        <v>148</v>
      </c>
      <c r="K141" t="s">
        <v>531</v>
      </c>
      <c r="L141" t="s">
        <v>532</v>
      </c>
      <c r="M141" t="s">
        <v>533</v>
      </c>
      <c r="N141" t="s">
        <v>534</v>
      </c>
      <c r="O141" t="s">
        <v>535</v>
      </c>
      <c r="P141" t="s">
        <v>536</v>
      </c>
      <c r="Q141" t="s">
        <v>530</v>
      </c>
      <c r="R141" t="s">
        <v>529</v>
      </c>
      <c r="S141" t="s">
        <v>537</v>
      </c>
      <c r="T141" t="s">
        <v>538</v>
      </c>
      <c r="U141" t="s">
        <v>156</v>
      </c>
      <c r="V141" t="s">
        <v>157</v>
      </c>
      <c r="W141">
        <v>77838862360</v>
      </c>
      <c r="X141">
        <v>10077838862367</v>
      </c>
      <c r="Y141" t="s">
        <v>539</v>
      </c>
      <c r="Z141" t="s">
        <v>540</v>
      </c>
      <c r="AA141" t="s">
        <v>541</v>
      </c>
      <c r="AB141" t="s">
        <v>542</v>
      </c>
      <c r="AC141" t="s">
        <v>332</v>
      </c>
      <c r="AD141" t="s">
        <v>203</v>
      </c>
      <c r="AE141" t="s">
        <v>235</v>
      </c>
      <c r="AF141" t="s">
        <v>235</v>
      </c>
      <c r="AG141">
        <v>392410.4</v>
      </c>
      <c r="AH141">
        <v>100</v>
      </c>
      <c r="AI141" t="s">
        <v>186</v>
      </c>
      <c r="AK141" t="s">
        <v>543</v>
      </c>
      <c r="AM141" t="s">
        <v>544</v>
      </c>
    </row>
    <row r="142" spans="1:79" x14ac:dyDescent="0.25">
      <c r="A142" t="s">
        <v>1089</v>
      </c>
      <c r="B142" t="e">
        <f>_xlfn.XLOOKUP(C142,'[1]Image URL'!$E:$E,'[1]Image URL'!$A:$A)</f>
        <v>#N/A</v>
      </c>
      <c r="C142">
        <v>31601</v>
      </c>
      <c r="D142" t="s">
        <v>1090</v>
      </c>
      <c r="E142" t="s">
        <v>1091</v>
      </c>
      <c r="F142" t="s">
        <v>911</v>
      </c>
      <c r="G142" t="s">
        <v>1092</v>
      </c>
      <c r="H142" t="s">
        <v>392</v>
      </c>
      <c r="I142" t="s">
        <v>147</v>
      </c>
      <c r="J142" t="s">
        <v>212</v>
      </c>
      <c r="U142" t="s">
        <v>262</v>
      </c>
      <c r="V142" t="s">
        <v>157</v>
      </c>
      <c r="W142">
        <v>77838826737</v>
      </c>
      <c r="X142">
        <v>10077838826734</v>
      </c>
      <c r="Y142" t="s">
        <v>1093</v>
      </c>
      <c r="Z142" t="s">
        <v>1094</v>
      </c>
      <c r="AA142" t="s">
        <v>1095</v>
      </c>
      <c r="AB142" t="s">
        <v>1096</v>
      </c>
      <c r="AC142" t="s">
        <v>973</v>
      </c>
      <c r="AD142" t="s">
        <v>426</v>
      </c>
      <c r="AE142" t="s">
        <v>316</v>
      </c>
      <c r="AF142" t="s">
        <v>507</v>
      </c>
      <c r="AG142">
        <v>940399.40800000005</v>
      </c>
      <c r="AH142">
        <v>250</v>
      </c>
      <c r="AL142" t="s">
        <v>1097</v>
      </c>
    </row>
    <row r="143" spans="1:79" x14ac:dyDescent="0.25">
      <c r="A143" t="s">
        <v>1098</v>
      </c>
      <c r="B143" t="e">
        <f>_xlfn.XLOOKUP(C143,'[1]Image URL'!$E:$E,'[1]Image URL'!$A:$A)</f>
        <v>#N/A</v>
      </c>
      <c r="C143">
        <v>662505</v>
      </c>
      <c r="D143" t="s">
        <v>1100</v>
      </c>
      <c r="E143" t="s">
        <v>1101</v>
      </c>
      <c r="F143" t="s">
        <v>1102</v>
      </c>
      <c r="G143" t="s">
        <v>361</v>
      </c>
      <c r="H143" t="s">
        <v>361</v>
      </c>
      <c r="U143" t="s">
        <v>422</v>
      </c>
      <c r="V143" t="s">
        <v>157</v>
      </c>
      <c r="W143">
        <v>77838148877</v>
      </c>
      <c r="X143">
        <v>10077838148874</v>
      </c>
      <c r="Y143" t="s">
        <v>1103</v>
      </c>
      <c r="Z143" t="s">
        <v>1104</v>
      </c>
      <c r="AA143" t="s">
        <v>1105</v>
      </c>
      <c r="AB143" t="s">
        <v>445</v>
      </c>
      <c r="AC143" t="s">
        <v>332</v>
      </c>
      <c r="AD143" t="s">
        <v>301</v>
      </c>
      <c r="AE143" t="s">
        <v>349</v>
      </c>
      <c r="AF143" t="s">
        <v>235</v>
      </c>
      <c r="AG143">
        <v>732393.00800000003</v>
      </c>
      <c r="AH143">
        <v>175</v>
      </c>
      <c r="AL143" t="s">
        <v>1106</v>
      </c>
      <c r="AN143" t="s">
        <v>1107</v>
      </c>
    </row>
    <row r="144" spans="1:79" x14ac:dyDescent="0.25">
      <c r="A144" t="s">
        <v>1108</v>
      </c>
      <c r="B144" t="e">
        <f>_xlfn.XLOOKUP(C144,'[1]Image URL'!$E:$E,'[1]Image URL'!$A:$A)</f>
        <v>#N/A</v>
      </c>
      <c r="C144">
        <v>1085603</v>
      </c>
      <c r="D144" t="s">
        <v>1109</v>
      </c>
      <c r="E144" t="s">
        <v>1110</v>
      </c>
      <c r="H144" t="s">
        <v>385</v>
      </c>
      <c r="I144" t="s">
        <v>194</v>
      </c>
      <c r="J144" t="s">
        <v>212</v>
      </c>
      <c r="U144" t="s">
        <v>217</v>
      </c>
      <c r="V144" t="s">
        <v>157</v>
      </c>
      <c r="W144">
        <v>77838134290</v>
      </c>
      <c r="X144">
        <v>10077838134297</v>
      </c>
      <c r="Y144" t="s">
        <v>1111</v>
      </c>
      <c r="Z144" t="s">
        <v>1112</v>
      </c>
      <c r="AA144" t="s">
        <v>747</v>
      </c>
      <c r="AB144" t="s">
        <v>893</v>
      </c>
      <c r="AC144" t="s">
        <v>827</v>
      </c>
      <c r="AD144" t="s">
        <v>1113</v>
      </c>
      <c r="AE144" t="s">
        <v>184</v>
      </c>
      <c r="AF144" t="s">
        <v>316</v>
      </c>
      <c r="AG144">
        <v>392410.4</v>
      </c>
      <c r="AH144">
        <v>250</v>
      </c>
      <c r="AM144" t="s">
        <v>317</v>
      </c>
      <c r="AN144" t="s">
        <v>318</v>
      </c>
      <c r="BG144" t="s">
        <v>1114</v>
      </c>
    </row>
    <row r="145" spans="1:79" x14ac:dyDescent="0.25">
      <c r="A145" t="s">
        <v>1115</v>
      </c>
      <c r="B145" t="e">
        <f>_xlfn.XLOOKUP(C145,'[1]Image URL'!$E:$E,'[1]Image URL'!$A:$A)</f>
        <v>#N/A</v>
      </c>
      <c r="C145" t="s">
        <v>1252</v>
      </c>
      <c r="D145" t="s">
        <v>1116</v>
      </c>
      <c r="E145" t="s">
        <v>1117</v>
      </c>
      <c r="F145" t="s">
        <v>582</v>
      </c>
      <c r="G145" t="s">
        <v>582</v>
      </c>
      <c r="H145" t="s">
        <v>583</v>
      </c>
      <c r="J145" t="s">
        <v>212</v>
      </c>
      <c r="U145" t="s">
        <v>584</v>
      </c>
      <c r="V145" t="s">
        <v>157</v>
      </c>
      <c r="W145">
        <v>77838505700</v>
      </c>
      <c r="X145">
        <v>10077838005702</v>
      </c>
      <c r="Y145" t="s">
        <v>585</v>
      </c>
      <c r="Z145" t="s">
        <v>586</v>
      </c>
      <c r="AA145" t="s">
        <v>495</v>
      </c>
      <c r="AB145" t="s">
        <v>587</v>
      </c>
      <c r="AC145" t="s">
        <v>169</v>
      </c>
      <c r="AD145" t="s">
        <v>588</v>
      </c>
      <c r="AE145" t="s">
        <v>349</v>
      </c>
      <c r="AF145" t="s">
        <v>302</v>
      </c>
      <c r="AG145">
        <v>392410.4</v>
      </c>
      <c r="AH145">
        <v>125</v>
      </c>
      <c r="AM145" t="s">
        <v>589</v>
      </c>
      <c r="AS145" t="s">
        <v>217</v>
      </c>
      <c r="BX145" t="s">
        <v>582</v>
      </c>
      <c r="BY145" t="s">
        <v>590</v>
      </c>
    </row>
    <row r="146" spans="1:79" x14ac:dyDescent="0.25">
      <c r="A146" t="s">
        <v>1118</v>
      </c>
      <c r="B146" t="e">
        <f>_xlfn.XLOOKUP(C146,'[1]Image URL'!$E:$E,'[1]Image URL'!$A:$A)</f>
        <v>#N/A</v>
      </c>
      <c r="C146">
        <v>433006</v>
      </c>
      <c r="D146" t="s">
        <v>796</v>
      </c>
      <c r="E146" t="s">
        <v>751</v>
      </c>
      <c r="F146" t="s">
        <v>752</v>
      </c>
      <c r="G146" t="s">
        <v>550</v>
      </c>
      <c r="H146" t="s">
        <v>463</v>
      </c>
      <c r="J146" t="s">
        <v>341</v>
      </c>
      <c r="U146" t="s">
        <v>342</v>
      </c>
      <c r="V146" t="s">
        <v>157</v>
      </c>
      <c r="W146">
        <v>77838509357</v>
      </c>
      <c r="X146">
        <v>10077838009359</v>
      </c>
      <c r="Y146" t="s">
        <v>753</v>
      </c>
      <c r="Z146" t="s">
        <v>754</v>
      </c>
      <c r="AA146" t="s">
        <v>755</v>
      </c>
      <c r="AB146" t="s">
        <v>756</v>
      </c>
      <c r="AC146" t="s">
        <v>757</v>
      </c>
      <c r="AD146" t="s">
        <v>758</v>
      </c>
      <c r="AE146" t="s">
        <v>314</v>
      </c>
      <c r="AF146" t="s">
        <v>403</v>
      </c>
      <c r="AG146">
        <v>392410.4</v>
      </c>
      <c r="AH146">
        <v>100</v>
      </c>
      <c r="AL146" t="s">
        <v>681</v>
      </c>
    </row>
    <row r="147" spans="1:79" x14ac:dyDescent="0.25">
      <c r="A147" t="s">
        <v>1119</v>
      </c>
      <c r="B147" t="e">
        <f>_xlfn.XLOOKUP(C147,'[1]Image URL'!$E:$E,'[1]Image URL'!$A:$A)</f>
        <v>#N/A</v>
      </c>
      <c r="C147" t="s">
        <v>1271</v>
      </c>
      <c r="D147" t="s">
        <v>1120</v>
      </c>
      <c r="E147" t="s">
        <v>573</v>
      </c>
      <c r="F147" t="s">
        <v>548</v>
      </c>
      <c r="G147" t="s">
        <v>549</v>
      </c>
      <c r="H147" t="s">
        <v>550</v>
      </c>
      <c r="I147" t="s">
        <v>147</v>
      </c>
      <c r="J147" t="s">
        <v>280</v>
      </c>
      <c r="U147" t="s">
        <v>281</v>
      </c>
      <c r="V147" t="s">
        <v>282</v>
      </c>
      <c r="W147">
        <v>77838105610</v>
      </c>
      <c r="X147">
        <v>10077838105617</v>
      </c>
      <c r="Y147" t="s">
        <v>556</v>
      </c>
      <c r="Z147" t="s">
        <v>574</v>
      </c>
      <c r="AA147" t="s">
        <v>575</v>
      </c>
      <c r="AB147" t="s">
        <v>576</v>
      </c>
      <c r="AC147" t="s">
        <v>577</v>
      </c>
      <c r="AD147" t="s">
        <v>402</v>
      </c>
      <c r="AE147" t="s">
        <v>164</v>
      </c>
      <c r="AF147" t="s">
        <v>314</v>
      </c>
      <c r="AG147">
        <v>940390.5</v>
      </c>
      <c r="AH147">
        <v>85</v>
      </c>
      <c r="AL147" t="s">
        <v>556</v>
      </c>
      <c r="BF147" t="s">
        <v>578</v>
      </c>
    </row>
    <row r="148" spans="1:79" x14ac:dyDescent="0.25">
      <c r="A148" t="s">
        <v>1121</v>
      </c>
      <c r="B148" t="e">
        <f>_xlfn.XLOOKUP(C148,'[1]Image URL'!$E:$E,'[1]Image URL'!$A:$A)</f>
        <v>#N/A</v>
      </c>
      <c r="C148" t="s">
        <v>1277</v>
      </c>
      <c r="D148" t="s">
        <v>1122</v>
      </c>
      <c r="E148" t="s">
        <v>1123</v>
      </c>
      <c r="F148" t="s">
        <v>1124</v>
      </c>
      <c r="G148" t="s">
        <v>1124</v>
      </c>
      <c r="H148" t="s">
        <v>361</v>
      </c>
      <c r="J148" t="s">
        <v>212</v>
      </c>
      <c r="U148" t="s">
        <v>584</v>
      </c>
      <c r="V148" t="s">
        <v>157</v>
      </c>
      <c r="W148">
        <v>77838223192</v>
      </c>
      <c r="X148">
        <v>10077838123192</v>
      </c>
      <c r="Y148" t="s">
        <v>1125</v>
      </c>
      <c r="Z148" t="s">
        <v>1126</v>
      </c>
      <c r="AA148" t="s">
        <v>911</v>
      </c>
      <c r="AB148" t="s">
        <v>1127</v>
      </c>
      <c r="AC148" t="s">
        <v>332</v>
      </c>
      <c r="AD148" t="s">
        <v>184</v>
      </c>
      <c r="AE148" t="s">
        <v>456</v>
      </c>
      <c r="AF148" t="s">
        <v>302</v>
      </c>
      <c r="AG148">
        <v>392410.4</v>
      </c>
      <c r="AH148">
        <v>175</v>
      </c>
      <c r="AM148" t="s">
        <v>1128</v>
      </c>
      <c r="AS148" t="s">
        <v>217</v>
      </c>
      <c r="BX148" t="s">
        <v>1124</v>
      </c>
      <c r="BY148" t="s">
        <v>1129</v>
      </c>
    </row>
    <row r="149" spans="1:79" x14ac:dyDescent="0.25">
      <c r="A149" t="s">
        <v>1130</v>
      </c>
      <c r="B149" t="e">
        <f>_xlfn.XLOOKUP(C149,'[1]Image URL'!$E:$E,'[1]Image URL'!$A:$A)</f>
        <v>#N/A</v>
      </c>
      <c r="C149" t="s">
        <v>1280</v>
      </c>
      <c r="D149" t="s">
        <v>1132</v>
      </c>
      <c r="E149" t="s">
        <v>484</v>
      </c>
      <c r="K149" t="s">
        <v>485</v>
      </c>
      <c r="L149" t="s">
        <v>486</v>
      </c>
      <c r="N149" t="s">
        <v>487</v>
      </c>
      <c r="O149" t="s">
        <v>488</v>
      </c>
      <c r="P149" t="s">
        <v>489</v>
      </c>
      <c r="Q149" t="s">
        <v>332</v>
      </c>
      <c r="R149" t="s">
        <v>490</v>
      </c>
      <c r="S149" t="s">
        <v>491</v>
      </c>
      <c r="U149" t="s">
        <v>156</v>
      </c>
      <c r="V149" t="s">
        <v>157</v>
      </c>
      <c r="W149">
        <v>77838027165</v>
      </c>
      <c r="X149">
        <v>10077838027162</v>
      </c>
      <c r="Y149" t="s">
        <v>492</v>
      </c>
      <c r="Z149" t="s">
        <v>493</v>
      </c>
      <c r="AA149" t="s">
        <v>494</v>
      </c>
      <c r="AB149" t="s">
        <v>495</v>
      </c>
      <c r="AC149" t="s">
        <v>220</v>
      </c>
      <c r="AD149" t="s">
        <v>496</v>
      </c>
      <c r="AE149" t="s">
        <v>164</v>
      </c>
      <c r="AF149" t="s">
        <v>164</v>
      </c>
      <c r="AG149">
        <v>392410.4</v>
      </c>
      <c r="AH149">
        <v>92.5</v>
      </c>
      <c r="AI149" t="s">
        <v>201</v>
      </c>
      <c r="AK149" t="s">
        <v>497</v>
      </c>
      <c r="BQ149" t="s">
        <v>498</v>
      </c>
      <c r="BR149" t="s">
        <v>499</v>
      </c>
    </row>
    <row r="150" spans="1:79" x14ac:dyDescent="0.25">
      <c r="A150" t="s">
        <v>1133</v>
      </c>
      <c r="B150" t="e">
        <f>_xlfn.XLOOKUP(C150,'[1]Image URL'!$E:$E,'[1]Image URL'!$A:$A)</f>
        <v>#N/A</v>
      </c>
      <c r="C150" t="s">
        <v>1288</v>
      </c>
      <c r="D150" t="s">
        <v>1134</v>
      </c>
      <c r="E150" t="s">
        <v>1135</v>
      </c>
      <c r="F150" t="s">
        <v>842</v>
      </c>
      <c r="I150" t="s">
        <v>194</v>
      </c>
      <c r="J150" t="s">
        <v>195</v>
      </c>
      <c r="U150" t="s">
        <v>196</v>
      </c>
      <c r="V150" t="s">
        <v>157</v>
      </c>
      <c r="W150">
        <v>77838285213</v>
      </c>
      <c r="X150">
        <v>10077838085216</v>
      </c>
      <c r="Y150" t="s">
        <v>1061</v>
      </c>
      <c r="Z150" t="s">
        <v>505</v>
      </c>
      <c r="AA150" t="s">
        <v>646</v>
      </c>
      <c r="AB150" t="s">
        <v>328</v>
      </c>
      <c r="AC150" t="s">
        <v>1136</v>
      </c>
      <c r="AD150" t="s">
        <v>467</v>
      </c>
      <c r="AE150" t="s">
        <v>303</v>
      </c>
      <c r="AF150" t="s">
        <v>303</v>
      </c>
      <c r="AG150">
        <v>392410.4</v>
      </c>
      <c r="AH150">
        <v>175</v>
      </c>
      <c r="AM150" t="s">
        <v>847</v>
      </c>
      <c r="AN150" t="s">
        <v>334</v>
      </c>
      <c r="AT150" t="s">
        <v>848</v>
      </c>
      <c r="BL150" t="s">
        <v>849</v>
      </c>
      <c r="BM150" t="s">
        <v>850</v>
      </c>
      <c r="BO150" t="s">
        <v>851</v>
      </c>
    </row>
    <row r="151" spans="1:79" x14ac:dyDescent="0.25">
      <c r="A151" t="s">
        <v>1137</v>
      </c>
      <c r="B151" t="e">
        <f>_xlfn.XLOOKUP(C151,'[1]Image URL'!$E:$E,'[1]Image URL'!$A:$A)</f>
        <v>#N/A</v>
      </c>
      <c r="C151">
        <v>905207</v>
      </c>
      <c r="D151" t="s">
        <v>1139</v>
      </c>
      <c r="E151" t="s">
        <v>1140</v>
      </c>
      <c r="F151" t="s">
        <v>288</v>
      </c>
      <c r="G151" t="s">
        <v>288</v>
      </c>
      <c r="H151" t="s">
        <v>324</v>
      </c>
      <c r="K151" t="s">
        <v>325</v>
      </c>
      <c r="L151" t="s">
        <v>325</v>
      </c>
      <c r="U151" t="s">
        <v>156</v>
      </c>
      <c r="V151" t="s">
        <v>157</v>
      </c>
      <c r="W151">
        <v>77838881101</v>
      </c>
      <c r="X151">
        <v>10077838881108</v>
      </c>
      <c r="Y151" t="s">
        <v>326</v>
      </c>
      <c r="Z151" t="s">
        <v>1141</v>
      </c>
      <c r="AA151" t="s">
        <v>221</v>
      </c>
      <c r="AB151" t="s">
        <v>1062</v>
      </c>
      <c r="AC151" t="s">
        <v>169</v>
      </c>
      <c r="AD151" t="s">
        <v>1142</v>
      </c>
      <c r="AE151" t="s">
        <v>163</v>
      </c>
      <c r="AF151" t="s">
        <v>302</v>
      </c>
      <c r="AG151">
        <v>392410.4</v>
      </c>
      <c r="AH151">
        <v>85</v>
      </c>
      <c r="AI151" t="s">
        <v>330</v>
      </c>
      <c r="AT151" t="s">
        <v>331</v>
      </c>
      <c r="AZ151" t="s">
        <v>329</v>
      </c>
      <c r="BZ151" t="s">
        <v>1143</v>
      </c>
      <c r="CA151" t="s">
        <v>1143</v>
      </c>
    </row>
    <row r="152" spans="1:79" x14ac:dyDescent="0.25">
      <c r="A152" t="s">
        <v>1144</v>
      </c>
      <c r="B152" t="e">
        <f>_xlfn.XLOOKUP(C152,'[1]Image URL'!$E:$E,'[1]Image URL'!$A:$A)</f>
        <v>#N/A</v>
      </c>
      <c r="C152" t="s">
        <v>1299</v>
      </c>
      <c r="D152" t="s">
        <v>1145</v>
      </c>
      <c r="E152" t="s">
        <v>833</v>
      </c>
      <c r="I152" t="s">
        <v>194</v>
      </c>
      <c r="J152" t="s">
        <v>834</v>
      </c>
      <c r="U152" t="s">
        <v>273</v>
      </c>
      <c r="V152" t="s">
        <v>157</v>
      </c>
      <c r="W152">
        <v>77838124062</v>
      </c>
      <c r="X152">
        <v>10077838124069</v>
      </c>
      <c r="Y152" t="s">
        <v>1078</v>
      </c>
      <c r="Z152" t="s">
        <v>198</v>
      </c>
      <c r="AA152" t="s">
        <v>345</v>
      </c>
      <c r="AB152" t="s">
        <v>400</v>
      </c>
      <c r="AC152" t="s">
        <v>973</v>
      </c>
      <c r="AD152" t="s">
        <v>1042</v>
      </c>
      <c r="AE152" t="s">
        <v>402</v>
      </c>
      <c r="AF152" t="s">
        <v>349</v>
      </c>
      <c r="AG152">
        <v>940399.40800000005</v>
      </c>
      <c r="AH152">
        <v>92.5</v>
      </c>
      <c r="AL152" t="s">
        <v>399</v>
      </c>
    </row>
    <row r="153" spans="1:79" x14ac:dyDescent="0.25">
      <c r="A153" t="s">
        <v>1146</v>
      </c>
      <c r="B153" t="e">
        <f>_xlfn.XLOOKUP(C153,'[1]Image URL'!$E:$E,'[1]Image URL'!$A:$A)</f>
        <v>#N/A</v>
      </c>
      <c r="C153">
        <v>30203</v>
      </c>
      <c r="D153" t="s">
        <v>780</v>
      </c>
      <c r="E153" t="s">
        <v>761</v>
      </c>
      <c r="F153" t="s">
        <v>762</v>
      </c>
      <c r="G153" t="s">
        <v>550</v>
      </c>
      <c r="H153" t="s">
        <v>340</v>
      </c>
      <c r="J153" t="s">
        <v>341</v>
      </c>
      <c r="U153" t="s">
        <v>342</v>
      </c>
      <c r="V153" t="s">
        <v>157</v>
      </c>
      <c r="W153">
        <v>77838509296</v>
      </c>
      <c r="X153">
        <v>10077838009298</v>
      </c>
      <c r="Y153" t="s">
        <v>763</v>
      </c>
      <c r="Z153" t="s">
        <v>764</v>
      </c>
      <c r="AA153" t="s">
        <v>765</v>
      </c>
      <c r="AB153" t="s">
        <v>756</v>
      </c>
      <c r="AC153" t="s">
        <v>766</v>
      </c>
      <c r="AD153" t="s">
        <v>234</v>
      </c>
      <c r="AE153" t="s">
        <v>314</v>
      </c>
      <c r="AF153" t="s">
        <v>349</v>
      </c>
      <c r="AG153">
        <v>392410.4</v>
      </c>
      <c r="AH153">
        <v>100</v>
      </c>
      <c r="AL153" t="s">
        <v>681</v>
      </c>
    </row>
    <row r="154" spans="1:79" x14ac:dyDescent="0.25">
      <c r="A154" t="s">
        <v>1147</v>
      </c>
      <c r="B154" t="e">
        <f>_xlfn.XLOOKUP(C154,'[1]Image URL'!$E:$E,'[1]Image URL'!$A:$A)</f>
        <v>#N/A</v>
      </c>
      <c r="C154">
        <v>432806</v>
      </c>
      <c r="D154" t="s">
        <v>1149</v>
      </c>
      <c r="E154" t="s">
        <v>323</v>
      </c>
      <c r="F154" t="s">
        <v>288</v>
      </c>
      <c r="G154" t="s">
        <v>288</v>
      </c>
      <c r="H154" t="s">
        <v>324</v>
      </c>
      <c r="K154" t="s">
        <v>325</v>
      </c>
      <c r="L154" t="s">
        <v>325</v>
      </c>
      <c r="U154" t="s">
        <v>156</v>
      </c>
      <c r="V154" t="s">
        <v>157</v>
      </c>
      <c r="W154">
        <v>77838881125</v>
      </c>
      <c r="X154">
        <v>10077838881122</v>
      </c>
      <c r="Y154" t="s">
        <v>326</v>
      </c>
      <c r="Z154" t="s">
        <v>327</v>
      </c>
      <c r="AA154" t="s">
        <v>328</v>
      </c>
      <c r="AB154" t="s">
        <v>329</v>
      </c>
      <c r="AC154" t="s">
        <v>233</v>
      </c>
      <c r="AD154" t="s">
        <v>162</v>
      </c>
      <c r="AE154" t="s">
        <v>163</v>
      </c>
      <c r="AF154" t="s">
        <v>164</v>
      </c>
      <c r="AG154">
        <v>392410.4</v>
      </c>
      <c r="AH154">
        <v>85</v>
      </c>
      <c r="AI154" t="s">
        <v>330</v>
      </c>
      <c r="AT154" t="s">
        <v>331</v>
      </c>
      <c r="AZ154" t="s">
        <v>332</v>
      </c>
      <c r="BH154" t="s">
        <v>333</v>
      </c>
      <c r="BI154" t="s">
        <v>334</v>
      </c>
    </row>
    <row r="155" spans="1:79" x14ac:dyDescent="0.25">
      <c r="A155" t="s">
        <v>1150</v>
      </c>
      <c r="B155" t="e">
        <f>_xlfn.XLOOKUP(C155,'[1]Image URL'!$E:$E,'[1]Image URL'!$A:$A)</f>
        <v>#N/A</v>
      </c>
      <c r="C155">
        <v>936507</v>
      </c>
      <c r="D155" t="s">
        <v>1058</v>
      </c>
      <c r="E155" t="s">
        <v>1059</v>
      </c>
      <c r="F155" t="s">
        <v>329</v>
      </c>
      <c r="G155" t="s">
        <v>329</v>
      </c>
      <c r="H155" t="s">
        <v>1060</v>
      </c>
      <c r="J155" t="s">
        <v>678</v>
      </c>
      <c r="U155" t="s">
        <v>217</v>
      </c>
      <c r="V155" t="s">
        <v>157</v>
      </c>
      <c r="W155">
        <v>77838505779</v>
      </c>
      <c r="X155">
        <v>10077838005771</v>
      </c>
      <c r="Y155" t="s">
        <v>1061</v>
      </c>
      <c r="Z155" t="s">
        <v>746</v>
      </c>
      <c r="AA155" t="s">
        <v>1062</v>
      </c>
      <c r="AB155" t="s">
        <v>332</v>
      </c>
      <c r="AC155" t="s">
        <v>400</v>
      </c>
      <c r="AD155" t="s">
        <v>1063</v>
      </c>
      <c r="AE155" t="s">
        <v>163</v>
      </c>
      <c r="AF155" t="s">
        <v>349</v>
      </c>
      <c r="AG155">
        <v>392350</v>
      </c>
      <c r="AH155">
        <v>125</v>
      </c>
      <c r="AL155" t="s">
        <v>205</v>
      </c>
      <c r="AN155" t="s">
        <v>329</v>
      </c>
    </row>
    <row r="156" spans="1:79" x14ac:dyDescent="0.25">
      <c r="A156" t="s">
        <v>1151</v>
      </c>
      <c r="B156" t="e">
        <f>_xlfn.XLOOKUP(C156,'[1]Image URL'!$E:$E,'[1]Image URL'!$A:$A)</f>
        <v>#N/A</v>
      </c>
      <c r="C156" t="s">
        <v>1315</v>
      </c>
      <c r="D156" t="s">
        <v>1152</v>
      </c>
      <c r="E156" t="s">
        <v>1153</v>
      </c>
      <c r="F156" t="s">
        <v>277</v>
      </c>
      <c r="G156" t="s">
        <v>290</v>
      </c>
      <c r="H156" t="s">
        <v>611</v>
      </c>
      <c r="I156" t="s">
        <v>147</v>
      </c>
      <c r="J156" t="s">
        <v>280</v>
      </c>
      <c r="U156" t="s">
        <v>281</v>
      </c>
      <c r="V156" t="s">
        <v>282</v>
      </c>
      <c r="W156">
        <v>77838130971</v>
      </c>
      <c r="X156">
        <v>10077838130978</v>
      </c>
      <c r="Y156" t="s">
        <v>1154</v>
      </c>
      <c r="Z156" t="s">
        <v>1155</v>
      </c>
      <c r="AA156" t="s">
        <v>717</v>
      </c>
      <c r="AB156" t="s">
        <v>286</v>
      </c>
      <c r="AC156" t="s">
        <v>286</v>
      </c>
      <c r="AD156" t="s">
        <v>269</v>
      </c>
      <c r="AE156" t="s">
        <v>269</v>
      </c>
      <c r="AF156" t="s">
        <v>269</v>
      </c>
      <c r="AG156">
        <v>940370.80299999996</v>
      </c>
      <c r="AH156">
        <v>175</v>
      </c>
      <c r="AL156" t="s">
        <v>1154</v>
      </c>
      <c r="AZ156" t="s">
        <v>288</v>
      </c>
    </row>
    <row r="157" spans="1:79" x14ac:dyDescent="0.25">
      <c r="A157" t="s">
        <v>1156</v>
      </c>
      <c r="B157" t="e">
        <f>_xlfn.XLOOKUP(C157,'[1]Image URL'!$E:$E,'[1]Image URL'!$A:$A)</f>
        <v>#N/A</v>
      </c>
      <c r="C157">
        <v>971203</v>
      </c>
      <c r="D157" t="s">
        <v>1157</v>
      </c>
      <c r="E157" t="s">
        <v>1158</v>
      </c>
      <c r="F157" t="s">
        <v>380</v>
      </c>
      <c r="G157" t="s">
        <v>1032</v>
      </c>
      <c r="H157" t="s">
        <v>261</v>
      </c>
      <c r="I157" t="s">
        <v>147</v>
      </c>
      <c r="J157" t="s">
        <v>212</v>
      </c>
      <c r="U157" t="s">
        <v>262</v>
      </c>
      <c r="V157" t="s">
        <v>157</v>
      </c>
      <c r="W157">
        <v>77838123874</v>
      </c>
      <c r="X157">
        <v>10077838123871</v>
      </c>
      <c r="Y157" t="s">
        <v>1159</v>
      </c>
      <c r="Z157" t="s">
        <v>1160</v>
      </c>
      <c r="AA157" t="s">
        <v>1161</v>
      </c>
      <c r="AB157" t="s">
        <v>200</v>
      </c>
      <c r="AC157" t="s">
        <v>1162</v>
      </c>
      <c r="AD157" t="s">
        <v>403</v>
      </c>
      <c r="AE157" t="s">
        <v>269</v>
      </c>
      <c r="AF157" t="s">
        <v>403</v>
      </c>
      <c r="AG157">
        <v>940389.60199999996</v>
      </c>
      <c r="AH157">
        <v>150</v>
      </c>
      <c r="AL157" t="s">
        <v>567</v>
      </c>
      <c r="AT157" t="s">
        <v>1032</v>
      </c>
      <c r="AU157" t="s">
        <v>261</v>
      </c>
      <c r="AV157" t="s">
        <v>271</v>
      </c>
      <c r="AW157" t="s">
        <v>380</v>
      </c>
      <c r="AX157" t="s">
        <v>717</v>
      </c>
      <c r="AY157" t="s">
        <v>273</v>
      </c>
    </row>
    <row r="158" spans="1:79" x14ac:dyDescent="0.25">
      <c r="A158" t="s">
        <v>1163</v>
      </c>
      <c r="B158" t="e">
        <f>_xlfn.XLOOKUP(C158,'[1]Image URL'!$E:$E,'[1]Image URL'!$A:$A)</f>
        <v>#N/A</v>
      </c>
      <c r="C158" t="s">
        <v>1329</v>
      </c>
      <c r="D158" t="s">
        <v>336</v>
      </c>
      <c r="E158" t="s">
        <v>337</v>
      </c>
      <c r="F158" t="s">
        <v>338</v>
      </c>
      <c r="G158" t="s">
        <v>339</v>
      </c>
      <c r="H158" t="s">
        <v>340</v>
      </c>
      <c r="J158" t="s">
        <v>341</v>
      </c>
      <c r="U158" t="s">
        <v>342</v>
      </c>
      <c r="V158" t="s">
        <v>157</v>
      </c>
      <c r="W158">
        <v>77838500613</v>
      </c>
      <c r="X158">
        <v>10077838000615</v>
      </c>
      <c r="Y158" t="s">
        <v>343</v>
      </c>
      <c r="Z158" t="s">
        <v>344</v>
      </c>
      <c r="AA158" t="s">
        <v>345</v>
      </c>
      <c r="AB158" t="s">
        <v>346</v>
      </c>
      <c r="AC158" t="s">
        <v>242</v>
      </c>
      <c r="AD158" t="s">
        <v>347</v>
      </c>
      <c r="AE158" t="s">
        <v>348</v>
      </c>
      <c r="AF158" t="s">
        <v>349</v>
      </c>
      <c r="AG158">
        <v>392410.4</v>
      </c>
      <c r="AH158">
        <v>250</v>
      </c>
      <c r="AL158" t="s">
        <v>350</v>
      </c>
    </row>
    <row r="159" spans="1:79" x14ac:dyDescent="0.25">
      <c r="A159" t="s">
        <v>1164</v>
      </c>
      <c r="B159" t="e">
        <f>_xlfn.XLOOKUP(C159,'[1]Image URL'!$E:$E,'[1]Image URL'!$A:$A)</f>
        <v>#N/A</v>
      </c>
      <c r="C159">
        <v>251207</v>
      </c>
      <c r="D159" t="s">
        <v>1165</v>
      </c>
      <c r="E159" t="s">
        <v>337</v>
      </c>
      <c r="F159" t="s">
        <v>338</v>
      </c>
      <c r="G159" t="s">
        <v>339</v>
      </c>
      <c r="H159" t="s">
        <v>340</v>
      </c>
      <c r="J159" t="s">
        <v>341</v>
      </c>
      <c r="U159" t="s">
        <v>342</v>
      </c>
      <c r="V159" t="s">
        <v>157</v>
      </c>
      <c r="W159">
        <v>77838500620</v>
      </c>
      <c r="X159">
        <v>10077838000622</v>
      </c>
      <c r="Y159" t="s">
        <v>343</v>
      </c>
      <c r="Z159" t="s">
        <v>344</v>
      </c>
      <c r="AA159" t="s">
        <v>345</v>
      </c>
      <c r="AB159" t="s">
        <v>346</v>
      </c>
      <c r="AC159" t="s">
        <v>242</v>
      </c>
      <c r="AD159" t="s">
        <v>347</v>
      </c>
      <c r="AE159" t="s">
        <v>348</v>
      </c>
      <c r="AF159" t="s">
        <v>349</v>
      </c>
      <c r="AG159">
        <v>392410.4</v>
      </c>
      <c r="AH159">
        <v>250</v>
      </c>
      <c r="AL159" t="s">
        <v>350</v>
      </c>
    </row>
    <row r="160" spans="1:79" x14ac:dyDescent="0.25">
      <c r="A160" t="s">
        <v>1166</v>
      </c>
      <c r="B160" t="e">
        <f>_xlfn.XLOOKUP(C160,'[1]Image URL'!$E:$E,'[1]Image URL'!$A:$A)</f>
        <v>#N/A</v>
      </c>
      <c r="C160">
        <v>926007</v>
      </c>
      <c r="D160" t="s">
        <v>1167</v>
      </c>
      <c r="E160" t="s">
        <v>1168</v>
      </c>
      <c r="H160" t="s">
        <v>1169</v>
      </c>
      <c r="I160" t="s">
        <v>194</v>
      </c>
      <c r="J160" t="s">
        <v>212</v>
      </c>
      <c r="U160" t="s">
        <v>217</v>
      </c>
      <c r="V160" t="s">
        <v>157</v>
      </c>
      <c r="W160">
        <v>77838000199</v>
      </c>
      <c r="X160">
        <v>10077838000196</v>
      </c>
      <c r="Y160" t="s">
        <v>1170</v>
      </c>
      <c r="Z160" t="s">
        <v>574</v>
      </c>
      <c r="AA160" t="s">
        <v>1171</v>
      </c>
      <c r="AB160" t="s">
        <v>312</v>
      </c>
      <c r="AC160" t="s">
        <v>425</v>
      </c>
      <c r="AD160" t="s">
        <v>446</v>
      </c>
      <c r="AE160" t="s">
        <v>184</v>
      </c>
      <c r="AF160" t="s">
        <v>302</v>
      </c>
      <c r="AG160">
        <v>392410.4</v>
      </c>
      <c r="AH160">
        <v>250</v>
      </c>
      <c r="AM160" t="s">
        <v>520</v>
      </c>
      <c r="AN160" t="s">
        <v>318</v>
      </c>
      <c r="BG160" t="s">
        <v>319</v>
      </c>
    </row>
    <row r="161" spans="1:79" x14ac:dyDescent="0.25">
      <c r="A161" t="s">
        <v>1172</v>
      </c>
      <c r="B161" t="e">
        <f>_xlfn.XLOOKUP(C161,'[1]Image URL'!$E:$E,'[1]Image URL'!$A:$A)</f>
        <v>#N/A</v>
      </c>
      <c r="C161">
        <v>660608</v>
      </c>
      <c r="D161" t="s">
        <v>1174</v>
      </c>
      <c r="E161" t="s">
        <v>770</v>
      </c>
      <c r="F161" t="s">
        <v>771</v>
      </c>
      <c r="G161" t="s">
        <v>332</v>
      </c>
      <c r="H161" t="s">
        <v>311</v>
      </c>
      <c r="U161" t="s">
        <v>422</v>
      </c>
      <c r="V161" t="s">
        <v>157</v>
      </c>
      <c r="W161">
        <v>77838149812</v>
      </c>
      <c r="X161">
        <v>10077838149819</v>
      </c>
      <c r="Y161" t="s">
        <v>1175</v>
      </c>
      <c r="Z161" t="s">
        <v>1176</v>
      </c>
      <c r="AA161" t="s">
        <v>1177</v>
      </c>
      <c r="AB161" t="s">
        <v>1178</v>
      </c>
      <c r="AC161" t="s">
        <v>1179</v>
      </c>
      <c r="AD161" t="s">
        <v>204</v>
      </c>
      <c r="AE161" t="s">
        <v>349</v>
      </c>
      <c r="AF161" t="s">
        <v>316</v>
      </c>
      <c r="AG161">
        <v>842489.9</v>
      </c>
      <c r="AH161">
        <v>100</v>
      </c>
    </row>
    <row r="162" spans="1:79" x14ac:dyDescent="0.25">
      <c r="A162" t="s">
        <v>1180</v>
      </c>
      <c r="B162" t="e">
        <f>_xlfn.XLOOKUP(C162,'[1]Image URL'!$E:$E,'[1]Image URL'!$A:$A)</f>
        <v>#N/A</v>
      </c>
      <c r="C162" t="s">
        <v>1345</v>
      </c>
      <c r="D162" t="s">
        <v>1181</v>
      </c>
      <c r="E162" t="s">
        <v>593</v>
      </c>
      <c r="F162" t="s">
        <v>594</v>
      </c>
      <c r="G162" t="s">
        <v>594</v>
      </c>
      <c r="H162" t="s">
        <v>361</v>
      </c>
      <c r="J162" t="s">
        <v>212</v>
      </c>
      <c r="U162" t="s">
        <v>584</v>
      </c>
      <c r="V162" t="s">
        <v>157</v>
      </c>
      <c r="W162">
        <v>77838505649</v>
      </c>
      <c r="X162">
        <v>10077838005641</v>
      </c>
      <c r="Y162" t="s">
        <v>595</v>
      </c>
      <c r="Z162" t="s">
        <v>596</v>
      </c>
      <c r="AA162" t="s">
        <v>597</v>
      </c>
      <c r="AB162" t="s">
        <v>598</v>
      </c>
      <c r="AC162" t="s">
        <v>599</v>
      </c>
      <c r="AD162" t="s">
        <v>600</v>
      </c>
      <c r="AE162" t="s">
        <v>185</v>
      </c>
      <c r="AF162" t="s">
        <v>235</v>
      </c>
      <c r="AG162">
        <v>392410.4</v>
      </c>
      <c r="AH162">
        <v>175</v>
      </c>
      <c r="AM162" t="s">
        <v>601</v>
      </c>
      <c r="AS162" t="s">
        <v>217</v>
      </c>
      <c r="BX162" t="s">
        <v>594</v>
      </c>
      <c r="BY162" t="s">
        <v>602</v>
      </c>
    </row>
    <row r="163" spans="1:79" x14ac:dyDescent="0.25">
      <c r="A163" t="s">
        <v>1182</v>
      </c>
      <c r="B163" t="e">
        <f>_xlfn.XLOOKUP(C163,'[1]Image URL'!$E:$E,'[1]Image URL'!$A:$A)</f>
        <v>#N/A</v>
      </c>
      <c r="C163">
        <v>38503</v>
      </c>
      <c r="D163" t="s">
        <v>1183</v>
      </c>
      <c r="E163" t="s">
        <v>761</v>
      </c>
      <c r="F163" t="s">
        <v>762</v>
      </c>
      <c r="G163" t="s">
        <v>550</v>
      </c>
      <c r="H163" t="s">
        <v>340</v>
      </c>
      <c r="J163" t="s">
        <v>341</v>
      </c>
      <c r="U163" t="s">
        <v>342</v>
      </c>
      <c r="V163" t="s">
        <v>157</v>
      </c>
      <c r="W163">
        <v>77838509319</v>
      </c>
      <c r="X163">
        <v>10077838009311</v>
      </c>
      <c r="Y163" t="s">
        <v>763</v>
      </c>
      <c r="Z163" t="s">
        <v>764</v>
      </c>
      <c r="AA163" t="s">
        <v>765</v>
      </c>
      <c r="AB163" t="s">
        <v>756</v>
      </c>
      <c r="AC163" t="s">
        <v>766</v>
      </c>
      <c r="AD163" t="s">
        <v>234</v>
      </c>
      <c r="AE163" t="s">
        <v>314</v>
      </c>
      <c r="AF163" t="s">
        <v>349</v>
      </c>
      <c r="AG163">
        <v>392410.4</v>
      </c>
      <c r="AH163">
        <v>100</v>
      </c>
      <c r="AL163" t="s">
        <v>681</v>
      </c>
    </row>
    <row r="164" spans="1:79" x14ac:dyDescent="0.25">
      <c r="A164" t="s">
        <v>1184</v>
      </c>
      <c r="B164" t="e">
        <f>_xlfn.XLOOKUP(C164,'[1]Image URL'!$E:$E,'[1]Image URL'!$A:$A)</f>
        <v>#N/A</v>
      </c>
      <c r="C164" t="s">
        <v>1364</v>
      </c>
    </row>
    <row r="165" spans="1:79" x14ac:dyDescent="0.25">
      <c r="A165" t="s">
        <v>1185</v>
      </c>
      <c r="B165" t="e">
        <f>_xlfn.XLOOKUP(C165,'[1]Image URL'!$E:$E,'[1]Image URL'!$A:$A)</f>
        <v>#N/A</v>
      </c>
      <c r="C165">
        <v>662003</v>
      </c>
    </row>
    <row r="166" spans="1:79" x14ac:dyDescent="0.25">
      <c r="A166" t="s">
        <v>1186</v>
      </c>
      <c r="B166" t="e">
        <f>_xlfn.XLOOKUP(C166,'[1]Image URL'!$E:$E,'[1]Image URL'!$A:$A)</f>
        <v>#N/A</v>
      </c>
      <c r="C166" t="s">
        <v>1381</v>
      </c>
      <c r="D166" t="s">
        <v>1187</v>
      </c>
      <c r="E166" t="s">
        <v>1188</v>
      </c>
      <c r="F166" t="s">
        <v>1189</v>
      </c>
      <c r="G166" t="s">
        <v>1190</v>
      </c>
      <c r="H166" t="s">
        <v>550</v>
      </c>
      <c r="I166" t="s">
        <v>147</v>
      </c>
      <c r="J166" t="s">
        <v>280</v>
      </c>
      <c r="U166" t="s">
        <v>281</v>
      </c>
      <c r="V166" t="s">
        <v>282</v>
      </c>
      <c r="W166">
        <v>77838125380</v>
      </c>
      <c r="X166">
        <v>10077838125387</v>
      </c>
      <c r="Y166" t="s">
        <v>1191</v>
      </c>
      <c r="Z166" t="s">
        <v>1192</v>
      </c>
      <c r="AA166" t="s">
        <v>658</v>
      </c>
      <c r="AB166" t="s">
        <v>1193</v>
      </c>
      <c r="AC166" t="s">
        <v>1194</v>
      </c>
      <c r="AD166" t="s">
        <v>203</v>
      </c>
      <c r="AE166" t="s">
        <v>316</v>
      </c>
      <c r="AF166" t="s">
        <v>314</v>
      </c>
      <c r="AG166">
        <v>940390.5</v>
      </c>
      <c r="AH166">
        <v>85</v>
      </c>
      <c r="AL166" t="s">
        <v>955</v>
      </c>
    </row>
    <row r="167" spans="1:79" x14ac:dyDescent="0.25">
      <c r="A167" t="s">
        <v>1195</v>
      </c>
      <c r="B167" t="e">
        <f>_xlfn.XLOOKUP(C167,'[1]Image URL'!$E:$E,'[1]Image URL'!$A:$A)</f>
        <v>#N/A</v>
      </c>
      <c r="C167" t="s">
        <v>1392</v>
      </c>
      <c r="D167" t="s">
        <v>257</v>
      </c>
      <c r="E167" t="s">
        <v>711</v>
      </c>
      <c r="F167" t="s">
        <v>380</v>
      </c>
      <c r="G167" t="s">
        <v>260</v>
      </c>
      <c r="H167" t="s">
        <v>261</v>
      </c>
      <c r="I167" t="s">
        <v>147</v>
      </c>
      <c r="J167" t="s">
        <v>212</v>
      </c>
      <c r="U167" t="s">
        <v>262</v>
      </c>
      <c r="V167" t="s">
        <v>157</v>
      </c>
      <c r="W167">
        <v>77838014196</v>
      </c>
      <c r="X167">
        <v>10077838014193</v>
      </c>
      <c r="Y167" t="s">
        <v>712</v>
      </c>
      <c r="Z167" t="s">
        <v>713</v>
      </c>
      <c r="AA167" t="s">
        <v>714</v>
      </c>
      <c r="AB167" t="s">
        <v>715</v>
      </c>
      <c r="AC167" t="s">
        <v>716</v>
      </c>
      <c r="AD167" t="s">
        <v>349</v>
      </c>
      <c r="AE167" t="s">
        <v>269</v>
      </c>
      <c r="AF167" t="s">
        <v>349</v>
      </c>
      <c r="AG167">
        <v>940389.60199999996</v>
      </c>
      <c r="AH167">
        <v>150</v>
      </c>
      <c r="AL167" t="s">
        <v>270</v>
      </c>
      <c r="AT167" t="s">
        <v>260</v>
      </c>
      <c r="AU167" t="s">
        <v>261</v>
      </c>
      <c r="AV167" t="s">
        <v>271</v>
      </c>
      <c r="AW167" t="s">
        <v>380</v>
      </c>
      <c r="AX167" t="s">
        <v>717</v>
      </c>
      <c r="AY167" t="s">
        <v>273</v>
      </c>
    </row>
    <row r="168" spans="1:79" x14ac:dyDescent="0.25">
      <c r="A168" t="s">
        <v>1196</v>
      </c>
      <c r="B168" t="e">
        <f>_xlfn.XLOOKUP(C168,'[1]Image URL'!$E:$E,'[1]Image URL'!$A:$A)</f>
        <v>#N/A</v>
      </c>
      <c r="C168" t="s">
        <v>1396</v>
      </c>
      <c r="D168" t="s">
        <v>760</v>
      </c>
      <c r="E168" t="s">
        <v>761</v>
      </c>
      <c r="F168" t="s">
        <v>762</v>
      </c>
      <c r="G168" t="s">
        <v>550</v>
      </c>
      <c r="H168" t="s">
        <v>340</v>
      </c>
      <c r="J168" t="s">
        <v>341</v>
      </c>
      <c r="U168" t="s">
        <v>342</v>
      </c>
      <c r="V168" t="s">
        <v>157</v>
      </c>
      <c r="W168">
        <v>77838509302</v>
      </c>
      <c r="X168">
        <v>10077838009304</v>
      </c>
      <c r="Y168" t="s">
        <v>763</v>
      </c>
      <c r="Z168" t="s">
        <v>764</v>
      </c>
      <c r="AA168" t="s">
        <v>765</v>
      </c>
      <c r="AB168" t="s">
        <v>756</v>
      </c>
      <c r="AC168" t="s">
        <v>766</v>
      </c>
      <c r="AD168" t="s">
        <v>234</v>
      </c>
      <c r="AE168" t="s">
        <v>314</v>
      </c>
      <c r="AF168" t="s">
        <v>349</v>
      </c>
      <c r="AG168">
        <v>392410.4</v>
      </c>
      <c r="AH168">
        <v>100</v>
      </c>
      <c r="AL168" t="s">
        <v>681</v>
      </c>
    </row>
    <row r="169" spans="1:79" x14ac:dyDescent="0.25">
      <c r="A169" t="s">
        <v>1197</v>
      </c>
      <c r="B169" t="e">
        <f>_xlfn.XLOOKUP(C169,'[1]Image URL'!$E:$E,'[1]Image URL'!$A:$A)</f>
        <v>#N/A</v>
      </c>
      <c r="C169">
        <v>772503</v>
      </c>
      <c r="D169" t="s">
        <v>1198</v>
      </c>
      <c r="E169" t="s">
        <v>1199</v>
      </c>
      <c r="F169" t="s">
        <v>1200</v>
      </c>
      <c r="I169" t="s">
        <v>194</v>
      </c>
      <c r="J169" t="s">
        <v>195</v>
      </c>
      <c r="U169" t="s">
        <v>196</v>
      </c>
      <c r="V169" t="s">
        <v>157</v>
      </c>
      <c r="W169">
        <v>77838189689</v>
      </c>
      <c r="X169">
        <v>10077838189686</v>
      </c>
      <c r="Y169" t="s">
        <v>1201</v>
      </c>
      <c r="Z169" t="s">
        <v>219</v>
      </c>
      <c r="AA169" t="s">
        <v>817</v>
      </c>
      <c r="AB169" t="s">
        <v>660</v>
      </c>
      <c r="AC169" t="s">
        <v>973</v>
      </c>
      <c r="AD169" t="s">
        <v>162</v>
      </c>
      <c r="AE169" t="s">
        <v>303</v>
      </c>
      <c r="AF169" t="s">
        <v>349</v>
      </c>
      <c r="AG169">
        <v>392410.4</v>
      </c>
      <c r="AH169">
        <v>300</v>
      </c>
      <c r="AM169" t="s">
        <v>1202</v>
      </c>
      <c r="AN169" t="s">
        <v>333</v>
      </c>
      <c r="AT169" t="s">
        <v>1203</v>
      </c>
      <c r="BL169" t="s">
        <v>1204</v>
      </c>
      <c r="BM169" t="s">
        <v>333</v>
      </c>
      <c r="BO169" t="s">
        <v>1205</v>
      </c>
    </row>
    <row r="170" spans="1:79" x14ac:dyDescent="0.25">
      <c r="A170" t="s">
        <v>1206</v>
      </c>
      <c r="B170" t="e">
        <f>_xlfn.XLOOKUP(C170,'[1]Image URL'!$E:$E,'[1]Image URL'!$A:$A)</f>
        <v>#N/A</v>
      </c>
      <c r="C170">
        <v>927207</v>
      </c>
      <c r="D170" t="s">
        <v>1001</v>
      </c>
      <c r="E170" t="s">
        <v>986</v>
      </c>
      <c r="F170" t="s">
        <v>815</v>
      </c>
      <c r="G170" t="s">
        <v>550</v>
      </c>
      <c r="H170" t="s">
        <v>340</v>
      </c>
      <c r="J170" t="s">
        <v>341</v>
      </c>
      <c r="U170" t="s">
        <v>342</v>
      </c>
      <c r="V170" t="s">
        <v>157</v>
      </c>
      <c r="W170">
        <v>77838500712</v>
      </c>
      <c r="X170">
        <v>10077838000714</v>
      </c>
      <c r="Y170" t="s">
        <v>679</v>
      </c>
      <c r="Z170" t="s">
        <v>754</v>
      </c>
      <c r="AA170" t="s">
        <v>646</v>
      </c>
      <c r="AB170" t="s">
        <v>530</v>
      </c>
      <c r="AC170" t="s">
        <v>400</v>
      </c>
      <c r="AD170" t="s">
        <v>758</v>
      </c>
      <c r="AE170" t="s">
        <v>314</v>
      </c>
      <c r="AF170" t="s">
        <v>403</v>
      </c>
      <c r="AG170">
        <v>392410.4</v>
      </c>
      <c r="AH170">
        <v>100</v>
      </c>
      <c r="AL170" t="s">
        <v>681</v>
      </c>
    </row>
    <row r="171" spans="1:79" x14ac:dyDescent="0.25">
      <c r="A171" t="s">
        <v>1207</v>
      </c>
      <c r="B171" t="e">
        <f>_xlfn.XLOOKUP(C171,'[1]Image URL'!$E:$E,'[1]Image URL'!$A:$A)</f>
        <v>#N/A</v>
      </c>
      <c r="C171">
        <v>767001</v>
      </c>
      <c r="D171" t="s">
        <v>1208</v>
      </c>
      <c r="E171" t="s">
        <v>1153</v>
      </c>
      <c r="F171" t="s">
        <v>277</v>
      </c>
      <c r="G171" t="s">
        <v>290</v>
      </c>
      <c r="H171" t="s">
        <v>611</v>
      </c>
      <c r="I171" t="s">
        <v>147</v>
      </c>
      <c r="J171" t="s">
        <v>280</v>
      </c>
      <c r="U171" t="s">
        <v>281</v>
      </c>
      <c r="V171" t="s">
        <v>282</v>
      </c>
      <c r="W171">
        <v>77838124918</v>
      </c>
      <c r="X171">
        <v>10077838124915</v>
      </c>
      <c r="Y171" t="s">
        <v>1154</v>
      </c>
      <c r="Z171" t="s">
        <v>1155</v>
      </c>
      <c r="AA171" t="s">
        <v>717</v>
      </c>
      <c r="AB171" t="s">
        <v>286</v>
      </c>
      <c r="AC171" t="s">
        <v>286</v>
      </c>
      <c r="AD171" t="s">
        <v>269</v>
      </c>
      <c r="AE171" t="s">
        <v>269</v>
      </c>
      <c r="AF171" t="s">
        <v>269</v>
      </c>
      <c r="AG171">
        <v>940370.80299999996</v>
      </c>
      <c r="AH171">
        <v>175</v>
      </c>
      <c r="AL171" t="s">
        <v>1154</v>
      </c>
      <c r="AZ171" t="s">
        <v>288</v>
      </c>
    </row>
    <row r="172" spans="1:79" x14ac:dyDescent="0.25">
      <c r="A172" t="s">
        <v>1209</v>
      </c>
      <c r="B172" t="e">
        <f>_xlfn.XLOOKUP(C172,'[1]Image URL'!$E:$E,'[1]Image URL'!$A:$A)</f>
        <v>#N/A</v>
      </c>
      <c r="C172">
        <v>772501</v>
      </c>
      <c r="D172" t="s">
        <v>604</v>
      </c>
      <c r="E172" t="s">
        <v>605</v>
      </c>
      <c r="F172" t="s">
        <v>466</v>
      </c>
      <c r="G172" t="s">
        <v>186</v>
      </c>
      <c r="H172" t="s">
        <v>193</v>
      </c>
      <c r="I172" t="s">
        <v>194</v>
      </c>
      <c r="J172" t="s">
        <v>195</v>
      </c>
      <c r="U172" t="s">
        <v>196</v>
      </c>
      <c r="V172" t="s">
        <v>157</v>
      </c>
      <c r="W172">
        <v>77838509814</v>
      </c>
      <c r="X172">
        <v>10077838009816</v>
      </c>
      <c r="Y172" t="s">
        <v>197</v>
      </c>
      <c r="Z172" t="s">
        <v>198</v>
      </c>
      <c r="AA172" t="s">
        <v>199</v>
      </c>
      <c r="AB172" t="s">
        <v>200</v>
      </c>
      <c r="AC172" t="s">
        <v>201</v>
      </c>
      <c r="AD172" t="s">
        <v>202</v>
      </c>
      <c r="AE172" t="s">
        <v>203</v>
      </c>
      <c r="AF172" t="s">
        <v>204</v>
      </c>
      <c r="AG172">
        <v>392410.4</v>
      </c>
      <c r="AH172">
        <v>70</v>
      </c>
      <c r="AL172" t="s">
        <v>205</v>
      </c>
      <c r="AM172" t="s">
        <v>606</v>
      </c>
    </row>
    <row r="173" spans="1:79" x14ac:dyDescent="0.25">
      <c r="A173" t="s">
        <v>1210</v>
      </c>
      <c r="B173" t="e">
        <f>_xlfn.XLOOKUP(C173,'[1]Image URL'!$E:$E,'[1]Image URL'!$A:$A)</f>
        <v>#N/A</v>
      </c>
      <c r="C173">
        <v>772108</v>
      </c>
      <c r="D173" t="s">
        <v>1211</v>
      </c>
      <c r="E173" t="s">
        <v>1212</v>
      </c>
      <c r="F173" t="s">
        <v>1213</v>
      </c>
      <c r="G173" t="s">
        <v>354</v>
      </c>
      <c r="H173" t="s">
        <v>355</v>
      </c>
      <c r="I173" t="s">
        <v>147</v>
      </c>
      <c r="J173" t="s">
        <v>280</v>
      </c>
      <c r="U173" t="s">
        <v>281</v>
      </c>
      <c r="V173" t="s">
        <v>282</v>
      </c>
      <c r="W173">
        <v>77838071212</v>
      </c>
      <c r="X173">
        <v>10077838071219</v>
      </c>
      <c r="Y173" t="s">
        <v>1214</v>
      </c>
      <c r="Z173" t="s">
        <v>1215</v>
      </c>
      <c r="AA173" t="s">
        <v>1216</v>
      </c>
      <c r="AB173" t="s">
        <v>288</v>
      </c>
      <c r="AC173" t="s">
        <v>1217</v>
      </c>
      <c r="AD173" t="s">
        <v>349</v>
      </c>
      <c r="AE173" t="s">
        <v>316</v>
      </c>
      <c r="AF173" t="s">
        <v>164</v>
      </c>
      <c r="AG173">
        <v>940370.80299999996</v>
      </c>
      <c r="AH173">
        <v>100</v>
      </c>
      <c r="AL173" t="s">
        <v>1218</v>
      </c>
      <c r="AT173" t="s">
        <v>364</v>
      </c>
      <c r="AW173" t="s">
        <v>1213</v>
      </c>
      <c r="AX173" t="s">
        <v>1219</v>
      </c>
      <c r="AZ173" t="s">
        <v>288</v>
      </c>
      <c r="BJ173" t="s">
        <v>354</v>
      </c>
      <c r="BK173" t="s">
        <v>1220</v>
      </c>
      <c r="BZ173" t="s">
        <v>313</v>
      </c>
      <c r="CA173" t="s">
        <v>617</v>
      </c>
    </row>
    <row r="174" spans="1:79" x14ac:dyDescent="0.25">
      <c r="A174" t="s">
        <v>1221</v>
      </c>
      <c r="B174" t="e">
        <f>_xlfn.XLOOKUP(C174,'[1]Image URL'!$E:$E,'[1]Image URL'!$A:$A)</f>
        <v>#N/A</v>
      </c>
      <c r="C174" t="s">
        <v>1412</v>
      </c>
      <c r="D174" t="s">
        <v>629</v>
      </c>
      <c r="E174" t="s">
        <v>630</v>
      </c>
      <c r="F174" t="s">
        <v>311</v>
      </c>
      <c r="G174" t="s">
        <v>186</v>
      </c>
      <c r="H174" t="s">
        <v>193</v>
      </c>
      <c r="I174" t="s">
        <v>194</v>
      </c>
      <c r="J174" t="s">
        <v>195</v>
      </c>
      <c r="U174" t="s">
        <v>196</v>
      </c>
      <c r="V174" t="s">
        <v>157</v>
      </c>
      <c r="W174">
        <v>77838587119</v>
      </c>
      <c r="X174">
        <v>10077838087111</v>
      </c>
      <c r="Y174" t="s">
        <v>631</v>
      </c>
      <c r="Z174" t="s">
        <v>632</v>
      </c>
      <c r="AA174" t="s">
        <v>633</v>
      </c>
      <c r="AB174" t="s">
        <v>152</v>
      </c>
      <c r="AC174" t="s">
        <v>333</v>
      </c>
      <c r="AD174" t="s">
        <v>634</v>
      </c>
      <c r="AE174" t="s">
        <v>635</v>
      </c>
      <c r="AF174" t="s">
        <v>349</v>
      </c>
      <c r="AG174">
        <v>392410.4</v>
      </c>
      <c r="AH174">
        <v>100</v>
      </c>
      <c r="AL174" t="s">
        <v>636</v>
      </c>
      <c r="AM174" t="s">
        <v>508</v>
      </c>
    </row>
    <row r="175" spans="1:79" x14ac:dyDescent="0.25">
      <c r="A175" t="s">
        <v>1222</v>
      </c>
      <c r="B175" t="e">
        <f>_xlfn.XLOOKUP(C175,'[1]Image URL'!$E:$E,'[1]Image URL'!$A:$A)</f>
        <v>#N/A</v>
      </c>
      <c r="C175">
        <v>660803</v>
      </c>
      <c r="D175" t="s">
        <v>1224</v>
      </c>
      <c r="E175" t="s">
        <v>1225</v>
      </c>
      <c r="F175" t="s">
        <v>379</v>
      </c>
      <c r="G175" t="s">
        <v>457</v>
      </c>
      <c r="H175" t="s">
        <v>1226</v>
      </c>
      <c r="I175" t="s">
        <v>194</v>
      </c>
      <c r="J175" t="s">
        <v>834</v>
      </c>
      <c r="U175" t="s">
        <v>1227</v>
      </c>
      <c r="V175" t="s">
        <v>157</v>
      </c>
      <c r="W175">
        <v>77838148983</v>
      </c>
      <c r="X175">
        <v>10077838148980</v>
      </c>
      <c r="Y175" t="s">
        <v>1228</v>
      </c>
      <c r="Z175" t="s">
        <v>1229</v>
      </c>
      <c r="AA175" t="s">
        <v>1230</v>
      </c>
      <c r="AB175" t="s">
        <v>1231</v>
      </c>
      <c r="AC175" t="s">
        <v>1232</v>
      </c>
      <c r="AD175" t="s">
        <v>184</v>
      </c>
      <c r="AE175" t="s">
        <v>302</v>
      </c>
      <c r="AF175" t="s">
        <v>456</v>
      </c>
      <c r="AG175">
        <v>392490.565</v>
      </c>
      <c r="AH175">
        <v>175</v>
      </c>
      <c r="AL175" t="s">
        <v>1233</v>
      </c>
    </row>
    <row r="176" spans="1:79" x14ac:dyDescent="0.25">
      <c r="A176" t="s">
        <v>1234</v>
      </c>
      <c r="B176" t="e">
        <f>_xlfn.XLOOKUP(C176,'[1]Image URL'!$E:$E,'[1]Image URL'!$A:$A)</f>
        <v>#N/A</v>
      </c>
      <c r="C176">
        <v>917203</v>
      </c>
      <c r="E176" t="s">
        <v>398</v>
      </c>
      <c r="I176" t="s">
        <v>194</v>
      </c>
      <c r="J176" t="s">
        <v>195</v>
      </c>
      <c r="U176" t="s">
        <v>196</v>
      </c>
      <c r="V176" t="s">
        <v>157</v>
      </c>
      <c r="W176">
        <v>77838060858</v>
      </c>
      <c r="X176">
        <v>10077838060855</v>
      </c>
      <c r="Y176" t="s">
        <v>1041</v>
      </c>
      <c r="Z176" t="s">
        <v>198</v>
      </c>
      <c r="AA176" t="s">
        <v>400</v>
      </c>
      <c r="AB176" t="s">
        <v>400</v>
      </c>
      <c r="AC176" t="s">
        <v>973</v>
      </c>
      <c r="AD176" t="s">
        <v>1042</v>
      </c>
      <c r="AE176" t="s">
        <v>402</v>
      </c>
      <c r="AF176" t="s">
        <v>349</v>
      </c>
      <c r="AG176">
        <v>940399.40800000005</v>
      </c>
      <c r="AH176">
        <v>92.5</v>
      </c>
      <c r="AL176" t="s">
        <v>399</v>
      </c>
    </row>
    <row r="177" spans="1:77" x14ac:dyDescent="0.25">
      <c r="A177" t="s">
        <v>1235</v>
      </c>
      <c r="B177" t="e">
        <f>_xlfn.XLOOKUP(C177,'[1]Image URL'!$E:$E,'[1]Image URL'!$A:$A)</f>
        <v>#N/A</v>
      </c>
      <c r="C177" t="s">
        <v>1418</v>
      </c>
      <c r="D177" t="s">
        <v>1236</v>
      </c>
      <c r="E177" t="s">
        <v>1237</v>
      </c>
      <c r="F177" t="s">
        <v>762</v>
      </c>
      <c r="G177" t="s">
        <v>550</v>
      </c>
      <c r="H177" t="s">
        <v>340</v>
      </c>
      <c r="I177" t="s">
        <v>194</v>
      </c>
      <c r="J177" t="s">
        <v>195</v>
      </c>
      <c r="U177" t="s">
        <v>196</v>
      </c>
      <c r="V177" t="s">
        <v>157</v>
      </c>
      <c r="W177">
        <v>77838503027</v>
      </c>
      <c r="X177">
        <v>10077838003029</v>
      </c>
      <c r="Y177" t="s">
        <v>1238</v>
      </c>
      <c r="Z177" t="s">
        <v>764</v>
      </c>
      <c r="AA177" t="s">
        <v>444</v>
      </c>
      <c r="AB177" t="s">
        <v>1239</v>
      </c>
      <c r="AC177" t="s">
        <v>766</v>
      </c>
      <c r="AD177" t="s">
        <v>758</v>
      </c>
      <c r="AE177" t="s">
        <v>314</v>
      </c>
      <c r="AF177" t="s">
        <v>403</v>
      </c>
      <c r="AG177">
        <v>392410.4</v>
      </c>
      <c r="AH177">
        <v>250</v>
      </c>
      <c r="AL177" t="s">
        <v>205</v>
      </c>
    </row>
    <row r="178" spans="1:77" x14ac:dyDescent="0.25">
      <c r="A178" t="s">
        <v>1240</v>
      </c>
      <c r="B178" t="e">
        <f>_xlfn.XLOOKUP(C178,'[1]Image URL'!$E:$E,'[1]Image URL'!$A:$A)</f>
        <v>#N/A</v>
      </c>
      <c r="C178">
        <v>662008</v>
      </c>
      <c r="D178" t="s">
        <v>1241</v>
      </c>
      <c r="E178" t="s">
        <v>921</v>
      </c>
      <c r="F178" t="s">
        <v>594</v>
      </c>
      <c r="G178" t="s">
        <v>594</v>
      </c>
      <c r="H178" t="s">
        <v>691</v>
      </c>
      <c r="J178" t="s">
        <v>212</v>
      </c>
      <c r="U178" t="s">
        <v>584</v>
      </c>
      <c r="V178" t="s">
        <v>157</v>
      </c>
      <c r="W178">
        <v>77838505540</v>
      </c>
      <c r="X178">
        <v>10077838005542</v>
      </c>
      <c r="Y178" t="s">
        <v>692</v>
      </c>
      <c r="Z178" t="s">
        <v>693</v>
      </c>
      <c r="AA178" t="s">
        <v>694</v>
      </c>
      <c r="AB178" t="s">
        <v>695</v>
      </c>
      <c r="AC178" t="s">
        <v>696</v>
      </c>
      <c r="AD178" t="s">
        <v>245</v>
      </c>
      <c r="AE178" t="s">
        <v>185</v>
      </c>
      <c r="AF178" t="s">
        <v>349</v>
      </c>
      <c r="AG178">
        <v>392410.4</v>
      </c>
      <c r="AH178">
        <v>125</v>
      </c>
      <c r="AM178" t="s">
        <v>697</v>
      </c>
      <c r="AS178" t="s">
        <v>217</v>
      </c>
      <c r="BX178" t="s">
        <v>594</v>
      </c>
      <c r="BY178" t="s">
        <v>249</v>
      </c>
    </row>
    <row r="179" spans="1:77" x14ac:dyDescent="0.25">
      <c r="A179" t="s">
        <v>1242</v>
      </c>
      <c r="B179" t="e">
        <f>_xlfn.XLOOKUP(C179,'[1]Image URL'!$E:$E,'[1]Image URL'!$A:$A)</f>
        <v>#N/A</v>
      </c>
      <c r="C179">
        <v>972003</v>
      </c>
      <c r="D179" t="s">
        <v>1243</v>
      </c>
      <c r="E179" t="s">
        <v>690</v>
      </c>
      <c r="F179" t="s">
        <v>594</v>
      </c>
      <c r="G179" t="s">
        <v>594</v>
      </c>
      <c r="H179" t="s">
        <v>691</v>
      </c>
      <c r="J179" t="s">
        <v>212</v>
      </c>
      <c r="U179" t="s">
        <v>584</v>
      </c>
      <c r="V179" t="s">
        <v>157</v>
      </c>
      <c r="W179">
        <v>77838505557</v>
      </c>
      <c r="X179">
        <v>10077838005559</v>
      </c>
      <c r="Y179" t="s">
        <v>692</v>
      </c>
      <c r="Z179" t="s">
        <v>693</v>
      </c>
      <c r="AA179" t="s">
        <v>694</v>
      </c>
      <c r="AB179" t="s">
        <v>695</v>
      </c>
      <c r="AC179" t="s">
        <v>696</v>
      </c>
      <c r="AD179" t="s">
        <v>245</v>
      </c>
      <c r="AE179" t="s">
        <v>185</v>
      </c>
      <c r="AF179" t="s">
        <v>349</v>
      </c>
      <c r="AG179">
        <v>392410.4</v>
      </c>
      <c r="AH179">
        <v>125</v>
      </c>
      <c r="AM179" t="s">
        <v>697</v>
      </c>
      <c r="AS179" t="s">
        <v>217</v>
      </c>
      <c r="BX179" t="s">
        <v>594</v>
      </c>
      <c r="BY179" t="s">
        <v>249</v>
      </c>
    </row>
    <row r="180" spans="1:77" x14ac:dyDescent="0.25">
      <c r="A180" t="s">
        <v>1244</v>
      </c>
      <c r="B180" t="e">
        <f>_xlfn.XLOOKUP(C180,'[1]Image URL'!$E:$E,'[1]Image URL'!$A:$A)</f>
        <v>#N/A</v>
      </c>
      <c r="C180">
        <v>660508</v>
      </c>
      <c r="D180" t="s">
        <v>1245</v>
      </c>
      <c r="E180" t="s">
        <v>1188</v>
      </c>
      <c r="F180" t="s">
        <v>1189</v>
      </c>
      <c r="G180" t="s">
        <v>1190</v>
      </c>
      <c r="H180" t="s">
        <v>550</v>
      </c>
      <c r="I180" t="s">
        <v>147</v>
      </c>
      <c r="J180" t="s">
        <v>280</v>
      </c>
      <c r="U180" t="s">
        <v>281</v>
      </c>
      <c r="V180" t="s">
        <v>282</v>
      </c>
      <c r="W180">
        <v>77838125397</v>
      </c>
      <c r="X180">
        <v>10077838125394</v>
      </c>
      <c r="Y180" t="s">
        <v>1191</v>
      </c>
      <c r="Z180" t="s">
        <v>1192</v>
      </c>
      <c r="AA180" t="s">
        <v>658</v>
      </c>
      <c r="AB180" t="s">
        <v>1193</v>
      </c>
      <c r="AC180" t="s">
        <v>1194</v>
      </c>
      <c r="AD180" t="s">
        <v>203</v>
      </c>
      <c r="AE180" t="s">
        <v>316</v>
      </c>
      <c r="AF180" t="s">
        <v>314</v>
      </c>
      <c r="AG180">
        <v>940390.5</v>
      </c>
      <c r="AH180">
        <v>85</v>
      </c>
      <c r="AL180" t="s">
        <v>955</v>
      </c>
    </row>
    <row r="181" spans="1:77" x14ac:dyDescent="0.25">
      <c r="A181" t="s">
        <v>1246</v>
      </c>
      <c r="B181" t="e">
        <f>_xlfn.XLOOKUP(C181,'[1]Image URL'!$E:$E,'[1]Image URL'!$A:$A)</f>
        <v>#N/A</v>
      </c>
      <c r="C181">
        <v>221102</v>
      </c>
      <c r="D181" t="s">
        <v>1247</v>
      </c>
      <c r="E181" t="s">
        <v>1248</v>
      </c>
      <c r="F181" t="s">
        <v>652</v>
      </c>
      <c r="G181" t="s">
        <v>466</v>
      </c>
      <c r="H181" t="s">
        <v>385</v>
      </c>
      <c r="I181" t="s">
        <v>194</v>
      </c>
      <c r="J181" t="s">
        <v>212</v>
      </c>
      <c r="M181" t="s">
        <v>653</v>
      </c>
      <c r="T181" t="s">
        <v>654</v>
      </c>
      <c r="U181" t="s">
        <v>217</v>
      </c>
      <c r="V181" t="s">
        <v>157</v>
      </c>
      <c r="W181">
        <v>77838112854</v>
      </c>
      <c r="X181">
        <v>10077838112851</v>
      </c>
      <c r="Y181" t="s">
        <v>1249</v>
      </c>
      <c r="Z181" t="s">
        <v>656</v>
      </c>
      <c r="AA181" t="s">
        <v>807</v>
      </c>
      <c r="AB181" t="s">
        <v>169</v>
      </c>
      <c r="AC181" t="s">
        <v>808</v>
      </c>
      <c r="AD181" t="s">
        <v>507</v>
      </c>
      <c r="AE181" t="s">
        <v>268</v>
      </c>
      <c r="AF181" t="s">
        <v>316</v>
      </c>
      <c r="AG181">
        <v>392410.4</v>
      </c>
      <c r="AH181">
        <v>250</v>
      </c>
      <c r="AL181" t="s">
        <v>1250</v>
      </c>
      <c r="AT181" t="s">
        <v>652</v>
      </c>
      <c r="BG181" t="s">
        <v>660</v>
      </c>
    </row>
    <row r="182" spans="1:77" x14ac:dyDescent="0.25">
      <c r="A182" t="s">
        <v>1251</v>
      </c>
      <c r="B182" t="e">
        <f>_xlfn.XLOOKUP(C182,'[1]Image URL'!$E:$E,'[1]Image URL'!$A:$A)</f>
        <v>#N/A</v>
      </c>
      <c r="C182" t="s">
        <v>1444</v>
      </c>
      <c r="D182" t="s">
        <v>1253</v>
      </c>
      <c r="E182" t="s">
        <v>1254</v>
      </c>
      <c r="K182" t="s">
        <v>485</v>
      </c>
      <c r="L182" t="s">
        <v>486</v>
      </c>
      <c r="N182" t="s">
        <v>487</v>
      </c>
      <c r="O182" t="s">
        <v>488</v>
      </c>
      <c r="P182" t="s">
        <v>489</v>
      </c>
      <c r="Q182" t="s">
        <v>332</v>
      </c>
      <c r="R182" t="s">
        <v>490</v>
      </c>
      <c r="S182" t="s">
        <v>491</v>
      </c>
      <c r="U182" t="s">
        <v>156</v>
      </c>
      <c r="V182" t="s">
        <v>157</v>
      </c>
      <c r="W182">
        <v>77838118320</v>
      </c>
      <c r="X182">
        <v>10077838118327</v>
      </c>
      <c r="Y182" t="s">
        <v>1255</v>
      </c>
      <c r="Z182" t="s">
        <v>1256</v>
      </c>
      <c r="AA182" t="s">
        <v>1257</v>
      </c>
      <c r="AB182" t="s">
        <v>1258</v>
      </c>
      <c r="AC182" t="s">
        <v>1259</v>
      </c>
      <c r="AD182" t="s">
        <v>1113</v>
      </c>
      <c r="AE182" t="s">
        <v>302</v>
      </c>
      <c r="AF182" t="s">
        <v>235</v>
      </c>
      <c r="AG182">
        <v>392410.4</v>
      </c>
      <c r="AH182">
        <v>92.5</v>
      </c>
      <c r="AI182" t="s">
        <v>201</v>
      </c>
      <c r="AM182" t="s">
        <v>499</v>
      </c>
    </row>
    <row r="183" spans="1:77" x14ac:dyDescent="0.25">
      <c r="A183" t="s">
        <v>1260</v>
      </c>
      <c r="B183" t="e">
        <f>_xlfn.XLOOKUP(C183,'[1]Image URL'!$E:$E,'[1]Image URL'!$A:$A)</f>
        <v>#N/A</v>
      </c>
      <c r="C183">
        <v>924807</v>
      </c>
      <c r="D183" t="s">
        <v>1165</v>
      </c>
      <c r="E183" t="s">
        <v>337</v>
      </c>
      <c r="F183" t="s">
        <v>338</v>
      </c>
      <c r="G183" t="s">
        <v>339</v>
      </c>
      <c r="H183" t="s">
        <v>340</v>
      </c>
      <c r="J183" t="s">
        <v>341</v>
      </c>
      <c r="U183" t="s">
        <v>342</v>
      </c>
      <c r="V183" t="s">
        <v>157</v>
      </c>
      <c r="W183">
        <v>77838500620</v>
      </c>
      <c r="X183">
        <v>10077838000622</v>
      </c>
      <c r="Y183" t="s">
        <v>343</v>
      </c>
      <c r="Z183" t="s">
        <v>344</v>
      </c>
      <c r="AA183" t="s">
        <v>345</v>
      </c>
      <c r="AB183" t="s">
        <v>346</v>
      </c>
      <c r="AC183" t="s">
        <v>242</v>
      </c>
      <c r="AD183" t="s">
        <v>347</v>
      </c>
      <c r="AE183" t="s">
        <v>348</v>
      </c>
      <c r="AF183" t="s">
        <v>349</v>
      </c>
      <c r="AG183">
        <v>392410.4</v>
      </c>
      <c r="AH183">
        <v>250</v>
      </c>
      <c r="AL183" t="s">
        <v>350</v>
      </c>
    </row>
    <row r="184" spans="1:77" x14ac:dyDescent="0.25">
      <c r="A184" t="s">
        <v>1261</v>
      </c>
      <c r="B184" t="e">
        <f>_xlfn.XLOOKUP(C184,'[1]Image URL'!$E:$E,'[1]Image URL'!$A:$A)</f>
        <v>#N/A</v>
      </c>
      <c r="C184">
        <v>593302</v>
      </c>
      <c r="D184" t="s">
        <v>1262</v>
      </c>
      <c r="E184" t="s">
        <v>1263</v>
      </c>
      <c r="F184" t="s">
        <v>1264</v>
      </c>
      <c r="I184" t="s">
        <v>194</v>
      </c>
      <c r="J184" t="s">
        <v>195</v>
      </c>
      <c r="U184" t="s">
        <v>196</v>
      </c>
      <c r="V184" t="s">
        <v>157</v>
      </c>
      <c r="W184">
        <v>77838285282</v>
      </c>
      <c r="X184">
        <v>10077838085285</v>
      </c>
      <c r="Y184" t="s">
        <v>1265</v>
      </c>
      <c r="Z184" t="s">
        <v>1266</v>
      </c>
      <c r="AA184" t="s">
        <v>444</v>
      </c>
      <c r="AB184" t="s">
        <v>466</v>
      </c>
      <c r="AC184" t="s">
        <v>1267</v>
      </c>
      <c r="AD184" t="s">
        <v>1268</v>
      </c>
      <c r="AE184" t="s">
        <v>303</v>
      </c>
      <c r="AF184" t="s">
        <v>802</v>
      </c>
      <c r="AG184">
        <v>392410.4</v>
      </c>
      <c r="AH184">
        <v>125</v>
      </c>
      <c r="AM184" t="s">
        <v>1269</v>
      </c>
      <c r="AN184" t="s">
        <v>1143</v>
      </c>
      <c r="AT184" t="s">
        <v>413</v>
      </c>
      <c r="BL184" t="s">
        <v>1204</v>
      </c>
      <c r="BM184" t="s">
        <v>386</v>
      </c>
      <c r="BO184" t="s">
        <v>766</v>
      </c>
    </row>
    <row r="185" spans="1:77" x14ac:dyDescent="0.25">
      <c r="A185" t="s">
        <v>1270</v>
      </c>
      <c r="B185" t="e">
        <f>_xlfn.XLOOKUP(C185,'[1]Image URL'!$E:$E,'[1]Image URL'!$A:$A)</f>
        <v>#N/A</v>
      </c>
      <c r="C185" t="s">
        <v>1464</v>
      </c>
      <c r="D185" t="s">
        <v>1272</v>
      </c>
      <c r="E185" t="s">
        <v>143</v>
      </c>
      <c r="F185" t="s">
        <v>439</v>
      </c>
      <c r="G185" t="s">
        <v>1273</v>
      </c>
      <c r="H185" t="s">
        <v>188</v>
      </c>
      <c r="J185" t="s">
        <v>212</v>
      </c>
      <c r="K185" t="s">
        <v>752</v>
      </c>
      <c r="L185" t="s">
        <v>188</v>
      </c>
      <c r="M185" t="s">
        <v>858</v>
      </c>
      <c r="N185" t="s">
        <v>868</v>
      </c>
      <c r="O185" t="s">
        <v>859</v>
      </c>
      <c r="P185" t="s">
        <v>860</v>
      </c>
      <c r="Q185" t="s">
        <v>188</v>
      </c>
      <c r="R185" t="s">
        <v>439</v>
      </c>
      <c r="S185" t="s">
        <v>1273</v>
      </c>
      <c r="T185" t="s">
        <v>862</v>
      </c>
      <c r="U185" t="s">
        <v>156</v>
      </c>
      <c r="V185" t="s">
        <v>157</v>
      </c>
      <c r="W185">
        <v>77838862391</v>
      </c>
      <c r="X185">
        <v>10077838862398</v>
      </c>
      <c r="Y185" t="s">
        <v>1103</v>
      </c>
      <c r="Z185" t="s">
        <v>864</v>
      </c>
      <c r="AA185" t="s">
        <v>1274</v>
      </c>
      <c r="AB185" t="s">
        <v>866</v>
      </c>
      <c r="AC185" t="s">
        <v>1275</v>
      </c>
      <c r="AD185" t="s">
        <v>867</v>
      </c>
      <c r="AE185" t="s">
        <v>314</v>
      </c>
      <c r="AF185" t="s">
        <v>185</v>
      </c>
      <c r="AG185">
        <v>392410.4</v>
      </c>
      <c r="AH185">
        <v>85</v>
      </c>
      <c r="AI185" t="s">
        <v>186</v>
      </c>
    </row>
    <row r="186" spans="1:77" x14ac:dyDescent="0.25">
      <c r="A186" t="s">
        <v>1276</v>
      </c>
      <c r="B186" t="e">
        <f>_xlfn.XLOOKUP(C186,'[1]Image URL'!$E:$E,'[1]Image URL'!$A:$A)</f>
        <v>#N/A</v>
      </c>
      <c r="C186">
        <v>700628</v>
      </c>
      <c r="D186" t="s">
        <v>1278</v>
      </c>
      <c r="E186" t="s">
        <v>168</v>
      </c>
      <c r="I186" t="s">
        <v>147</v>
      </c>
      <c r="J186" t="s">
        <v>148</v>
      </c>
      <c r="K186" t="s">
        <v>169</v>
      </c>
      <c r="L186" t="s">
        <v>170</v>
      </c>
      <c r="M186" t="s">
        <v>171</v>
      </c>
      <c r="N186" t="s">
        <v>172</v>
      </c>
      <c r="O186" t="s">
        <v>173</v>
      </c>
      <c r="Q186" t="s">
        <v>174</v>
      </c>
      <c r="R186" t="s">
        <v>175</v>
      </c>
      <c r="S186" t="s">
        <v>176</v>
      </c>
      <c r="T186" t="s">
        <v>177</v>
      </c>
      <c r="U186" t="s">
        <v>156</v>
      </c>
      <c r="V186" t="s">
        <v>157</v>
      </c>
      <c r="W186">
        <v>77838086810</v>
      </c>
      <c r="X186">
        <v>10077838086817</v>
      </c>
      <c r="Y186" t="s">
        <v>178</v>
      </c>
      <c r="Z186" t="s">
        <v>179</v>
      </c>
      <c r="AA186" t="s">
        <v>180</v>
      </c>
      <c r="AB186" t="s">
        <v>181</v>
      </c>
      <c r="AC186" t="s">
        <v>182</v>
      </c>
      <c r="AD186" t="s">
        <v>183</v>
      </c>
      <c r="AE186" t="s">
        <v>184</v>
      </c>
      <c r="AF186" t="s">
        <v>185</v>
      </c>
      <c r="AG186">
        <v>392410.4</v>
      </c>
      <c r="AH186">
        <v>100</v>
      </c>
      <c r="AI186" t="s">
        <v>186</v>
      </c>
      <c r="AJ186" t="s">
        <v>187</v>
      </c>
      <c r="AK186" t="s">
        <v>188</v>
      </c>
    </row>
    <row r="187" spans="1:77" x14ac:dyDescent="0.25">
      <c r="A187" t="s">
        <v>1279</v>
      </c>
      <c r="B187" t="e">
        <f>_xlfn.XLOOKUP(C187,'[1]Image URL'!$E:$E,'[1]Image URL'!$A:$A)</f>
        <v>#N/A</v>
      </c>
      <c r="C187">
        <v>190007</v>
      </c>
      <c r="D187" t="s">
        <v>1281</v>
      </c>
      <c r="E187" t="s">
        <v>437</v>
      </c>
      <c r="F187" t="s">
        <v>1114</v>
      </c>
      <c r="G187" t="s">
        <v>1282</v>
      </c>
      <c r="H187" t="s">
        <v>440</v>
      </c>
      <c r="I187" t="s">
        <v>147</v>
      </c>
      <c r="J187" t="s">
        <v>212</v>
      </c>
      <c r="U187" t="s">
        <v>262</v>
      </c>
      <c r="V187" t="s">
        <v>157</v>
      </c>
      <c r="W187">
        <v>77838245262</v>
      </c>
      <c r="X187">
        <v>10077838145262</v>
      </c>
      <c r="Y187" t="s">
        <v>1283</v>
      </c>
      <c r="Z187" t="s">
        <v>505</v>
      </c>
      <c r="AA187" t="s">
        <v>549</v>
      </c>
      <c r="AB187" t="s">
        <v>549</v>
      </c>
      <c r="AC187" t="s">
        <v>1284</v>
      </c>
      <c r="AD187" t="s">
        <v>1285</v>
      </c>
      <c r="AE187" t="s">
        <v>204</v>
      </c>
      <c r="AF187" t="s">
        <v>349</v>
      </c>
      <c r="AG187">
        <v>392350</v>
      </c>
      <c r="AH187">
        <v>125</v>
      </c>
    </row>
    <row r="188" spans="1:77" x14ac:dyDescent="0.25">
      <c r="A188" t="s">
        <v>1286</v>
      </c>
      <c r="B188" t="e">
        <f>_xlfn.XLOOKUP(C188,'[1]Image URL'!$E:$E,'[1]Image URL'!$A:$A)</f>
        <v>#N/A</v>
      </c>
      <c r="C188" t="s">
        <v>1489</v>
      </c>
      <c r="D188" t="s">
        <v>750</v>
      </c>
      <c r="E188" t="s">
        <v>751</v>
      </c>
      <c r="F188" t="s">
        <v>752</v>
      </c>
      <c r="G188" t="s">
        <v>550</v>
      </c>
      <c r="H188" t="s">
        <v>463</v>
      </c>
      <c r="J188" t="s">
        <v>341</v>
      </c>
      <c r="U188" t="s">
        <v>342</v>
      </c>
      <c r="V188" t="s">
        <v>157</v>
      </c>
      <c r="W188">
        <v>77838500835</v>
      </c>
      <c r="X188">
        <v>10077838000837</v>
      </c>
      <c r="Y188" t="s">
        <v>753</v>
      </c>
      <c r="Z188" t="s">
        <v>754</v>
      </c>
      <c r="AA188" t="s">
        <v>755</v>
      </c>
      <c r="AB188" t="s">
        <v>756</v>
      </c>
      <c r="AC188" t="s">
        <v>757</v>
      </c>
      <c r="AD188" t="s">
        <v>758</v>
      </c>
      <c r="AE188" t="s">
        <v>314</v>
      </c>
      <c r="AF188" t="s">
        <v>403</v>
      </c>
      <c r="AG188">
        <v>392410.4</v>
      </c>
      <c r="AH188">
        <v>100</v>
      </c>
      <c r="AL188" t="s">
        <v>681</v>
      </c>
    </row>
    <row r="189" spans="1:77" x14ac:dyDescent="0.25">
      <c r="A189" t="s">
        <v>1287</v>
      </c>
      <c r="B189" t="e">
        <f>_xlfn.XLOOKUP(C189,'[1]Image URL'!$E:$E,'[1]Image URL'!$A:$A)</f>
        <v>#N/A</v>
      </c>
      <c r="C189">
        <v>4350502</v>
      </c>
      <c r="D189" t="s">
        <v>1289</v>
      </c>
      <c r="E189" t="s">
        <v>143</v>
      </c>
      <c r="F189" t="s">
        <v>175</v>
      </c>
      <c r="G189" t="s">
        <v>176</v>
      </c>
      <c r="H189" t="s">
        <v>174</v>
      </c>
      <c r="I189" t="s">
        <v>147</v>
      </c>
      <c r="J189" t="s">
        <v>148</v>
      </c>
      <c r="M189" t="s">
        <v>171</v>
      </c>
      <c r="T189" t="s">
        <v>177</v>
      </c>
      <c r="U189" t="s">
        <v>156</v>
      </c>
      <c r="V189" t="s">
        <v>157</v>
      </c>
      <c r="W189">
        <v>77838862377</v>
      </c>
      <c r="X189">
        <v>10077838862374</v>
      </c>
      <c r="Y189" t="s">
        <v>178</v>
      </c>
      <c r="Z189" t="s">
        <v>179</v>
      </c>
      <c r="AA189" t="s">
        <v>180</v>
      </c>
      <c r="AB189" t="s">
        <v>181</v>
      </c>
      <c r="AC189" t="s">
        <v>182</v>
      </c>
      <c r="AD189" t="s">
        <v>183</v>
      </c>
      <c r="AE189" t="s">
        <v>184</v>
      </c>
      <c r="AF189" t="s">
        <v>185</v>
      </c>
      <c r="AG189">
        <v>392410.4</v>
      </c>
      <c r="AH189">
        <v>100</v>
      </c>
    </row>
    <row r="190" spans="1:77" x14ac:dyDescent="0.25">
      <c r="A190" t="s">
        <v>1290</v>
      </c>
      <c r="B190" t="e">
        <f>_xlfn.XLOOKUP(C190,'[1]Image URL'!$E:$E,'[1]Image URL'!$A:$A)</f>
        <v>#N/A</v>
      </c>
      <c r="C190" t="s">
        <v>1503</v>
      </c>
      <c r="D190" t="s">
        <v>1291</v>
      </c>
      <c r="E190" t="s">
        <v>1292</v>
      </c>
      <c r="F190" t="s">
        <v>1293</v>
      </c>
      <c r="G190" t="s">
        <v>775</v>
      </c>
      <c r="H190" t="s">
        <v>392</v>
      </c>
      <c r="I190" t="s">
        <v>194</v>
      </c>
      <c r="J190" t="s">
        <v>195</v>
      </c>
      <c r="U190" t="s">
        <v>196</v>
      </c>
      <c r="V190" t="s">
        <v>157</v>
      </c>
      <c r="W190">
        <v>77838065648</v>
      </c>
      <c r="X190">
        <v>10077838065645</v>
      </c>
      <c r="Y190" t="s">
        <v>232</v>
      </c>
      <c r="Z190" t="s">
        <v>1294</v>
      </c>
      <c r="AA190" t="s">
        <v>1295</v>
      </c>
      <c r="AB190" t="s">
        <v>334</v>
      </c>
      <c r="AC190" t="s">
        <v>421</v>
      </c>
      <c r="AD190" t="s">
        <v>1296</v>
      </c>
      <c r="AE190" t="s">
        <v>302</v>
      </c>
      <c r="AF190" t="s">
        <v>1297</v>
      </c>
      <c r="AG190">
        <v>940399.40800000005</v>
      </c>
      <c r="AH190">
        <v>125</v>
      </c>
      <c r="AL190" t="s">
        <v>679</v>
      </c>
      <c r="AT190" t="s">
        <v>775</v>
      </c>
    </row>
    <row r="191" spans="1:77" x14ac:dyDescent="0.25">
      <c r="A191" t="s">
        <v>1298</v>
      </c>
      <c r="B191" t="e">
        <f>_xlfn.XLOOKUP(C191,'[1]Image URL'!$E:$E,'[1]Image URL'!$A:$A)</f>
        <v>#N/A</v>
      </c>
      <c r="C191">
        <v>6402215</v>
      </c>
      <c r="D191" t="s">
        <v>1300</v>
      </c>
      <c r="E191" t="s">
        <v>437</v>
      </c>
      <c r="F191" t="s">
        <v>537</v>
      </c>
      <c r="G191" t="s">
        <v>1273</v>
      </c>
      <c r="H191" t="s">
        <v>440</v>
      </c>
      <c r="I191" t="s">
        <v>147</v>
      </c>
      <c r="J191" t="s">
        <v>212</v>
      </c>
      <c r="U191" t="s">
        <v>262</v>
      </c>
      <c r="V191" t="s">
        <v>157</v>
      </c>
      <c r="W191">
        <v>77838245231</v>
      </c>
      <c r="X191">
        <v>10077838145255</v>
      </c>
      <c r="Y191" t="s">
        <v>1265</v>
      </c>
      <c r="Z191" t="s">
        <v>159</v>
      </c>
      <c r="AA191" t="s">
        <v>643</v>
      </c>
      <c r="AB191" t="s">
        <v>472</v>
      </c>
      <c r="AC191" t="s">
        <v>1301</v>
      </c>
      <c r="AD191" t="s">
        <v>1302</v>
      </c>
      <c r="AE191" t="s">
        <v>303</v>
      </c>
      <c r="AF191" t="s">
        <v>403</v>
      </c>
      <c r="AG191">
        <v>392350</v>
      </c>
      <c r="AH191">
        <v>175</v>
      </c>
    </row>
    <row r="192" spans="1:77" x14ac:dyDescent="0.25">
      <c r="A192" t="s">
        <v>1303</v>
      </c>
      <c r="B192" t="e">
        <f>_xlfn.XLOOKUP(C192,'[1]Image URL'!$E:$E,'[1]Image URL'!$A:$A)</f>
        <v>#N/A</v>
      </c>
      <c r="C192">
        <v>4352135</v>
      </c>
      <c r="D192" t="s">
        <v>1304</v>
      </c>
      <c r="E192" t="s">
        <v>593</v>
      </c>
      <c r="F192" t="s">
        <v>594</v>
      </c>
      <c r="G192" t="s">
        <v>594</v>
      </c>
      <c r="H192" t="s">
        <v>361</v>
      </c>
      <c r="J192" t="s">
        <v>212</v>
      </c>
      <c r="U192" t="s">
        <v>584</v>
      </c>
      <c r="V192" t="s">
        <v>157</v>
      </c>
      <c r="W192">
        <v>77838505663</v>
      </c>
      <c r="X192">
        <v>10077838005665</v>
      </c>
      <c r="Y192" t="s">
        <v>595</v>
      </c>
      <c r="Z192" t="s">
        <v>596</v>
      </c>
      <c r="AA192" t="s">
        <v>597</v>
      </c>
      <c r="AB192" t="s">
        <v>598</v>
      </c>
      <c r="AC192" t="s">
        <v>599</v>
      </c>
      <c r="AD192" t="s">
        <v>600</v>
      </c>
      <c r="AE192" t="s">
        <v>185</v>
      </c>
      <c r="AF192" t="s">
        <v>235</v>
      </c>
      <c r="AG192">
        <v>392410.4</v>
      </c>
      <c r="AH192">
        <v>175</v>
      </c>
      <c r="AM192" t="s">
        <v>601</v>
      </c>
      <c r="AS192" t="s">
        <v>217</v>
      </c>
      <c r="BX192" t="s">
        <v>594</v>
      </c>
      <c r="BY192" t="s">
        <v>602</v>
      </c>
    </row>
    <row r="193" spans="1:94" x14ac:dyDescent="0.25">
      <c r="A193" t="s">
        <v>1305</v>
      </c>
      <c r="B193" t="e">
        <f>_xlfn.XLOOKUP(C193,'[1]Image URL'!$E:$E,'[1]Image URL'!$A:$A)</f>
        <v>#N/A</v>
      </c>
      <c r="C193" t="s">
        <v>1522</v>
      </c>
      <c r="D193" t="s">
        <v>1306</v>
      </c>
      <c r="E193" t="s">
        <v>1307</v>
      </c>
      <c r="F193" t="s">
        <v>1200</v>
      </c>
      <c r="I193" t="s">
        <v>194</v>
      </c>
      <c r="J193" t="s">
        <v>195</v>
      </c>
      <c r="U193" t="s">
        <v>196</v>
      </c>
      <c r="V193" t="s">
        <v>157</v>
      </c>
      <c r="W193">
        <v>77838285251</v>
      </c>
      <c r="X193">
        <v>10077838085254</v>
      </c>
      <c r="Y193" t="s">
        <v>1201</v>
      </c>
      <c r="Z193" t="s">
        <v>219</v>
      </c>
      <c r="AA193" t="s">
        <v>817</v>
      </c>
      <c r="AB193" t="s">
        <v>660</v>
      </c>
      <c r="AC193" t="s">
        <v>973</v>
      </c>
      <c r="AD193" t="s">
        <v>162</v>
      </c>
      <c r="AE193" t="s">
        <v>303</v>
      </c>
      <c r="AF193" t="s">
        <v>349</v>
      </c>
      <c r="AG193">
        <v>392410.4</v>
      </c>
      <c r="AH193">
        <v>300</v>
      </c>
      <c r="AM193" t="s">
        <v>1202</v>
      </c>
      <c r="AN193" t="s">
        <v>333</v>
      </c>
      <c r="AT193" t="s">
        <v>1203</v>
      </c>
      <c r="BL193" t="s">
        <v>1204</v>
      </c>
      <c r="BM193" t="s">
        <v>333</v>
      </c>
      <c r="BO193" t="s">
        <v>1205</v>
      </c>
    </row>
    <row r="194" spans="1:94" x14ac:dyDescent="0.25">
      <c r="A194" t="s">
        <v>1308</v>
      </c>
      <c r="B194" t="e">
        <f>_xlfn.XLOOKUP(C194,'[1]Image URL'!$E:$E,'[1]Image URL'!$A:$A)</f>
        <v>#N/A</v>
      </c>
      <c r="C194">
        <v>5310272</v>
      </c>
    </row>
    <row r="195" spans="1:94" x14ac:dyDescent="0.25">
      <c r="A195" t="s">
        <v>1309</v>
      </c>
      <c r="B195" t="e">
        <f>_xlfn.XLOOKUP(C195,'[1]Image URL'!$E:$E,'[1]Image URL'!$A:$A)</f>
        <v>#N/A</v>
      </c>
      <c r="C195">
        <v>4350135</v>
      </c>
      <c r="D195" t="s">
        <v>1310</v>
      </c>
      <c r="E195" t="s">
        <v>1005</v>
      </c>
      <c r="F195" t="s">
        <v>259</v>
      </c>
      <c r="G195" t="s">
        <v>457</v>
      </c>
      <c r="H195" t="s">
        <v>381</v>
      </c>
      <c r="I195" t="s">
        <v>147</v>
      </c>
      <c r="J195" t="s">
        <v>212</v>
      </c>
      <c r="U195" t="s">
        <v>262</v>
      </c>
      <c r="V195" t="s">
        <v>157</v>
      </c>
      <c r="W195">
        <v>77838060025</v>
      </c>
      <c r="X195">
        <v>10077838060022</v>
      </c>
      <c r="Y195" t="s">
        <v>1311</v>
      </c>
      <c r="Z195" t="s">
        <v>1312</v>
      </c>
      <c r="AA195" t="s">
        <v>566</v>
      </c>
      <c r="AB195" t="s">
        <v>1010</v>
      </c>
      <c r="AC195" t="s">
        <v>766</v>
      </c>
      <c r="AD195" t="s">
        <v>314</v>
      </c>
      <c r="AE195" t="s">
        <v>316</v>
      </c>
      <c r="AF195" t="s">
        <v>315</v>
      </c>
      <c r="AG195">
        <v>940399.40800000005</v>
      </c>
      <c r="AH195">
        <v>125</v>
      </c>
      <c r="AL195" t="s">
        <v>1313</v>
      </c>
    </row>
    <row r="196" spans="1:94" x14ac:dyDescent="0.25">
      <c r="A196" t="s">
        <v>1314</v>
      </c>
      <c r="B196" t="e">
        <f>_xlfn.XLOOKUP(C196,'[1]Image URL'!$E:$E,'[1]Image URL'!$A:$A)</f>
        <v>#N/A</v>
      </c>
      <c r="C196">
        <v>3300205</v>
      </c>
      <c r="D196" t="s">
        <v>1316</v>
      </c>
      <c r="E196" t="s">
        <v>1317</v>
      </c>
      <c r="F196" t="s">
        <v>457</v>
      </c>
      <c r="G196" t="s">
        <v>664</v>
      </c>
      <c r="H196" t="s">
        <v>193</v>
      </c>
      <c r="I196" t="s">
        <v>194</v>
      </c>
      <c r="J196" t="s">
        <v>212</v>
      </c>
      <c r="U196" t="s">
        <v>217</v>
      </c>
      <c r="V196" t="s">
        <v>157</v>
      </c>
      <c r="W196">
        <v>77838227138</v>
      </c>
      <c r="X196">
        <v>10077838027131</v>
      </c>
      <c r="Y196" t="s">
        <v>473</v>
      </c>
      <c r="Z196" t="s">
        <v>393</v>
      </c>
      <c r="AA196" t="s">
        <v>457</v>
      </c>
      <c r="AB196" t="s">
        <v>965</v>
      </c>
      <c r="AC196" t="s">
        <v>340</v>
      </c>
      <c r="AD196" t="s">
        <v>1318</v>
      </c>
      <c r="AE196" t="s">
        <v>1113</v>
      </c>
      <c r="AF196" t="s">
        <v>1319</v>
      </c>
      <c r="AG196">
        <v>841320</v>
      </c>
      <c r="AH196">
        <v>125</v>
      </c>
      <c r="AL196" t="s">
        <v>1320</v>
      </c>
    </row>
    <row r="197" spans="1:94" x14ac:dyDescent="0.25">
      <c r="A197" t="s">
        <v>1321</v>
      </c>
      <c r="B197" t="e">
        <f>_xlfn.XLOOKUP(C197,'[1]Image URL'!$E:$E,'[1]Image URL'!$A:$A)</f>
        <v>#N/A</v>
      </c>
      <c r="C197">
        <v>5400215</v>
      </c>
    </row>
    <row r="198" spans="1:94" x14ac:dyDescent="0.25">
      <c r="A198" t="s">
        <v>1322</v>
      </c>
      <c r="B198" t="e">
        <f>_xlfn.XLOOKUP(C198,'[1]Image URL'!$E:$E,'[1]Image URL'!$A:$A)</f>
        <v>#N/A</v>
      </c>
      <c r="C198">
        <v>5300880</v>
      </c>
      <c r="D198" t="s">
        <v>1323</v>
      </c>
      <c r="E198" t="s">
        <v>1324</v>
      </c>
      <c r="F198" t="s">
        <v>621</v>
      </c>
      <c r="G198" t="s">
        <v>1032</v>
      </c>
      <c r="H198" t="s">
        <v>261</v>
      </c>
      <c r="I198" t="s">
        <v>194</v>
      </c>
      <c r="J198" t="s">
        <v>834</v>
      </c>
      <c r="U198" t="s">
        <v>273</v>
      </c>
      <c r="V198" t="s">
        <v>157</v>
      </c>
      <c r="W198">
        <v>77838123881</v>
      </c>
      <c r="X198">
        <v>10077838123888</v>
      </c>
      <c r="Y198" t="s">
        <v>1325</v>
      </c>
      <c r="Z198" t="s">
        <v>1326</v>
      </c>
      <c r="AA198" t="s">
        <v>1161</v>
      </c>
      <c r="AB198" t="s">
        <v>345</v>
      </c>
      <c r="AC198" t="s">
        <v>735</v>
      </c>
      <c r="AD198" t="s">
        <v>403</v>
      </c>
      <c r="AE198" t="s">
        <v>269</v>
      </c>
      <c r="AF198" t="s">
        <v>403</v>
      </c>
      <c r="AG198">
        <v>940399.40800000005</v>
      </c>
      <c r="AH198">
        <v>150</v>
      </c>
      <c r="AL198" t="s">
        <v>1327</v>
      </c>
      <c r="AT198" t="s">
        <v>1032</v>
      </c>
      <c r="AU198" t="s">
        <v>261</v>
      </c>
      <c r="AV198" t="s">
        <v>271</v>
      </c>
      <c r="AW198" t="s">
        <v>621</v>
      </c>
      <c r="AX198" t="s">
        <v>626</v>
      </c>
    </row>
    <row r="199" spans="1:94" x14ac:dyDescent="0.25">
      <c r="A199" t="s">
        <v>1328</v>
      </c>
      <c r="B199" t="e">
        <f>_xlfn.XLOOKUP(C199,'[1]Image URL'!$E:$E,'[1]Image URL'!$A:$A)</f>
        <v>#N/A</v>
      </c>
      <c r="C199">
        <v>3303402</v>
      </c>
      <c r="D199" t="s">
        <v>1330</v>
      </c>
      <c r="E199" t="s">
        <v>143</v>
      </c>
      <c r="F199" t="s">
        <v>439</v>
      </c>
      <c r="G199" t="s">
        <v>861</v>
      </c>
      <c r="H199" t="s">
        <v>174</v>
      </c>
      <c r="I199" t="s">
        <v>147</v>
      </c>
      <c r="J199" t="s">
        <v>148</v>
      </c>
      <c r="M199" t="s">
        <v>858</v>
      </c>
      <c r="O199" t="s">
        <v>859</v>
      </c>
      <c r="P199" t="s">
        <v>860</v>
      </c>
      <c r="T199" t="s">
        <v>862</v>
      </c>
      <c r="U199" t="s">
        <v>156</v>
      </c>
      <c r="V199" t="s">
        <v>157</v>
      </c>
      <c r="W199">
        <v>77838862384</v>
      </c>
      <c r="X199">
        <v>10077838862381</v>
      </c>
      <c r="Y199" t="s">
        <v>863</v>
      </c>
      <c r="Z199" t="s">
        <v>864</v>
      </c>
      <c r="AA199" t="s">
        <v>865</v>
      </c>
      <c r="AB199" t="s">
        <v>866</v>
      </c>
      <c r="AC199" t="s">
        <v>329</v>
      </c>
      <c r="AD199" t="s">
        <v>867</v>
      </c>
      <c r="AE199" t="s">
        <v>314</v>
      </c>
      <c r="AF199" t="s">
        <v>185</v>
      </c>
      <c r="AG199">
        <v>392410.4</v>
      </c>
      <c r="AH199">
        <v>85</v>
      </c>
      <c r="CP199" t="s">
        <v>868</v>
      </c>
    </row>
    <row r="200" spans="1:94" x14ac:dyDescent="0.25">
      <c r="A200" t="s">
        <v>1331</v>
      </c>
      <c r="B200" t="e">
        <f>_xlfn.XLOOKUP(C200,'[1]Image URL'!$E:$E,'[1]Image URL'!$A:$A)</f>
        <v>#N/A</v>
      </c>
      <c r="C200" t="s">
        <v>1591</v>
      </c>
      <c r="D200" t="s">
        <v>1332</v>
      </c>
      <c r="E200" t="s">
        <v>642</v>
      </c>
      <c r="F200" t="s">
        <v>643</v>
      </c>
      <c r="G200" t="s">
        <v>643</v>
      </c>
      <c r="H200" t="s">
        <v>288</v>
      </c>
      <c r="J200" t="s">
        <v>212</v>
      </c>
      <c r="U200" t="s">
        <v>584</v>
      </c>
      <c r="V200" t="s">
        <v>157</v>
      </c>
      <c r="W200">
        <v>77838262993</v>
      </c>
      <c r="X200">
        <v>10077838062996</v>
      </c>
      <c r="Y200" t="s">
        <v>1333</v>
      </c>
      <c r="Z200" t="s">
        <v>1334</v>
      </c>
      <c r="AA200" t="s">
        <v>1335</v>
      </c>
      <c r="AB200" t="s">
        <v>1336</v>
      </c>
      <c r="AC200" t="s">
        <v>1337</v>
      </c>
      <c r="AD200" t="s">
        <v>303</v>
      </c>
      <c r="AE200" t="s">
        <v>164</v>
      </c>
      <c r="AF200" t="s">
        <v>456</v>
      </c>
      <c r="AG200">
        <v>392350</v>
      </c>
      <c r="AH200">
        <v>175</v>
      </c>
      <c r="AL200" t="s">
        <v>843</v>
      </c>
      <c r="AN200" t="s">
        <v>1338</v>
      </c>
    </row>
    <row r="201" spans="1:94" x14ac:dyDescent="0.25">
      <c r="A201" t="s">
        <v>1339</v>
      </c>
      <c r="B201" t="e">
        <f>_xlfn.XLOOKUP(C201,'[1]Image URL'!$E:$E,'[1]Image URL'!$A:$A)</f>
        <v>#N/A</v>
      </c>
      <c r="C201">
        <v>6400718</v>
      </c>
      <c r="D201" t="s">
        <v>1340</v>
      </c>
      <c r="E201" t="s">
        <v>561</v>
      </c>
      <c r="F201" t="s">
        <v>562</v>
      </c>
      <c r="G201" t="s">
        <v>563</v>
      </c>
      <c r="H201" t="s">
        <v>291</v>
      </c>
      <c r="I201" t="s">
        <v>147</v>
      </c>
      <c r="J201" t="s">
        <v>212</v>
      </c>
      <c r="U201" t="s">
        <v>262</v>
      </c>
      <c r="V201" t="s">
        <v>157</v>
      </c>
      <c r="W201">
        <v>77838014158</v>
      </c>
      <c r="X201">
        <v>10077838014155</v>
      </c>
      <c r="Y201" t="s">
        <v>564</v>
      </c>
      <c r="Z201" t="s">
        <v>565</v>
      </c>
      <c r="AA201" t="s">
        <v>385</v>
      </c>
      <c r="AB201" t="s">
        <v>463</v>
      </c>
      <c r="AC201" t="s">
        <v>566</v>
      </c>
      <c r="AD201" t="s">
        <v>314</v>
      </c>
      <c r="AE201" t="s">
        <v>316</v>
      </c>
      <c r="AF201" t="s">
        <v>315</v>
      </c>
      <c r="AG201">
        <v>940389.60199999996</v>
      </c>
      <c r="AH201">
        <v>150</v>
      </c>
      <c r="AL201" t="s">
        <v>567</v>
      </c>
      <c r="AT201" t="s">
        <v>563</v>
      </c>
      <c r="AW201" t="s">
        <v>562</v>
      </c>
      <c r="AX201" t="s">
        <v>568</v>
      </c>
      <c r="AY201" t="s">
        <v>273</v>
      </c>
    </row>
    <row r="202" spans="1:94" x14ac:dyDescent="0.25">
      <c r="A202" t="s">
        <v>1341</v>
      </c>
      <c r="B202" t="e">
        <f>_xlfn.XLOOKUP(C202,'[1]Image URL'!$E:$E,'[1]Image URL'!$A:$A)</f>
        <v>#N/A</v>
      </c>
      <c r="C202" t="s">
        <v>1605</v>
      </c>
      <c r="D202" t="s">
        <v>1342</v>
      </c>
      <c r="E202" t="s">
        <v>722</v>
      </c>
      <c r="I202" t="s">
        <v>147</v>
      </c>
      <c r="J202" t="s">
        <v>280</v>
      </c>
      <c r="U202" t="s">
        <v>281</v>
      </c>
      <c r="V202" t="s">
        <v>282</v>
      </c>
      <c r="W202">
        <v>77838124840</v>
      </c>
      <c r="X202">
        <v>10077838124847</v>
      </c>
      <c r="Y202" t="s">
        <v>723</v>
      </c>
      <c r="Z202" t="s">
        <v>724</v>
      </c>
      <c r="AA202" t="s">
        <v>725</v>
      </c>
      <c r="AB202" t="s">
        <v>726</v>
      </c>
      <c r="AC202" t="s">
        <v>727</v>
      </c>
      <c r="AD202" t="s">
        <v>269</v>
      </c>
      <c r="AE202" t="s">
        <v>269</v>
      </c>
      <c r="AF202" t="s">
        <v>269</v>
      </c>
      <c r="AG202">
        <v>940370.80299999996</v>
      </c>
      <c r="AH202">
        <v>250</v>
      </c>
      <c r="AZ202" t="s">
        <v>288</v>
      </c>
      <c r="BA202" t="s">
        <v>289</v>
      </c>
      <c r="BB202" t="s">
        <v>279</v>
      </c>
      <c r="BC202" t="s">
        <v>610</v>
      </c>
      <c r="BD202" t="s">
        <v>290</v>
      </c>
      <c r="BE202" t="s">
        <v>291</v>
      </c>
      <c r="BF202" t="s">
        <v>278</v>
      </c>
      <c r="BZ202" t="s">
        <v>313</v>
      </c>
      <c r="CA202" t="s">
        <v>617</v>
      </c>
      <c r="CE202" t="s">
        <v>728</v>
      </c>
    </row>
    <row r="203" spans="1:94" x14ac:dyDescent="0.25">
      <c r="A203" t="s">
        <v>1343</v>
      </c>
      <c r="B203" t="e">
        <f>_xlfn.XLOOKUP(C203,'[1]Image URL'!$E:$E,'[1]Image URL'!$A:$A)</f>
        <v>#N/A</v>
      </c>
      <c r="C203">
        <v>5310337</v>
      </c>
      <c r="D203" t="s">
        <v>744</v>
      </c>
      <c r="E203" t="s">
        <v>745</v>
      </c>
      <c r="F203" t="s">
        <v>523</v>
      </c>
      <c r="G203" t="s">
        <v>186</v>
      </c>
      <c r="H203" t="s">
        <v>193</v>
      </c>
      <c r="I203" t="s">
        <v>194</v>
      </c>
      <c r="J203" t="s">
        <v>195</v>
      </c>
      <c r="U203" t="s">
        <v>196</v>
      </c>
      <c r="V203" t="s">
        <v>157</v>
      </c>
      <c r="W203">
        <v>77838500873</v>
      </c>
      <c r="X203">
        <v>10077838000875</v>
      </c>
      <c r="Y203" t="s">
        <v>197</v>
      </c>
      <c r="Z203" t="s">
        <v>746</v>
      </c>
      <c r="AA203" t="s">
        <v>747</v>
      </c>
      <c r="AB203" t="s">
        <v>748</v>
      </c>
      <c r="AC203" t="s">
        <v>152</v>
      </c>
      <c r="AD203" t="s">
        <v>708</v>
      </c>
      <c r="AE203" t="s">
        <v>203</v>
      </c>
      <c r="AF203" t="s">
        <v>268</v>
      </c>
      <c r="AG203">
        <v>392410.4</v>
      </c>
      <c r="AH203">
        <v>125</v>
      </c>
      <c r="AL203" t="s">
        <v>205</v>
      </c>
      <c r="AM203" t="s">
        <v>508</v>
      </c>
    </row>
    <row r="204" spans="1:94" x14ac:dyDescent="0.25">
      <c r="A204" t="s">
        <v>1344</v>
      </c>
      <c r="B204" t="e">
        <f>_xlfn.XLOOKUP(C204,'[1]Image URL'!$E:$E,'[1]Image URL'!$A:$A)</f>
        <v>#N/A</v>
      </c>
      <c r="C204" t="s">
        <v>1627</v>
      </c>
      <c r="D204" t="s">
        <v>1346</v>
      </c>
      <c r="E204" t="s">
        <v>1347</v>
      </c>
      <c r="F204" t="s">
        <v>329</v>
      </c>
      <c r="G204" t="s">
        <v>901</v>
      </c>
      <c r="H204" t="s">
        <v>361</v>
      </c>
      <c r="I204" t="s">
        <v>147</v>
      </c>
      <c r="J204" t="s">
        <v>280</v>
      </c>
      <c r="U204" t="s">
        <v>281</v>
      </c>
      <c r="V204" t="s">
        <v>157</v>
      </c>
      <c r="W204">
        <v>77838149744</v>
      </c>
      <c r="X204">
        <v>10077838149741</v>
      </c>
      <c r="Y204" t="s">
        <v>753</v>
      </c>
      <c r="Z204" t="s">
        <v>1348</v>
      </c>
      <c r="AA204" t="s">
        <v>1349</v>
      </c>
      <c r="AB204" t="s">
        <v>188</v>
      </c>
      <c r="AC204" t="s">
        <v>915</v>
      </c>
      <c r="AD204" t="s">
        <v>1350</v>
      </c>
      <c r="AE204" t="s">
        <v>1351</v>
      </c>
      <c r="AF204" t="s">
        <v>315</v>
      </c>
      <c r="AG204">
        <v>392690.99890000001</v>
      </c>
      <c r="AH204">
        <v>60</v>
      </c>
      <c r="AL204" t="s">
        <v>1352</v>
      </c>
    </row>
    <row r="205" spans="1:94" x14ac:dyDescent="0.25">
      <c r="A205" t="s">
        <v>1353</v>
      </c>
      <c r="B205" t="e">
        <f>_xlfn.XLOOKUP(C205,'[1]Image URL'!$E:$E,'[1]Image URL'!$A:$A)</f>
        <v>#N/A</v>
      </c>
      <c r="C205">
        <v>4353203</v>
      </c>
    </row>
    <row r="206" spans="1:94" x14ac:dyDescent="0.25">
      <c r="A206" t="s">
        <v>1354</v>
      </c>
      <c r="B206" t="e">
        <f>_xlfn.XLOOKUP(C206,'[1]Image URL'!$E:$E,'[1]Image URL'!$A:$A)</f>
        <v>#N/A</v>
      </c>
      <c r="C206">
        <v>3300809</v>
      </c>
      <c r="D206" t="s">
        <v>889</v>
      </c>
      <c r="E206" t="s">
        <v>890</v>
      </c>
      <c r="F206" t="s">
        <v>643</v>
      </c>
      <c r="G206" t="s">
        <v>472</v>
      </c>
      <c r="H206" t="s">
        <v>392</v>
      </c>
      <c r="I206" t="s">
        <v>147</v>
      </c>
      <c r="J206" t="s">
        <v>212</v>
      </c>
      <c r="U206" t="s">
        <v>262</v>
      </c>
      <c r="V206" t="s">
        <v>157</v>
      </c>
      <c r="W206">
        <v>77838065631</v>
      </c>
      <c r="X206">
        <v>10077838065638</v>
      </c>
      <c r="Y206" t="s">
        <v>891</v>
      </c>
      <c r="Z206" t="s">
        <v>892</v>
      </c>
      <c r="AA206" t="s">
        <v>893</v>
      </c>
      <c r="AB206" t="s">
        <v>894</v>
      </c>
      <c r="AC206" t="s">
        <v>895</v>
      </c>
      <c r="AD206" t="s">
        <v>647</v>
      </c>
      <c r="AE206" t="s">
        <v>456</v>
      </c>
      <c r="AF206" t="s">
        <v>635</v>
      </c>
      <c r="AG206">
        <v>940399.40800000005</v>
      </c>
      <c r="AH206">
        <v>125</v>
      </c>
      <c r="AL206" t="s">
        <v>896</v>
      </c>
      <c r="AT206" t="s">
        <v>472</v>
      </c>
    </row>
    <row r="207" spans="1:94" x14ac:dyDescent="0.25">
      <c r="A207" t="s">
        <v>1355</v>
      </c>
      <c r="B207" t="e">
        <f>_xlfn.XLOOKUP(C207,'[1]Image URL'!$E:$E,'[1]Image URL'!$A:$A)</f>
        <v>#N/A</v>
      </c>
      <c r="C207">
        <v>3300442</v>
      </c>
      <c r="D207" t="s">
        <v>1356</v>
      </c>
      <c r="E207" t="s">
        <v>419</v>
      </c>
      <c r="F207" t="s">
        <v>1357</v>
      </c>
      <c r="G207" t="s">
        <v>324</v>
      </c>
      <c r="H207" t="s">
        <v>421</v>
      </c>
      <c r="U207" t="s">
        <v>422</v>
      </c>
      <c r="V207" t="s">
        <v>157</v>
      </c>
      <c r="W207">
        <v>77838148372</v>
      </c>
      <c r="X207">
        <v>10077838148379</v>
      </c>
      <c r="Y207" t="s">
        <v>1358</v>
      </c>
      <c r="Z207" t="s">
        <v>574</v>
      </c>
      <c r="AA207" t="s">
        <v>1127</v>
      </c>
      <c r="AB207" t="s">
        <v>776</v>
      </c>
      <c r="AC207" t="s">
        <v>859</v>
      </c>
      <c r="AD207" t="s">
        <v>588</v>
      </c>
      <c r="AE207" t="s">
        <v>349</v>
      </c>
      <c r="AF207" t="s">
        <v>302</v>
      </c>
      <c r="AG207">
        <v>842489.9</v>
      </c>
      <c r="AH207">
        <v>125</v>
      </c>
    </row>
    <row r="208" spans="1:94" x14ac:dyDescent="0.25">
      <c r="A208" t="s">
        <v>1359</v>
      </c>
      <c r="B208" t="e">
        <f>_xlfn.XLOOKUP(C208,'[1]Image URL'!$E:$E,'[1]Image URL'!$A:$A)</f>
        <v>#N/A</v>
      </c>
      <c r="C208" t="s">
        <v>1662</v>
      </c>
      <c r="D208" t="s">
        <v>514</v>
      </c>
      <c r="E208" t="s">
        <v>515</v>
      </c>
      <c r="U208" t="s">
        <v>156</v>
      </c>
      <c r="V208" t="s">
        <v>157</v>
      </c>
      <c r="W208">
        <v>77838165423</v>
      </c>
      <c r="X208">
        <v>10077838165420</v>
      </c>
      <c r="Y208" t="s">
        <v>516</v>
      </c>
      <c r="Z208" t="s">
        <v>517</v>
      </c>
      <c r="AA208" t="s">
        <v>518</v>
      </c>
      <c r="AB208" t="s">
        <v>454</v>
      </c>
      <c r="AC208" t="s">
        <v>519</v>
      </c>
      <c r="AD208" t="s">
        <v>455</v>
      </c>
      <c r="AE208" t="s">
        <v>315</v>
      </c>
      <c r="AF208" t="s">
        <v>456</v>
      </c>
      <c r="AG208">
        <v>392410.4</v>
      </c>
      <c r="AH208">
        <v>125</v>
      </c>
      <c r="AM208" t="s">
        <v>520</v>
      </c>
      <c r="AS208" t="s">
        <v>196</v>
      </c>
      <c r="BS208" t="s">
        <v>521</v>
      </c>
      <c r="BT208" t="s">
        <v>522</v>
      </c>
      <c r="BU208" t="s">
        <v>472</v>
      </c>
      <c r="BV208" t="s">
        <v>523</v>
      </c>
      <c r="BW208" t="s">
        <v>524</v>
      </c>
    </row>
    <row r="209" spans="1:70" x14ac:dyDescent="0.25">
      <c r="A209" t="s">
        <v>1360</v>
      </c>
      <c r="B209" t="e">
        <f>_xlfn.XLOOKUP(C209,'[1]Image URL'!$E:$E,'[1]Image URL'!$A:$A)</f>
        <v>#N/A</v>
      </c>
      <c r="C209">
        <v>6400115</v>
      </c>
      <c r="D209" t="s">
        <v>1183</v>
      </c>
      <c r="E209" t="s">
        <v>761</v>
      </c>
      <c r="F209" t="s">
        <v>762</v>
      </c>
      <c r="G209" t="s">
        <v>550</v>
      </c>
      <c r="H209" t="s">
        <v>340</v>
      </c>
      <c r="J209" t="s">
        <v>341</v>
      </c>
      <c r="U209" t="s">
        <v>342</v>
      </c>
      <c r="V209" t="s">
        <v>157</v>
      </c>
      <c r="W209">
        <v>77838509319</v>
      </c>
      <c r="X209">
        <v>10077838009311</v>
      </c>
      <c r="Y209" t="s">
        <v>763</v>
      </c>
      <c r="Z209" t="s">
        <v>764</v>
      </c>
      <c r="AA209" t="s">
        <v>765</v>
      </c>
      <c r="AB209" t="s">
        <v>756</v>
      </c>
      <c r="AC209" t="s">
        <v>766</v>
      </c>
      <c r="AD209" t="s">
        <v>234</v>
      </c>
      <c r="AE209" t="s">
        <v>314</v>
      </c>
      <c r="AF209" t="s">
        <v>349</v>
      </c>
      <c r="AG209">
        <v>392410.4</v>
      </c>
      <c r="AH209">
        <v>100</v>
      </c>
      <c r="AL209" t="s">
        <v>681</v>
      </c>
    </row>
    <row r="210" spans="1:70" x14ac:dyDescent="0.25">
      <c r="A210" t="s">
        <v>1361</v>
      </c>
      <c r="B210" t="e">
        <f>_xlfn.XLOOKUP(C210,'[1]Image URL'!$E:$E,'[1]Image URL'!$A:$A)</f>
        <v>#N/A</v>
      </c>
      <c r="C210">
        <v>4354003</v>
      </c>
      <c r="D210" t="s">
        <v>830</v>
      </c>
      <c r="E210" t="s">
        <v>337</v>
      </c>
      <c r="F210" t="s">
        <v>338</v>
      </c>
      <c r="G210" t="s">
        <v>339</v>
      </c>
      <c r="H210" t="s">
        <v>340</v>
      </c>
      <c r="J210" t="s">
        <v>341</v>
      </c>
      <c r="U210" t="s">
        <v>342</v>
      </c>
      <c r="V210" t="s">
        <v>157</v>
      </c>
      <c r="W210">
        <v>77838501504</v>
      </c>
      <c r="X210">
        <v>10077838001506</v>
      </c>
      <c r="Y210" t="s">
        <v>343</v>
      </c>
      <c r="Z210" t="s">
        <v>344</v>
      </c>
      <c r="AA210" t="s">
        <v>345</v>
      </c>
      <c r="AB210" t="s">
        <v>346</v>
      </c>
      <c r="AC210" t="s">
        <v>242</v>
      </c>
      <c r="AD210" t="s">
        <v>347</v>
      </c>
      <c r="AE210" t="s">
        <v>348</v>
      </c>
      <c r="AF210" t="s">
        <v>349</v>
      </c>
      <c r="AG210">
        <v>392410.4</v>
      </c>
      <c r="AH210">
        <v>250</v>
      </c>
      <c r="AL210" t="s">
        <v>350</v>
      </c>
    </row>
    <row r="211" spans="1:70" x14ac:dyDescent="0.25">
      <c r="A211" t="s">
        <v>1362</v>
      </c>
      <c r="B211" t="e">
        <f>_xlfn.XLOOKUP(C211,'[1]Image URL'!$E:$E,'[1]Image URL'!$A:$A)</f>
        <v>#N/A</v>
      </c>
      <c r="C211">
        <v>6402206</v>
      </c>
    </row>
    <row r="212" spans="1:70" x14ac:dyDescent="0.25">
      <c r="A212" t="s">
        <v>1363</v>
      </c>
      <c r="B212" t="e">
        <f>_xlfn.XLOOKUP(C212,'[1]Image URL'!$E:$E,'[1]Image URL'!$A:$A)</f>
        <v>#N/A</v>
      </c>
      <c r="C212">
        <v>3300642</v>
      </c>
      <c r="D212" t="s">
        <v>1365</v>
      </c>
      <c r="E212" t="s">
        <v>1366</v>
      </c>
      <c r="K212" t="s">
        <v>457</v>
      </c>
      <c r="L212" t="s">
        <v>145</v>
      </c>
      <c r="N212" t="s">
        <v>1367</v>
      </c>
      <c r="O212" t="s">
        <v>1368</v>
      </c>
      <c r="P212" t="s">
        <v>1369</v>
      </c>
      <c r="Q212" t="s">
        <v>211</v>
      </c>
      <c r="R212" t="s">
        <v>1370</v>
      </c>
      <c r="S212" t="s">
        <v>1371</v>
      </c>
      <c r="U212" t="s">
        <v>156</v>
      </c>
      <c r="V212" t="s">
        <v>157</v>
      </c>
      <c r="W212">
        <v>77838027202</v>
      </c>
      <c r="X212">
        <v>10077838027209</v>
      </c>
      <c r="Y212" t="s">
        <v>1372</v>
      </c>
      <c r="Z212" t="s">
        <v>1104</v>
      </c>
      <c r="AA212" t="s">
        <v>1373</v>
      </c>
      <c r="AB212" t="s">
        <v>1374</v>
      </c>
      <c r="AC212" t="s">
        <v>466</v>
      </c>
      <c r="AD212" t="s">
        <v>301</v>
      </c>
      <c r="AE212" t="s">
        <v>349</v>
      </c>
      <c r="AF212" t="s">
        <v>235</v>
      </c>
      <c r="AG212">
        <v>392410.4</v>
      </c>
      <c r="AH212">
        <v>92.5</v>
      </c>
      <c r="AI212" t="s">
        <v>413</v>
      </c>
      <c r="AK212" t="s">
        <v>1375</v>
      </c>
      <c r="BQ212" t="s">
        <v>1376</v>
      </c>
      <c r="BR212" t="s">
        <v>1377</v>
      </c>
    </row>
    <row r="213" spans="1:70" x14ac:dyDescent="0.25">
      <c r="A213" t="s">
        <v>1378</v>
      </c>
      <c r="B213" t="e">
        <f>_xlfn.XLOOKUP(C213,'[1]Image URL'!$E:$E,'[1]Image URL'!$A:$A)</f>
        <v>#N/A</v>
      </c>
      <c r="C213">
        <v>5300280</v>
      </c>
      <c r="D213" t="s">
        <v>1379</v>
      </c>
      <c r="E213" t="s">
        <v>294</v>
      </c>
      <c r="F213" t="s">
        <v>295</v>
      </c>
      <c r="G213" t="s">
        <v>192</v>
      </c>
      <c r="H213" t="s">
        <v>201</v>
      </c>
      <c r="I213" t="s">
        <v>147</v>
      </c>
      <c r="J213" t="s">
        <v>280</v>
      </c>
      <c r="U213" t="s">
        <v>281</v>
      </c>
      <c r="V213" t="s">
        <v>282</v>
      </c>
      <c r="W213">
        <v>77838125281</v>
      </c>
      <c r="X213">
        <v>10077838125288</v>
      </c>
      <c r="Y213" t="s">
        <v>296</v>
      </c>
      <c r="Z213" t="s">
        <v>297</v>
      </c>
      <c r="AA213" t="s">
        <v>298</v>
      </c>
      <c r="AB213" t="s">
        <v>299</v>
      </c>
      <c r="AC213" t="s">
        <v>300</v>
      </c>
      <c r="AD213" t="s">
        <v>301</v>
      </c>
      <c r="AE213" t="s">
        <v>302</v>
      </c>
      <c r="AF213" t="s">
        <v>303</v>
      </c>
      <c r="AG213">
        <v>740390.5</v>
      </c>
      <c r="AH213">
        <v>85</v>
      </c>
      <c r="AL213" t="s">
        <v>304</v>
      </c>
    </row>
    <row r="214" spans="1:70" x14ac:dyDescent="0.25">
      <c r="A214" t="s">
        <v>1380</v>
      </c>
      <c r="B214" t="e">
        <f>_xlfn.XLOOKUP(C214,'[1]Image URL'!$E:$E,'[1]Image URL'!$A:$A)</f>
        <v>#N/A</v>
      </c>
      <c r="C214">
        <v>5400318</v>
      </c>
      <c r="D214" t="s">
        <v>1382</v>
      </c>
      <c r="E214" t="s">
        <v>1383</v>
      </c>
      <c r="F214" t="s">
        <v>597</v>
      </c>
      <c r="G214" t="s">
        <v>193</v>
      </c>
      <c r="U214" t="s">
        <v>1384</v>
      </c>
      <c r="V214" t="s">
        <v>1385</v>
      </c>
      <c r="W214">
        <v>645372646038</v>
      </c>
      <c r="X214">
        <v>10645372646035</v>
      </c>
      <c r="Y214" t="s">
        <v>232</v>
      </c>
      <c r="Z214" t="s">
        <v>1386</v>
      </c>
      <c r="AA214" t="s">
        <v>1387</v>
      </c>
      <c r="AB214" t="s">
        <v>1388</v>
      </c>
      <c r="AC214" t="s">
        <v>1389</v>
      </c>
      <c r="AD214" t="s">
        <v>1390</v>
      </c>
      <c r="AE214" t="s">
        <v>184</v>
      </c>
      <c r="AF214" t="s">
        <v>315</v>
      </c>
      <c r="AG214">
        <v>732393.00800000003</v>
      </c>
      <c r="AH214">
        <v>65</v>
      </c>
    </row>
    <row r="215" spans="1:70" x14ac:dyDescent="0.25">
      <c r="A215" t="s">
        <v>1391</v>
      </c>
      <c r="B215" t="e">
        <f>_xlfn.XLOOKUP(C215,'[1]Image URL'!$E:$E,'[1]Image URL'!$A:$A)</f>
        <v>#N/A</v>
      </c>
      <c r="C215">
        <v>5400246</v>
      </c>
      <c r="D215" t="s">
        <v>1393</v>
      </c>
      <c r="E215" t="s">
        <v>1394</v>
      </c>
      <c r="F215" t="s">
        <v>439</v>
      </c>
      <c r="G215" t="s">
        <v>1273</v>
      </c>
      <c r="H215" t="s">
        <v>188</v>
      </c>
      <c r="I215" t="s">
        <v>147</v>
      </c>
      <c r="J215" t="s">
        <v>148</v>
      </c>
      <c r="K215" t="s">
        <v>752</v>
      </c>
      <c r="L215" t="s">
        <v>188</v>
      </c>
      <c r="M215" t="s">
        <v>858</v>
      </c>
      <c r="N215" t="s">
        <v>868</v>
      </c>
      <c r="O215" t="s">
        <v>859</v>
      </c>
      <c r="P215" t="s">
        <v>860</v>
      </c>
      <c r="Q215" t="s">
        <v>188</v>
      </c>
      <c r="R215" t="s">
        <v>439</v>
      </c>
      <c r="S215" t="s">
        <v>1273</v>
      </c>
      <c r="T215" t="s">
        <v>862</v>
      </c>
      <c r="U215" t="s">
        <v>156</v>
      </c>
      <c r="V215" t="s">
        <v>157</v>
      </c>
      <c r="W215">
        <v>77838086834</v>
      </c>
      <c r="X215">
        <v>10077838086831</v>
      </c>
      <c r="Y215" t="s">
        <v>1103</v>
      </c>
      <c r="Z215" t="s">
        <v>864</v>
      </c>
      <c r="AA215" t="s">
        <v>1274</v>
      </c>
      <c r="AB215" t="s">
        <v>866</v>
      </c>
      <c r="AC215" t="s">
        <v>1275</v>
      </c>
      <c r="AD215" t="s">
        <v>867</v>
      </c>
      <c r="AE215" t="s">
        <v>314</v>
      </c>
      <c r="AF215" t="s">
        <v>185</v>
      </c>
      <c r="AG215">
        <v>392410.4</v>
      </c>
      <c r="AH215">
        <v>85</v>
      </c>
      <c r="AI215" t="s">
        <v>186</v>
      </c>
    </row>
    <row r="216" spans="1:70" x14ac:dyDescent="0.25">
      <c r="A216" t="s">
        <v>1395</v>
      </c>
      <c r="B216" t="e">
        <f>_xlfn.XLOOKUP(C216,'[1]Image URL'!$E:$E,'[1]Image URL'!$A:$A)</f>
        <v>#N/A</v>
      </c>
      <c r="C216">
        <v>4352103</v>
      </c>
      <c r="D216" t="s">
        <v>1397</v>
      </c>
      <c r="E216" t="s">
        <v>528</v>
      </c>
      <c r="F216" t="s">
        <v>529</v>
      </c>
      <c r="G216" t="s">
        <v>175</v>
      </c>
      <c r="H216" t="s">
        <v>530</v>
      </c>
      <c r="I216" t="s">
        <v>147</v>
      </c>
      <c r="J216" t="s">
        <v>148</v>
      </c>
      <c r="K216" t="s">
        <v>531</v>
      </c>
      <c r="L216" t="s">
        <v>532</v>
      </c>
      <c r="M216" t="s">
        <v>533</v>
      </c>
      <c r="N216" t="s">
        <v>534</v>
      </c>
      <c r="O216" t="s">
        <v>535</v>
      </c>
      <c r="P216" t="s">
        <v>536</v>
      </c>
      <c r="Q216" t="s">
        <v>530</v>
      </c>
      <c r="R216" t="s">
        <v>529</v>
      </c>
      <c r="S216" t="s">
        <v>537</v>
      </c>
      <c r="T216" t="s">
        <v>538</v>
      </c>
      <c r="U216" t="s">
        <v>156</v>
      </c>
      <c r="V216" t="s">
        <v>157</v>
      </c>
      <c r="W216">
        <v>77838086797</v>
      </c>
      <c r="X216">
        <v>10077838086794</v>
      </c>
      <c r="Y216" t="s">
        <v>539</v>
      </c>
      <c r="Z216" t="s">
        <v>540</v>
      </c>
      <c r="AA216" t="s">
        <v>541</v>
      </c>
      <c r="AB216" t="s">
        <v>542</v>
      </c>
      <c r="AC216" t="s">
        <v>332</v>
      </c>
      <c r="AD216" t="s">
        <v>203</v>
      </c>
      <c r="AE216" t="s">
        <v>235</v>
      </c>
      <c r="AF216" t="s">
        <v>235</v>
      </c>
      <c r="AG216">
        <v>392410.4</v>
      </c>
      <c r="AH216">
        <v>100</v>
      </c>
      <c r="AI216" t="s">
        <v>186</v>
      </c>
      <c r="AK216" t="s">
        <v>543</v>
      </c>
      <c r="AM216" t="s">
        <v>544</v>
      </c>
    </row>
    <row r="217" spans="1:70" x14ac:dyDescent="0.25">
      <c r="A217" t="s">
        <v>1398</v>
      </c>
      <c r="B217" t="e">
        <f>_xlfn.XLOOKUP(C217,'[1]Image URL'!$E:$E,'[1]Image URL'!$A:$A)</f>
        <v>#N/A</v>
      </c>
      <c r="C217" t="s">
        <v>1708</v>
      </c>
      <c r="D217" t="s">
        <v>1399</v>
      </c>
      <c r="E217" t="s">
        <v>899</v>
      </c>
      <c r="F217" t="s">
        <v>900</v>
      </c>
      <c r="G217" t="s">
        <v>286</v>
      </c>
      <c r="H217" t="s">
        <v>901</v>
      </c>
      <c r="I217" t="s">
        <v>147</v>
      </c>
      <c r="J217" t="s">
        <v>280</v>
      </c>
      <c r="U217" t="s">
        <v>281</v>
      </c>
      <c r="V217" t="s">
        <v>282</v>
      </c>
      <c r="W217">
        <v>77838105542</v>
      </c>
      <c r="X217">
        <v>10077838105549</v>
      </c>
      <c r="Y217" t="s">
        <v>902</v>
      </c>
      <c r="Z217" t="s">
        <v>903</v>
      </c>
      <c r="AA217" t="s">
        <v>485</v>
      </c>
      <c r="AB217" t="s">
        <v>334</v>
      </c>
      <c r="AC217" t="s">
        <v>904</v>
      </c>
      <c r="AD217" t="s">
        <v>203</v>
      </c>
      <c r="AE217" t="s">
        <v>316</v>
      </c>
      <c r="AF217" t="s">
        <v>314</v>
      </c>
      <c r="AG217">
        <v>940390.5</v>
      </c>
      <c r="AH217">
        <v>70</v>
      </c>
      <c r="AL217" t="s">
        <v>905</v>
      </c>
    </row>
    <row r="218" spans="1:70" x14ac:dyDescent="0.25">
      <c r="A218" t="s">
        <v>1400</v>
      </c>
      <c r="B218" t="e">
        <f>_xlfn.XLOOKUP(C218,'[1]Image URL'!$E:$E,'[1]Image URL'!$A:$A)</f>
        <v>#N/A</v>
      </c>
      <c r="C218">
        <v>5300602</v>
      </c>
      <c r="D218" t="s">
        <v>1316</v>
      </c>
      <c r="E218" t="s">
        <v>1317</v>
      </c>
      <c r="F218" t="s">
        <v>457</v>
      </c>
      <c r="G218" t="s">
        <v>664</v>
      </c>
      <c r="H218" t="s">
        <v>193</v>
      </c>
      <c r="I218" t="s">
        <v>194</v>
      </c>
      <c r="J218" t="s">
        <v>212</v>
      </c>
      <c r="U218" t="s">
        <v>217</v>
      </c>
      <c r="V218" t="s">
        <v>157</v>
      </c>
      <c r="W218">
        <v>77838227138</v>
      </c>
      <c r="X218">
        <v>10077838027131</v>
      </c>
      <c r="Y218" t="s">
        <v>473</v>
      </c>
      <c r="Z218" t="s">
        <v>393</v>
      </c>
      <c r="AA218" t="s">
        <v>457</v>
      </c>
      <c r="AB218" t="s">
        <v>965</v>
      </c>
      <c r="AC218" t="s">
        <v>340</v>
      </c>
      <c r="AD218" t="s">
        <v>1318</v>
      </c>
      <c r="AE218" t="s">
        <v>1113</v>
      </c>
      <c r="AF218" t="s">
        <v>1319</v>
      </c>
      <c r="AG218">
        <v>841320</v>
      </c>
      <c r="AH218">
        <v>125</v>
      </c>
      <c r="AL218" t="s">
        <v>1320</v>
      </c>
    </row>
    <row r="219" spans="1:70" x14ac:dyDescent="0.25">
      <c r="A219" t="s">
        <v>1401</v>
      </c>
      <c r="B219" t="e">
        <f>_xlfn.XLOOKUP(C219,'[1]Image URL'!$E:$E,'[1]Image URL'!$A:$A)</f>
        <v>#N/A</v>
      </c>
      <c r="C219">
        <v>3308642</v>
      </c>
      <c r="E219" t="s">
        <v>561</v>
      </c>
      <c r="F219" t="s">
        <v>731</v>
      </c>
      <c r="G219" t="s">
        <v>563</v>
      </c>
      <c r="H219" t="s">
        <v>291</v>
      </c>
      <c r="I219" t="s">
        <v>147</v>
      </c>
      <c r="J219" t="s">
        <v>212</v>
      </c>
      <c r="U219" t="s">
        <v>262</v>
      </c>
      <c r="V219" t="s">
        <v>157</v>
      </c>
      <c r="W219">
        <v>77838014141</v>
      </c>
      <c r="X219">
        <v>10077838014148</v>
      </c>
      <c r="Y219" t="s">
        <v>732</v>
      </c>
      <c r="Z219" t="s">
        <v>733</v>
      </c>
      <c r="AA219" t="s">
        <v>734</v>
      </c>
      <c r="AB219" t="s">
        <v>463</v>
      </c>
      <c r="AC219" t="s">
        <v>735</v>
      </c>
      <c r="AD219" t="s">
        <v>314</v>
      </c>
      <c r="AE219" t="s">
        <v>316</v>
      </c>
      <c r="AF219" t="s">
        <v>315</v>
      </c>
      <c r="AG219">
        <v>940389.60199999996</v>
      </c>
      <c r="AH219">
        <v>150</v>
      </c>
      <c r="AL219" t="s">
        <v>736</v>
      </c>
      <c r="AT219" t="s">
        <v>563</v>
      </c>
      <c r="AW219" t="s">
        <v>731</v>
      </c>
      <c r="AX219" t="s">
        <v>737</v>
      </c>
      <c r="AY219" t="s">
        <v>273</v>
      </c>
    </row>
    <row r="220" spans="1:70" x14ac:dyDescent="0.25">
      <c r="A220" t="s">
        <v>1402</v>
      </c>
      <c r="B220" t="e">
        <f>_xlfn.XLOOKUP(C220,'[1]Image URL'!$E:$E,'[1]Image URL'!$A:$A)</f>
        <v>#N/A</v>
      </c>
      <c r="C220">
        <v>5400213</v>
      </c>
      <c r="D220" t="s">
        <v>672</v>
      </c>
      <c r="E220" t="s">
        <v>191</v>
      </c>
      <c r="F220" t="s">
        <v>192</v>
      </c>
      <c r="G220" t="s">
        <v>186</v>
      </c>
      <c r="H220" t="s">
        <v>193</v>
      </c>
      <c r="I220" t="s">
        <v>194</v>
      </c>
      <c r="J220" t="s">
        <v>195</v>
      </c>
      <c r="U220" t="s">
        <v>196</v>
      </c>
      <c r="V220" t="s">
        <v>157</v>
      </c>
      <c r="W220">
        <v>77838509005</v>
      </c>
      <c r="X220">
        <v>10077838009007</v>
      </c>
      <c r="Y220" t="s">
        <v>197</v>
      </c>
      <c r="Z220" t="s">
        <v>198</v>
      </c>
      <c r="AA220" t="s">
        <v>199</v>
      </c>
      <c r="AB220" t="s">
        <v>200</v>
      </c>
      <c r="AC220" t="s">
        <v>201</v>
      </c>
      <c r="AD220" t="s">
        <v>202</v>
      </c>
      <c r="AE220" t="s">
        <v>203</v>
      </c>
      <c r="AF220" t="s">
        <v>204</v>
      </c>
      <c r="AG220">
        <v>392410.4</v>
      </c>
      <c r="AH220">
        <v>70</v>
      </c>
      <c r="AL220" t="s">
        <v>205</v>
      </c>
      <c r="AM220" t="s">
        <v>206</v>
      </c>
    </row>
    <row r="221" spans="1:70" x14ac:dyDescent="0.25">
      <c r="A221" t="s">
        <v>1403</v>
      </c>
      <c r="B221" t="e">
        <f>_xlfn.XLOOKUP(C221,'[1]Image URL'!$E:$E,'[1]Image URL'!$A:$A)</f>
        <v>#N/A</v>
      </c>
      <c r="C221">
        <v>5401852</v>
      </c>
      <c r="D221" t="s">
        <v>1404</v>
      </c>
      <c r="E221" t="s">
        <v>353</v>
      </c>
      <c r="F221" t="s">
        <v>295</v>
      </c>
      <c r="G221" t="s">
        <v>354</v>
      </c>
      <c r="H221" t="s">
        <v>355</v>
      </c>
      <c r="I221" t="s">
        <v>147</v>
      </c>
      <c r="J221" t="s">
        <v>280</v>
      </c>
      <c r="K221" t="s">
        <v>356</v>
      </c>
      <c r="L221" t="s">
        <v>357</v>
      </c>
      <c r="U221" t="s">
        <v>281</v>
      </c>
      <c r="V221" t="s">
        <v>282</v>
      </c>
      <c r="W221">
        <v>77838012550</v>
      </c>
      <c r="X221">
        <v>10077838012557</v>
      </c>
      <c r="Y221" t="s">
        <v>358</v>
      </c>
      <c r="Z221" t="s">
        <v>359</v>
      </c>
      <c r="AA221" t="s">
        <v>360</v>
      </c>
      <c r="AB221" t="s">
        <v>361</v>
      </c>
      <c r="AC221" t="s">
        <v>362</v>
      </c>
      <c r="AD221" t="s">
        <v>235</v>
      </c>
      <c r="AE221" t="s">
        <v>269</v>
      </c>
      <c r="AF221" t="s">
        <v>235</v>
      </c>
      <c r="AG221">
        <v>940370.80299999996</v>
      </c>
      <c r="AH221">
        <v>250</v>
      </c>
      <c r="AL221" t="s">
        <v>363</v>
      </c>
      <c r="AT221" t="s">
        <v>364</v>
      </c>
      <c r="AW221" t="s">
        <v>295</v>
      </c>
      <c r="AX221" t="s">
        <v>365</v>
      </c>
      <c r="AZ221" t="s">
        <v>288</v>
      </c>
      <c r="BJ221" t="s">
        <v>354</v>
      </c>
      <c r="BK221" t="s">
        <v>366</v>
      </c>
    </row>
    <row r="222" spans="1:70" x14ac:dyDescent="0.25">
      <c r="A222" t="s">
        <v>1405</v>
      </c>
      <c r="B222" t="e">
        <f>_xlfn.XLOOKUP(C222,'[1]Image URL'!$E:$E,'[1]Image URL'!$A:$A)</f>
        <v>#N/A</v>
      </c>
      <c r="C222">
        <v>5310723</v>
      </c>
      <c r="E222" t="s">
        <v>899</v>
      </c>
      <c r="F222" t="s">
        <v>900</v>
      </c>
      <c r="G222" t="s">
        <v>286</v>
      </c>
      <c r="H222" t="s">
        <v>901</v>
      </c>
      <c r="I222" t="s">
        <v>147</v>
      </c>
      <c r="J222" t="s">
        <v>280</v>
      </c>
      <c r="U222" t="s">
        <v>281</v>
      </c>
      <c r="V222" t="s">
        <v>282</v>
      </c>
      <c r="W222">
        <v>77838105535</v>
      </c>
      <c r="X222">
        <v>10077838105532</v>
      </c>
      <c r="Y222" t="s">
        <v>902</v>
      </c>
      <c r="Z222" t="s">
        <v>903</v>
      </c>
      <c r="AA222" t="s">
        <v>485</v>
      </c>
      <c r="AB222" t="s">
        <v>334</v>
      </c>
      <c r="AC222" t="s">
        <v>904</v>
      </c>
      <c r="AD222" t="s">
        <v>203</v>
      </c>
      <c r="AE222" t="s">
        <v>316</v>
      </c>
      <c r="AF222" t="s">
        <v>314</v>
      </c>
      <c r="AG222">
        <v>940390.5</v>
      </c>
      <c r="AH222">
        <v>70</v>
      </c>
      <c r="AL222" t="s">
        <v>905</v>
      </c>
    </row>
    <row r="223" spans="1:70" x14ac:dyDescent="0.25">
      <c r="A223" t="s">
        <v>1406</v>
      </c>
      <c r="B223" t="e">
        <f>_xlfn.XLOOKUP(C223,'[1]Image URL'!$E:$E,'[1]Image URL'!$A:$A)</f>
        <v>#N/A</v>
      </c>
      <c r="C223">
        <v>5310523</v>
      </c>
      <c r="D223" t="s">
        <v>1407</v>
      </c>
      <c r="E223" t="s">
        <v>573</v>
      </c>
      <c r="F223" t="s">
        <v>548</v>
      </c>
      <c r="G223" t="s">
        <v>549</v>
      </c>
      <c r="H223" t="s">
        <v>550</v>
      </c>
      <c r="I223" t="s">
        <v>147</v>
      </c>
      <c r="J223" t="s">
        <v>280</v>
      </c>
      <c r="U223" t="s">
        <v>281</v>
      </c>
      <c r="V223" t="s">
        <v>282</v>
      </c>
      <c r="W223">
        <v>77838105641</v>
      </c>
      <c r="X223">
        <v>10077838105648</v>
      </c>
      <c r="Y223" t="s">
        <v>556</v>
      </c>
      <c r="Z223" t="s">
        <v>574</v>
      </c>
      <c r="AA223" t="s">
        <v>575</v>
      </c>
      <c r="AB223" t="s">
        <v>576</v>
      </c>
      <c r="AC223" t="s">
        <v>577</v>
      </c>
      <c r="AD223" t="s">
        <v>402</v>
      </c>
      <c r="AE223" t="s">
        <v>164</v>
      </c>
      <c r="AF223" t="s">
        <v>314</v>
      </c>
      <c r="AG223">
        <v>940390.5</v>
      </c>
      <c r="AH223">
        <v>85</v>
      </c>
      <c r="AL223" t="s">
        <v>556</v>
      </c>
      <c r="BF223" t="s">
        <v>578</v>
      </c>
    </row>
    <row r="224" spans="1:70" x14ac:dyDescent="0.25">
      <c r="A224" t="s">
        <v>1408</v>
      </c>
      <c r="B224" t="e">
        <f>_xlfn.XLOOKUP(C224,'[1]Image URL'!$E:$E,'[1]Image URL'!$A:$A)</f>
        <v>#N/A</v>
      </c>
      <c r="C224" t="s">
        <v>1759</v>
      </c>
    </row>
    <row r="225" spans="1:96" x14ac:dyDescent="0.25">
      <c r="A225" t="s">
        <v>1409</v>
      </c>
      <c r="B225" t="e">
        <f>_xlfn.XLOOKUP(C225,'[1]Image URL'!$E:$E,'[1]Image URL'!$A:$A)</f>
        <v>#N/A</v>
      </c>
      <c r="C225">
        <v>3304042</v>
      </c>
    </row>
    <row r="226" spans="1:96" x14ac:dyDescent="0.25">
      <c r="A226" t="s">
        <v>1410</v>
      </c>
      <c r="B226" t="e">
        <f>_xlfn.XLOOKUP(C226,'[1]Image URL'!$E:$E,'[1]Image URL'!$A:$A)</f>
        <v>#N/A</v>
      </c>
      <c r="C226">
        <v>3300414</v>
      </c>
      <c r="D226" t="s">
        <v>739</v>
      </c>
      <c r="E226" t="s">
        <v>740</v>
      </c>
      <c r="F226" t="s">
        <v>523</v>
      </c>
      <c r="G226" t="s">
        <v>186</v>
      </c>
      <c r="H226" t="s">
        <v>193</v>
      </c>
      <c r="I226" t="s">
        <v>194</v>
      </c>
      <c r="J226" t="s">
        <v>195</v>
      </c>
      <c r="U226" t="s">
        <v>196</v>
      </c>
      <c r="V226" t="s">
        <v>157</v>
      </c>
      <c r="W226">
        <v>77838500682</v>
      </c>
      <c r="X226">
        <v>10077838000684</v>
      </c>
      <c r="Y226" t="s">
        <v>741</v>
      </c>
      <c r="Z226" t="s">
        <v>632</v>
      </c>
      <c r="AA226" t="s">
        <v>742</v>
      </c>
      <c r="AB226" t="s">
        <v>152</v>
      </c>
      <c r="AC226" t="s">
        <v>707</v>
      </c>
      <c r="AD226" t="s">
        <v>634</v>
      </c>
      <c r="AE226" t="s">
        <v>635</v>
      </c>
      <c r="AF226" t="s">
        <v>349</v>
      </c>
      <c r="AG226">
        <v>392410.4</v>
      </c>
      <c r="AH226">
        <v>125</v>
      </c>
      <c r="AL226" t="s">
        <v>205</v>
      </c>
      <c r="AM226" t="s">
        <v>508</v>
      </c>
      <c r="BC226" t="s">
        <v>523</v>
      </c>
    </row>
    <row r="227" spans="1:96" x14ac:dyDescent="0.25">
      <c r="A227" t="s">
        <v>1411</v>
      </c>
      <c r="B227" t="e">
        <f>_xlfn.XLOOKUP(C227,'[1]Image URL'!$E:$E,'[1]Image URL'!$A:$A)</f>
        <v>#N/A</v>
      </c>
      <c r="C227">
        <v>5400146</v>
      </c>
      <c r="D227" t="s">
        <v>1413</v>
      </c>
      <c r="E227" t="s">
        <v>857</v>
      </c>
      <c r="I227" t="s">
        <v>147</v>
      </c>
      <c r="J227" t="s">
        <v>148</v>
      </c>
      <c r="K227" t="s">
        <v>752</v>
      </c>
      <c r="L227" t="s">
        <v>188</v>
      </c>
      <c r="M227" t="s">
        <v>858</v>
      </c>
      <c r="O227" t="s">
        <v>859</v>
      </c>
      <c r="P227" t="s">
        <v>860</v>
      </c>
      <c r="Q227" t="s">
        <v>174</v>
      </c>
      <c r="R227" t="s">
        <v>439</v>
      </c>
      <c r="S227" t="s">
        <v>861</v>
      </c>
      <c r="T227" t="s">
        <v>862</v>
      </c>
      <c r="U227" t="s">
        <v>156</v>
      </c>
      <c r="V227" t="s">
        <v>157</v>
      </c>
      <c r="W227">
        <v>77838086773</v>
      </c>
      <c r="X227">
        <v>10077838086770</v>
      </c>
      <c r="Y227" t="s">
        <v>863</v>
      </c>
      <c r="Z227" t="s">
        <v>864</v>
      </c>
      <c r="AA227" t="s">
        <v>865</v>
      </c>
      <c r="AB227" t="s">
        <v>866</v>
      </c>
      <c r="AC227" t="s">
        <v>329</v>
      </c>
      <c r="AD227" t="s">
        <v>867</v>
      </c>
      <c r="AE227" t="s">
        <v>314</v>
      </c>
      <c r="AF227" t="s">
        <v>185</v>
      </c>
      <c r="AG227">
        <v>392410.4</v>
      </c>
      <c r="AH227">
        <v>85</v>
      </c>
      <c r="AI227" t="s">
        <v>186</v>
      </c>
      <c r="AK227" t="s">
        <v>174</v>
      </c>
      <c r="CP227" t="s">
        <v>868</v>
      </c>
    </row>
    <row r="228" spans="1:96" x14ac:dyDescent="0.25">
      <c r="A228" t="s">
        <v>1414</v>
      </c>
      <c r="B228" t="e">
        <f>_xlfn.XLOOKUP(C228,'[1]Image URL'!$E:$E,'[1]Image URL'!$A:$A)</f>
        <v>#N/A</v>
      </c>
      <c r="C228">
        <v>5400153</v>
      </c>
      <c r="D228" t="s">
        <v>1415</v>
      </c>
      <c r="E228" t="s">
        <v>926</v>
      </c>
      <c r="F228" t="s">
        <v>610</v>
      </c>
      <c r="G228" t="s">
        <v>278</v>
      </c>
      <c r="H228" t="s">
        <v>927</v>
      </c>
      <c r="I228" t="s">
        <v>147</v>
      </c>
      <c r="J228" t="s">
        <v>280</v>
      </c>
      <c r="U228" t="s">
        <v>281</v>
      </c>
      <c r="V228" t="s">
        <v>282</v>
      </c>
      <c r="W228">
        <v>77838126059</v>
      </c>
      <c r="X228">
        <v>10077838126056</v>
      </c>
      <c r="Y228" t="s">
        <v>723</v>
      </c>
      <c r="Z228" t="s">
        <v>928</v>
      </c>
      <c r="AA228" t="s">
        <v>614</v>
      </c>
      <c r="AB228" t="s">
        <v>929</v>
      </c>
      <c r="AC228" t="s">
        <v>930</v>
      </c>
      <c r="AD228" t="s">
        <v>269</v>
      </c>
      <c r="AE228" t="s">
        <v>269</v>
      </c>
      <c r="AF228" t="s">
        <v>269</v>
      </c>
      <c r="AG228">
        <v>940370.80299999996</v>
      </c>
      <c r="AH228">
        <v>250</v>
      </c>
      <c r="AL228" t="s">
        <v>931</v>
      </c>
      <c r="AZ228" t="s">
        <v>288</v>
      </c>
      <c r="BA228" t="s">
        <v>932</v>
      </c>
      <c r="BB228" t="s">
        <v>927</v>
      </c>
      <c r="BC228" t="s">
        <v>610</v>
      </c>
      <c r="BD228" t="s">
        <v>290</v>
      </c>
      <c r="BE228" t="s">
        <v>933</v>
      </c>
      <c r="BF228" t="s">
        <v>278</v>
      </c>
      <c r="BZ228" t="s">
        <v>313</v>
      </c>
      <c r="CA228" t="s">
        <v>617</v>
      </c>
    </row>
    <row r="229" spans="1:96" x14ac:dyDescent="0.25">
      <c r="A229" t="s">
        <v>1416</v>
      </c>
      <c r="B229" t="e">
        <f>_xlfn.XLOOKUP(C229,'[1]Image URL'!$E:$E,'[1]Image URL'!$A:$A)</f>
        <v>#N/A</v>
      </c>
      <c r="C229">
        <v>453307</v>
      </c>
      <c r="D229" t="s">
        <v>257</v>
      </c>
      <c r="E229" t="s">
        <v>620</v>
      </c>
      <c r="F229" t="s">
        <v>621</v>
      </c>
      <c r="G229" t="s">
        <v>260</v>
      </c>
      <c r="H229" t="s">
        <v>261</v>
      </c>
      <c r="I229" t="s">
        <v>147</v>
      </c>
      <c r="J229" t="s">
        <v>212</v>
      </c>
      <c r="U229" t="s">
        <v>262</v>
      </c>
      <c r="V229" t="s">
        <v>157</v>
      </c>
      <c r="W229">
        <v>77838123782</v>
      </c>
      <c r="X229">
        <v>10077838123789</v>
      </c>
      <c r="Y229" t="s">
        <v>622</v>
      </c>
      <c r="Z229" t="s">
        <v>623</v>
      </c>
      <c r="AA229" t="s">
        <v>624</v>
      </c>
      <c r="AB229" t="s">
        <v>265</v>
      </c>
      <c r="AC229" t="s">
        <v>188</v>
      </c>
      <c r="AD229" t="s">
        <v>246</v>
      </c>
      <c r="AE229" t="s">
        <v>316</v>
      </c>
      <c r="AF229" t="s">
        <v>185</v>
      </c>
      <c r="AG229">
        <v>940389.60199999996</v>
      </c>
      <c r="AH229">
        <v>150</v>
      </c>
      <c r="AL229" t="s">
        <v>625</v>
      </c>
      <c r="AT229" t="s">
        <v>260</v>
      </c>
      <c r="AU229" t="s">
        <v>261</v>
      </c>
      <c r="AV229" t="s">
        <v>271</v>
      </c>
      <c r="AW229" t="s">
        <v>621</v>
      </c>
      <c r="AX229" t="s">
        <v>626</v>
      </c>
      <c r="AY229" t="s">
        <v>273</v>
      </c>
    </row>
    <row r="230" spans="1:96" x14ac:dyDescent="0.25">
      <c r="A230" t="s">
        <v>1417</v>
      </c>
      <c r="B230" t="e">
        <f>_xlfn.XLOOKUP(C230,'[1]Image URL'!$E:$E,'[1]Image URL'!$A:$A)</f>
        <v>#N/A</v>
      </c>
      <c r="C230">
        <v>695407</v>
      </c>
      <c r="D230" t="s">
        <v>1419</v>
      </c>
      <c r="E230" t="s">
        <v>1383</v>
      </c>
      <c r="F230" t="s">
        <v>1420</v>
      </c>
      <c r="G230" t="s">
        <v>193</v>
      </c>
      <c r="U230" t="s">
        <v>422</v>
      </c>
      <c r="V230" t="s">
        <v>1385</v>
      </c>
      <c r="W230">
        <v>645372665435</v>
      </c>
      <c r="X230">
        <v>10645372665432</v>
      </c>
      <c r="Y230" t="s">
        <v>1421</v>
      </c>
      <c r="Z230" t="s">
        <v>393</v>
      </c>
      <c r="AA230" t="s">
        <v>1422</v>
      </c>
      <c r="AB230" t="s">
        <v>394</v>
      </c>
      <c r="AC230" t="s">
        <v>1423</v>
      </c>
      <c r="AD230" t="s">
        <v>1424</v>
      </c>
      <c r="AE230" t="s">
        <v>315</v>
      </c>
      <c r="AF230" t="s">
        <v>315</v>
      </c>
      <c r="AG230">
        <v>732393.00800000003</v>
      </c>
      <c r="AH230">
        <v>60</v>
      </c>
    </row>
    <row r="231" spans="1:96" x14ac:dyDescent="0.25">
      <c r="A231" t="s">
        <v>1425</v>
      </c>
      <c r="B231" t="e">
        <f>_xlfn.XLOOKUP(C231,'[1]Image URL'!$E:$E,'[1]Image URL'!$A:$A)</f>
        <v>#N/A</v>
      </c>
      <c r="C231">
        <v>3303814</v>
      </c>
      <c r="D231" t="s">
        <v>1426</v>
      </c>
      <c r="E231" t="s">
        <v>294</v>
      </c>
      <c r="F231" t="s">
        <v>295</v>
      </c>
      <c r="G231" t="s">
        <v>192</v>
      </c>
      <c r="H231" t="s">
        <v>201</v>
      </c>
      <c r="I231" t="s">
        <v>147</v>
      </c>
      <c r="J231" t="s">
        <v>280</v>
      </c>
      <c r="U231" t="s">
        <v>281</v>
      </c>
      <c r="V231" t="s">
        <v>282</v>
      </c>
      <c r="W231">
        <v>77838130940</v>
      </c>
      <c r="X231">
        <v>10077838130947</v>
      </c>
      <c r="Y231" t="s">
        <v>296</v>
      </c>
      <c r="Z231" t="s">
        <v>297</v>
      </c>
      <c r="AA231" t="s">
        <v>298</v>
      </c>
      <c r="AB231" t="s">
        <v>299</v>
      </c>
      <c r="AC231" t="s">
        <v>300</v>
      </c>
      <c r="AD231" t="s">
        <v>301</v>
      </c>
      <c r="AE231" t="s">
        <v>302</v>
      </c>
      <c r="AF231" t="s">
        <v>303</v>
      </c>
      <c r="AG231">
        <v>740390.5</v>
      </c>
      <c r="AH231">
        <v>85</v>
      </c>
      <c r="AL231" t="s">
        <v>304</v>
      </c>
    </row>
    <row r="232" spans="1:96" x14ac:dyDescent="0.25">
      <c r="A232" t="s">
        <v>1427</v>
      </c>
      <c r="B232" t="e">
        <f>_xlfn.XLOOKUP(C232,'[1]Image URL'!$E:$E,'[1]Image URL'!$A:$A)</f>
        <v>#N/A</v>
      </c>
      <c r="C232">
        <v>3301803</v>
      </c>
      <c r="D232" t="s">
        <v>1428</v>
      </c>
      <c r="E232" t="s">
        <v>1031</v>
      </c>
      <c r="F232" t="s">
        <v>380</v>
      </c>
      <c r="G232" t="s">
        <v>1032</v>
      </c>
      <c r="H232" t="s">
        <v>1033</v>
      </c>
      <c r="I232" t="s">
        <v>147</v>
      </c>
      <c r="J232" t="s">
        <v>212</v>
      </c>
      <c r="U232" t="s">
        <v>262</v>
      </c>
      <c r="V232" t="s">
        <v>157</v>
      </c>
      <c r="W232">
        <v>77838123898</v>
      </c>
      <c r="X232">
        <v>10077838123895</v>
      </c>
      <c r="Y232" t="s">
        <v>1429</v>
      </c>
      <c r="Z232" t="s">
        <v>1430</v>
      </c>
      <c r="AA232" t="s">
        <v>1431</v>
      </c>
      <c r="AB232" t="s">
        <v>1432</v>
      </c>
      <c r="AC232" t="s">
        <v>1433</v>
      </c>
      <c r="AD232" t="s">
        <v>403</v>
      </c>
      <c r="AE232" t="s">
        <v>269</v>
      </c>
      <c r="AF232" t="s">
        <v>403</v>
      </c>
      <c r="AG232">
        <v>940389.60199999996</v>
      </c>
      <c r="AH232">
        <v>150</v>
      </c>
      <c r="AL232" t="s">
        <v>736</v>
      </c>
      <c r="AT232" t="s">
        <v>1032</v>
      </c>
      <c r="AW232" t="s">
        <v>380</v>
      </c>
      <c r="AX232" t="s">
        <v>717</v>
      </c>
      <c r="AY232" t="s">
        <v>273</v>
      </c>
    </row>
    <row r="233" spans="1:96" x14ac:dyDescent="0.25">
      <c r="A233" t="s">
        <v>1434</v>
      </c>
      <c r="B233" t="e">
        <f>_xlfn.XLOOKUP(C233,'[1]Image URL'!$E:$E,'[1]Image URL'!$A:$A)</f>
        <v>#N/A</v>
      </c>
      <c r="C233">
        <v>5310438</v>
      </c>
      <c r="D233" t="s">
        <v>1435</v>
      </c>
      <c r="E233" t="s">
        <v>276</v>
      </c>
      <c r="F233" t="s">
        <v>277</v>
      </c>
      <c r="G233" t="s">
        <v>278</v>
      </c>
      <c r="H233" t="s">
        <v>279</v>
      </c>
      <c r="I233" t="s">
        <v>147</v>
      </c>
      <c r="J233" t="s">
        <v>280</v>
      </c>
      <c r="U233" t="s">
        <v>281</v>
      </c>
      <c r="V233" t="s">
        <v>282</v>
      </c>
      <c r="W233">
        <v>77838130902</v>
      </c>
      <c r="X233">
        <v>10077838130909</v>
      </c>
      <c r="Y233" t="s">
        <v>283</v>
      </c>
      <c r="Z233" t="s">
        <v>284</v>
      </c>
      <c r="AA233" t="s">
        <v>285</v>
      </c>
      <c r="AB233" t="s">
        <v>286</v>
      </c>
      <c r="AC233" t="s">
        <v>287</v>
      </c>
      <c r="AD233" t="s">
        <v>269</v>
      </c>
      <c r="AE233" t="s">
        <v>269</v>
      </c>
      <c r="AF233" t="s">
        <v>269</v>
      </c>
      <c r="AG233">
        <v>940370.80299999996</v>
      </c>
      <c r="AH233">
        <v>250</v>
      </c>
      <c r="AL233" t="s">
        <v>283</v>
      </c>
      <c r="AZ233" t="s">
        <v>288</v>
      </c>
      <c r="BA233" t="s">
        <v>289</v>
      </c>
      <c r="BB233" t="s">
        <v>279</v>
      </c>
      <c r="BC233" t="s">
        <v>277</v>
      </c>
      <c r="BD233" t="s">
        <v>290</v>
      </c>
      <c r="BE233" t="s">
        <v>291</v>
      </c>
      <c r="BF233" t="s">
        <v>278</v>
      </c>
    </row>
    <row r="234" spans="1:96" x14ac:dyDescent="0.25">
      <c r="A234" t="s">
        <v>1436</v>
      </c>
      <c r="B234" t="e">
        <f>_xlfn.XLOOKUP(C234,'[1]Image URL'!$E:$E,'[1]Image URL'!$A:$A)</f>
        <v>#N/A</v>
      </c>
      <c r="C234">
        <v>453107</v>
      </c>
      <c r="D234" t="s">
        <v>1437</v>
      </c>
      <c r="E234" t="s">
        <v>1438</v>
      </c>
      <c r="H234" t="s">
        <v>288</v>
      </c>
      <c r="I234" t="s">
        <v>147</v>
      </c>
      <c r="J234" t="s">
        <v>280</v>
      </c>
      <c r="U234" t="s">
        <v>281</v>
      </c>
      <c r="V234" t="s">
        <v>157</v>
      </c>
      <c r="W234">
        <v>77838008409</v>
      </c>
      <c r="X234">
        <v>10077838008406</v>
      </c>
      <c r="Y234" t="s">
        <v>1439</v>
      </c>
      <c r="Z234" t="s">
        <v>1440</v>
      </c>
      <c r="AA234" t="s">
        <v>1441</v>
      </c>
      <c r="AB234" t="s">
        <v>472</v>
      </c>
      <c r="AC234" t="s">
        <v>180</v>
      </c>
      <c r="AD234" t="s">
        <v>301</v>
      </c>
      <c r="AE234" t="s">
        <v>184</v>
      </c>
      <c r="AF234" t="s">
        <v>164</v>
      </c>
      <c r="AG234">
        <v>392490.565</v>
      </c>
      <c r="AH234">
        <v>250</v>
      </c>
      <c r="AN234" t="s">
        <v>1442</v>
      </c>
    </row>
    <row r="235" spans="1:96" x14ac:dyDescent="0.25">
      <c r="A235" t="s">
        <v>1443</v>
      </c>
      <c r="B235" t="e">
        <f>_xlfn.XLOOKUP(C235,'[1]Image URL'!$E:$E,'[1]Image URL'!$A:$A)</f>
        <v>#N/A</v>
      </c>
      <c r="C235">
        <v>3303005</v>
      </c>
      <c r="D235" t="s">
        <v>1445</v>
      </c>
      <c r="E235" t="s">
        <v>1446</v>
      </c>
      <c r="F235" t="s">
        <v>286</v>
      </c>
      <c r="G235" t="s">
        <v>329</v>
      </c>
      <c r="H235" t="s">
        <v>1447</v>
      </c>
      <c r="U235" t="s">
        <v>422</v>
      </c>
      <c r="V235" t="s">
        <v>157</v>
      </c>
      <c r="W235">
        <v>77838147986</v>
      </c>
      <c r="X235">
        <v>10077838147983</v>
      </c>
      <c r="Y235" t="s">
        <v>1448</v>
      </c>
      <c r="Z235" t="s">
        <v>1449</v>
      </c>
      <c r="AA235" t="s">
        <v>1450</v>
      </c>
      <c r="AB235" t="s">
        <v>1169</v>
      </c>
      <c r="AC235" t="s">
        <v>1451</v>
      </c>
      <c r="AD235" t="s">
        <v>588</v>
      </c>
      <c r="AE235" t="s">
        <v>268</v>
      </c>
      <c r="AF235" t="s">
        <v>164</v>
      </c>
      <c r="AG235">
        <v>732393.00800000003</v>
      </c>
      <c r="AH235">
        <v>175</v>
      </c>
      <c r="AL235" t="s">
        <v>1448</v>
      </c>
    </row>
    <row r="236" spans="1:96" x14ac:dyDescent="0.25">
      <c r="A236" t="s">
        <v>1452</v>
      </c>
      <c r="B236" t="e">
        <f>_xlfn.XLOOKUP(C236,'[1]Image URL'!$E:$E,'[1]Image URL'!$A:$A)</f>
        <v>#N/A</v>
      </c>
      <c r="C236">
        <v>4351625</v>
      </c>
      <c r="D236" t="s">
        <v>1453</v>
      </c>
      <c r="E236" t="s">
        <v>962</v>
      </c>
      <c r="F236" t="s">
        <v>380</v>
      </c>
      <c r="G236" t="s">
        <v>563</v>
      </c>
      <c r="H236" t="s">
        <v>291</v>
      </c>
      <c r="I236" t="s">
        <v>147</v>
      </c>
      <c r="J236" t="s">
        <v>212</v>
      </c>
      <c r="U236" t="s">
        <v>262</v>
      </c>
      <c r="V236" t="s">
        <v>157</v>
      </c>
      <c r="W236">
        <v>77838014226</v>
      </c>
      <c r="X236">
        <v>10077838014223</v>
      </c>
      <c r="Y236" t="s">
        <v>963</v>
      </c>
      <c r="Z236" t="s">
        <v>964</v>
      </c>
      <c r="AA236" t="s">
        <v>385</v>
      </c>
      <c r="AB236" t="s">
        <v>965</v>
      </c>
      <c r="AC236" t="s">
        <v>966</v>
      </c>
      <c r="AD236" t="s">
        <v>204</v>
      </c>
      <c r="AE236" t="s">
        <v>316</v>
      </c>
      <c r="AF236" t="s">
        <v>349</v>
      </c>
      <c r="AG236">
        <v>940389.60199999996</v>
      </c>
      <c r="AH236">
        <v>150</v>
      </c>
      <c r="AL236" t="s">
        <v>967</v>
      </c>
      <c r="AT236" t="s">
        <v>563</v>
      </c>
      <c r="AW236" t="s">
        <v>380</v>
      </c>
      <c r="AX236" t="s">
        <v>717</v>
      </c>
      <c r="AY236" t="s">
        <v>273</v>
      </c>
    </row>
    <row r="237" spans="1:96" x14ac:dyDescent="0.25">
      <c r="A237" t="s">
        <v>1454</v>
      </c>
      <c r="B237" t="e">
        <f>_xlfn.XLOOKUP(C237,'[1]Image URL'!$E:$E,'[1]Image URL'!$A:$A)</f>
        <v>#N/A</v>
      </c>
      <c r="C237">
        <v>5310638</v>
      </c>
      <c r="D237" t="s">
        <v>1455</v>
      </c>
      <c r="E237" t="s">
        <v>1456</v>
      </c>
      <c r="F237" t="s">
        <v>1457</v>
      </c>
      <c r="G237" t="s">
        <v>1457</v>
      </c>
      <c r="H237" t="s">
        <v>1458</v>
      </c>
      <c r="J237" t="s">
        <v>195</v>
      </c>
      <c r="U237" t="s">
        <v>1459</v>
      </c>
      <c r="V237" t="s">
        <v>1385</v>
      </c>
      <c r="W237">
        <v>77838229194</v>
      </c>
      <c r="X237">
        <v>10077838029197</v>
      </c>
      <c r="Y237" t="s">
        <v>1311</v>
      </c>
      <c r="Z237" t="s">
        <v>1460</v>
      </c>
      <c r="AA237" t="s">
        <v>1179</v>
      </c>
      <c r="AB237" t="s">
        <v>900</v>
      </c>
      <c r="AC237" t="s">
        <v>288</v>
      </c>
      <c r="AD237" t="s">
        <v>600</v>
      </c>
      <c r="AE237" t="s">
        <v>235</v>
      </c>
      <c r="AF237" t="s">
        <v>185</v>
      </c>
      <c r="AG237">
        <v>392410.2</v>
      </c>
      <c r="AH237">
        <v>85</v>
      </c>
      <c r="AL237" t="s">
        <v>1083</v>
      </c>
      <c r="AM237" t="s">
        <v>1461</v>
      </c>
      <c r="AN237" t="s">
        <v>1457</v>
      </c>
      <c r="AT237" t="s">
        <v>1462</v>
      </c>
    </row>
    <row r="238" spans="1:96" x14ac:dyDescent="0.25">
      <c r="A238" t="s">
        <v>1463</v>
      </c>
      <c r="B238" t="e">
        <f>_xlfn.XLOOKUP(C238,'[1]Image URL'!$E:$E,'[1]Image URL'!$A:$A)</f>
        <v>#N/A</v>
      </c>
      <c r="C238">
        <v>4350325</v>
      </c>
      <c r="D238" t="s">
        <v>1465</v>
      </c>
      <c r="E238" t="s">
        <v>1466</v>
      </c>
      <c r="H238" t="s">
        <v>1467</v>
      </c>
      <c r="J238" t="s">
        <v>195</v>
      </c>
      <c r="U238" t="s">
        <v>1459</v>
      </c>
      <c r="V238" t="s">
        <v>1385</v>
      </c>
      <c r="W238">
        <v>77838812747</v>
      </c>
      <c r="X238">
        <v>10077838812744</v>
      </c>
      <c r="Y238" t="s">
        <v>1468</v>
      </c>
      <c r="Z238" t="s">
        <v>1469</v>
      </c>
      <c r="AA238" t="s">
        <v>597</v>
      </c>
      <c r="AB238" t="s">
        <v>425</v>
      </c>
      <c r="AC238" t="s">
        <v>466</v>
      </c>
      <c r="AD238" t="s">
        <v>446</v>
      </c>
      <c r="AE238" t="s">
        <v>268</v>
      </c>
      <c r="AF238" t="s">
        <v>235</v>
      </c>
      <c r="AG238">
        <v>392410.2</v>
      </c>
      <c r="AH238">
        <v>70</v>
      </c>
      <c r="AN238" t="s">
        <v>472</v>
      </c>
      <c r="AT238" t="s">
        <v>1467</v>
      </c>
    </row>
    <row r="239" spans="1:96" x14ac:dyDescent="0.25">
      <c r="A239" t="s">
        <v>1470</v>
      </c>
      <c r="B239" t="e">
        <f>_xlfn.XLOOKUP(C239,'[1]Image URL'!$E:$E,'[1]Image URL'!$A:$A)</f>
        <v>#N/A</v>
      </c>
      <c r="C239">
        <v>4373702</v>
      </c>
      <c r="D239" t="s">
        <v>1471</v>
      </c>
      <c r="E239" t="s">
        <v>1472</v>
      </c>
      <c r="F239" t="s">
        <v>364</v>
      </c>
      <c r="G239" t="s">
        <v>364</v>
      </c>
      <c r="H239" t="s">
        <v>201</v>
      </c>
      <c r="J239" t="s">
        <v>212</v>
      </c>
      <c r="M239" t="s">
        <v>1473</v>
      </c>
      <c r="T239" t="s">
        <v>1474</v>
      </c>
      <c r="U239" t="s">
        <v>584</v>
      </c>
      <c r="V239" t="s">
        <v>157</v>
      </c>
      <c r="W239">
        <v>77838209585</v>
      </c>
      <c r="X239">
        <v>10077838009588</v>
      </c>
      <c r="Y239" t="s">
        <v>659</v>
      </c>
      <c r="Z239" t="s">
        <v>1475</v>
      </c>
      <c r="AA239" t="s">
        <v>1476</v>
      </c>
      <c r="AB239" t="s">
        <v>472</v>
      </c>
      <c r="AC239" t="s">
        <v>715</v>
      </c>
      <c r="AD239" t="s">
        <v>1142</v>
      </c>
      <c r="AE239" t="s">
        <v>184</v>
      </c>
      <c r="AF239" t="s">
        <v>349</v>
      </c>
      <c r="AG239">
        <v>392410.4</v>
      </c>
      <c r="AH239">
        <v>85</v>
      </c>
      <c r="AL239" t="s">
        <v>1477</v>
      </c>
      <c r="AN239" t="s">
        <v>364</v>
      </c>
      <c r="BD239" t="s">
        <v>361</v>
      </c>
      <c r="CQ239" t="s">
        <v>1478</v>
      </c>
    </row>
    <row r="240" spans="1:96" x14ac:dyDescent="0.25">
      <c r="A240" t="s">
        <v>1479</v>
      </c>
      <c r="B240" t="e">
        <f>_xlfn.XLOOKUP(C240,'[1]Image URL'!$E:$E,'[1]Image URL'!$A:$A)</f>
        <v>#N/A</v>
      </c>
      <c r="C240">
        <v>4356025</v>
      </c>
      <c r="D240" t="s">
        <v>1480</v>
      </c>
      <c r="E240" t="s">
        <v>1481</v>
      </c>
      <c r="F240" t="s">
        <v>1482</v>
      </c>
      <c r="G240" t="s">
        <v>1482</v>
      </c>
      <c r="H240" t="s">
        <v>850</v>
      </c>
      <c r="I240" t="s">
        <v>194</v>
      </c>
      <c r="J240" t="s">
        <v>195</v>
      </c>
      <c r="U240" t="s">
        <v>196</v>
      </c>
      <c r="V240" t="s">
        <v>157</v>
      </c>
      <c r="W240">
        <v>77838216569</v>
      </c>
      <c r="X240">
        <v>10077838016562</v>
      </c>
      <c r="Y240" t="s">
        <v>659</v>
      </c>
      <c r="Z240" t="s">
        <v>1483</v>
      </c>
      <c r="AA240" t="s">
        <v>1484</v>
      </c>
      <c r="AB240" t="s">
        <v>1484</v>
      </c>
      <c r="AC240" t="s">
        <v>1485</v>
      </c>
      <c r="AD240" t="s">
        <v>446</v>
      </c>
      <c r="AE240" t="s">
        <v>184</v>
      </c>
      <c r="AF240" t="s">
        <v>302</v>
      </c>
      <c r="AG240">
        <v>392350</v>
      </c>
      <c r="AH240">
        <v>125</v>
      </c>
      <c r="AL240" t="s">
        <v>343</v>
      </c>
      <c r="AN240" t="s">
        <v>1482</v>
      </c>
      <c r="AO240" t="s">
        <v>1486</v>
      </c>
      <c r="CR240" t="s">
        <v>1487</v>
      </c>
    </row>
    <row r="241" spans="1:101" x14ac:dyDescent="0.25">
      <c r="A241" t="s">
        <v>1488</v>
      </c>
      <c r="B241" t="e">
        <f>_xlfn.XLOOKUP(C241,'[1]Image URL'!$E:$E,'[1]Image URL'!$A:$A)</f>
        <v>#N/A</v>
      </c>
      <c r="C241">
        <v>3300203</v>
      </c>
      <c r="D241" t="s">
        <v>1490</v>
      </c>
      <c r="E241" t="s">
        <v>1491</v>
      </c>
      <c r="H241" t="s">
        <v>1492</v>
      </c>
      <c r="J241" t="s">
        <v>195</v>
      </c>
      <c r="U241" t="s">
        <v>1459</v>
      </c>
      <c r="V241" t="s">
        <v>1385</v>
      </c>
      <c r="W241">
        <v>77838610909</v>
      </c>
      <c r="X241">
        <v>10077838110901</v>
      </c>
      <c r="Y241" t="s">
        <v>824</v>
      </c>
      <c r="Z241" t="s">
        <v>1493</v>
      </c>
      <c r="AA241" t="s">
        <v>994</v>
      </c>
      <c r="AB241" t="s">
        <v>994</v>
      </c>
      <c r="AC241" t="s">
        <v>192</v>
      </c>
      <c r="AD241" t="s">
        <v>301</v>
      </c>
      <c r="AE241" t="s">
        <v>184</v>
      </c>
      <c r="AF241" t="s">
        <v>164</v>
      </c>
      <c r="AG241">
        <v>392410.2</v>
      </c>
      <c r="AH241">
        <v>70</v>
      </c>
      <c r="AM241" t="s">
        <v>1494</v>
      </c>
      <c r="AN241" t="s">
        <v>1495</v>
      </c>
    </row>
    <row r="242" spans="1:101" x14ac:dyDescent="0.25">
      <c r="A242" t="s">
        <v>1496</v>
      </c>
      <c r="B242" t="e">
        <f>_xlfn.XLOOKUP(C242,'[1]Image URL'!$E:$E,'[1]Image URL'!$A:$A)</f>
        <v>#N/A</v>
      </c>
      <c r="C242">
        <v>5400552</v>
      </c>
      <c r="D242" t="s">
        <v>1497</v>
      </c>
      <c r="E242" t="s">
        <v>1498</v>
      </c>
      <c r="F242" t="s">
        <v>1499</v>
      </c>
      <c r="G242" t="s">
        <v>1499</v>
      </c>
      <c r="H242" t="s">
        <v>1500</v>
      </c>
      <c r="J242" t="s">
        <v>195</v>
      </c>
      <c r="U242" t="s">
        <v>1459</v>
      </c>
      <c r="V242" t="s">
        <v>1385</v>
      </c>
      <c r="W242">
        <v>77838295113</v>
      </c>
      <c r="X242">
        <v>10077838095116</v>
      </c>
      <c r="Y242" t="s">
        <v>1501</v>
      </c>
      <c r="Z242" t="s">
        <v>1266</v>
      </c>
      <c r="AA242" t="s">
        <v>994</v>
      </c>
      <c r="AB242" t="s">
        <v>836</v>
      </c>
      <c r="AC242" t="s">
        <v>332</v>
      </c>
      <c r="AD242" t="s">
        <v>669</v>
      </c>
      <c r="AE242" t="s">
        <v>1113</v>
      </c>
      <c r="AF242" t="s">
        <v>235</v>
      </c>
      <c r="AG242">
        <v>392410.2</v>
      </c>
      <c r="AH242">
        <v>60</v>
      </c>
      <c r="AL242" t="s">
        <v>1078</v>
      </c>
      <c r="AN242" t="s">
        <v>1499</v>
      </c>
      <c r="AT242" t="s">
        <v>1500</v>
      </c>
    </row>
    <row r="243" spans="1:101" x14ac:dyDescent="0.25">
      <c r="A243" t="s">
        <v>1502</v>
      </c>
      <c r="B243" t="e">
        <f>_xlfn.XLOOKUP(C243,'[1]Image URL'!$E:$E,'[1]Image URL'!$A:$A)</f>
        <v>#N/A</v>
      </c>
      <c r="C243">
        <v>5310537</v>
      </c>
      <c r="D243" t="s">
        <v>1504</v>
      </c>
      <c r="E243" t="s">
        <v>1466</v>
      </c>
      <c r="H243" t="s">
        <v>1467</v>
      </c>
      <c r="J243" t="s">
        <v>195</v>
      </c>
      <c r="U243" t="s">
        <v>1459</v>
      </c>
      <c r="V243" t="s">
        <v>1385</v>
      </c>
      <c r="W243">
        <v>77838235287</v>
      </c>
      <c r="X243">
        <v>10077838035280</v>
      </c>
      <c r="Y243" t="s">
        <v>1468</v>
      </c>
      <c r="Z243" t="s">
        <v>1469</v>
      </c>
      <c r="AA243" t="s">
        <v>597</v>
      </c>
      <c r="AB243" t="s">
        <v>425</v>
      </c>
      <c r="AC243" t="s">
        <v>466</v>
      </c>
      <c r="AD243" t="s">
        <v>446</v>
      </c>
      <c r="AE243" t="s">
        <v>268</v>
      </c>
      <c r="AF243" t="s">
        <v>235</v>
      </c>
      <c r="AG243">
        <v>392410.2</v>
      </c>
      <c r="AH243">
        <v>70</v>
      </c>
      <c r="AN243" t="s">
        <v>472</v>
      </c>
      <c r="AT243" t="s">
        <v>1467</v>
      </c>
    </row>
    <row r="244" spans="1:101" x14ac:dyDescent="0.25">
      <c r="A244" t="s">
        <v>1505</v>
      </c>
      <c r="B244" t="e">
        <f>_xlfn.XLOOKUP(C244,'[1]Image URL'!$E:$E,'[1]Image URL'!$A:$A)</f>
        <v>#N/A</v>
      </c>
      <c r="C244" t="s">
        <v>1888</v>
      </c>
      <c r="D244" t="s">
        <v>1506</v>
      </c>
      <c r="E244" t="s">
        <v>1507</v>
      </c>
      <c r="F244" t="s">
        <v>1374</v>
      </c>
      <c r="G244" t="s">
        <v>1374</v>
      </c>
      <c r="H244" t="s">
        <v>193</v>
      </c>
      <c r="J244" t="s">
        <v>195</v>
      </c>
      <c r="U244" t="s">
        <v>1459</v>
      </c>
      <c r="V244" t="s">
        <v>1385</v>
      </c>
      <c r="W244">
        <v>77838870808</v>
      </c>
      <c r="X244">
        <v>10077838870805</v>
      </c>
      <c r="Y244" t="s">
        <v>1508</v>
      </c>
      <c r="Z244" t="s">
        <v>1509</v>
      </c>
      <c r="AA244" t="s">
        <v>1510</v>
      </c>
      <c r="AB244" t="s">
        <v>1510</v>
      </c>
      <c r="AC244" t="s">
        <v>395</v>
      </c>
      <c r="AD244" t="s">
        <v>1390</v>
      </c>
      <c r="AE244" t="s">
        <v>184</v>
      </c>
      <c r="AF244" t="s">
        <v>315</v>
      </c>
      <c r="AG244">
        <v>392410.2</v>
      </c>
      <c r="AH244">
        <v>65</v>
      </c>
      <c r="AL244" t="s">
        <v>1511</v>
      </c>
    </row>
    <row r="245" spans="1:101" x14ac:dyDescent="0.25">
      <c r="A245" t="s">
        <v>1512</v>
      </c>
      <c r="B245" t="e">
        <f>_xlfn.XLOOKUP(C245,'[1]Image URL'!$E:$E,'[1]Image URL'!$A:$A)</f>
        <v>#N/A</v>
      </c>
      <c r="C245">
        <v>6402018</v>
      </c>
      <c r="D245" t="s">
        <v>1513</v>
      </c>
      <c r="E245" t="s">
        <v>1514</v>
      </c>
      <c r="F245" t="s">
        <v>1515</v>
      </c>
      <c r="G245" t="s">
        <v>1515</v>
      </c>
      <c r="H245" t="s">
        <v>1516</v>
      </c>
      <c r="J245" t="s">
        <v>195</v>
      </c>
      <c r="U245" t="s">
        <v>1459</v>
      </c>
      <c r="V245" t="s">
        <v>1385</v>
      </c>
      <c r="W245">
        <v>77838242582</v>
      </c>
      <c r="X245">
        <v>10077838142582</v>
      </c>
      <c r="Y245" t="s">
        <v>1517</v>
      </c>
      <c r="Z245" t="s">
        <v>1518</v>
      </c>
      <c r="AA245" t="s">
        <v>994</v>
      </c>
      <c r="AB245" t="s">
        <v>994</v>
      </c>
      <c r="AC245" t="s">
        <v>221</v>
      </c>
      <c r="AD245" t="s">
        <v>555</v>
      </c>
      <c r="AE245" t="s">
        <v>184</v>
      </c>
      <c r="AF245" t="s">
        <v>235</v>
      </c>
      <c r="AG245">
        <v>392410.2</v>
      </c>
      <c r="AH245">
        <v>70</v>
      </c>
      <c r="AL245" t="s">
        <v>1519</v>
      </c>
      <c r="AM245" t="s">
        <v>1520</v>
      </c>
      <c r="AN245" t="s">
        <v>1515</v>
      </c>
      <c r="AT245" t="s">
        <v>1516</v>
      </c>
    </row>
    <row r="246" spans="1:101" x14ac:dyDescent="0.25">
      <c r="A246" t="s">
        <v>1521</v>
      </c>
      <c r="B246" t="e">
        <f>_xlfn.XLOOKUP(C246,'[1]Image URL'!$E:$E,'[1]Image URL'!$A:$A)</f>
        <v>#N/A</v>
      </c>
      <c r="C246">
        <v>3303003</v>
      </c>
      <c r="D246" t="s">
        <v>1523</v>
      </c>
      <c r="E246" t="s">
        <v>1524</v>
      </c>
      <c r="F246" t="s">
        <v>1525</v>
      </c>
      <c r="G246" t="s">
        <v>1525</v>
      </c>
      <c r="H246" t="s">
        <v>1526</v>
      </c>
      <c r="J246" t="s">
        <v>195</v>
      </c>
      <c r="M246" t="s">
        <v>1527</v>
      </c>
      <c r="T246" t="s">
        <v>1528</v>
      </c>
      <c r="U246" t="s">
        <v>1459</v>
      </c>
      <c r="V246" t="s">
        <v>1385</v>
      </c>
      <c r="W246">
        <v>77838203446</v>
      </c>
      <c r="X246">
        <v>10077838003449</v>
      </c>
      <c r="Y246" t="s">
        <v>1529</v>
      </c>
      <c r="Z246" t="s">
        <v>1530</v>
      </c>
      <c r="AA246" t="s">
        <v>1531</v>
      </c>
      <c r="AB246" t="s">
        <v>1532</v>
      </c>
      <c r="AC246" t="s">
        <v>328</v>
      </c>
      <c r="AD246" t="s">
        <v>203</v>
      </c>
      <c r="AE246" t="s">
        <v>235</v>
      </c>
      <c r="AF246" t="s">
        <v>235</v>
      </c>
      <c r="AG246">
        <v>392410.2</v>
      </c>
      <c r="AH246">
        <v>125</v>
      </c>
      <c r="AL246" t="s">
        <v>1533</v>
      </c>
      <c r="CC246" t="s">
        <v>1525</v>
      </c>
      <c r="CQ246" t="s">
        <v>1534</v>
      </c>
    </row>
    <row r="247" spans="1:101" x14ac:dyDescent="0.25">
      <c r="A247" t="s">
        <v>1535</v>
      </c>
      <c r="B247" t="e">
        <f>_xlfn.XLOOKUP(C247,'[1]Image URL'!$E:$E,'[1]Image URL'!$A:$A)</f>
        <v>#N/A</v>
      </c>
      <c r="C247" t="s">
        <v>1897</v>
      </c>
      <c r="D247" t="s">
        <v>1536</v>
      </c>
      <c r="E247" t="s">
        <v>1537</v>
      </c>
      <c r="F247" t="s">
        <v>180</v>
      </c>
      <c r="G247" t="s">
        <v>1538</v>
      </c>
      <c r="H247" t="s">
        <v>1539</v>
      </c>
      <c r="U247" t="s">
        <v>1459</v>
      </c>
      <c r="V247" t="s">
        <v>1385</v>
      </c>
      <c r="W247">
        <v>77838887202</v>
      </c>
      <c r="X247">
        <v>10077838887209</v>
      </c>
      <c r="Y247" t="s">
        <v>1540</v>
      </c>
      <c r="Z247" t="s">
        <v>465</v>
      </c>
      <c r="AA247" t="s">
        <v>1541</v>
      </c>
      <c r="AB247" t="s">
        <v>532</v>
      </c>
      <c r="AC247" t="s">
        <v>333</v>
      </c>
      <c r="AD247" t="s">
        <v>1302</v>
      </c>
      <c r="AE247" t="s">
        <v>403</v>
      </c>
      <c r="AF247" t="s">
        <v>303</v>
      </c>
      <c r="AG247">
        <v>392410.2</v>
      </c>
      <c r="AH247">
        <v>65</v>
      </c>
      <c r="AL247" t="s">
        <v>1542</v>
      </c>
      <c r="CS247" t="s">
        <v>1543</v>
      </c>
      <c r="CT247" t="s">
        <v>1544</v>
      </c>
      <c r="CU247" t="s">
        <v>180</v>
      </c>
      <c r="CV247" t="s">
        <v>1545</v>
      </c>
    </row>
    <row r="248" spans="1:101" x14ac:dyDescent="0.25">
      <c r="A248" t="s">
        <v>1546</v>
      </c>
      <c r="B248" t="e">
        <f>_xlfn.XLOOKUP(C248,'[1]Image URL'!$E:$E,'[1]Image URL'!$A:$A)</f>
        <v>#N/A</v>
      </c>
      <c r="C248" t="s">
        <v>1900</v>
      </c>
      <c r="D248" t="s">
        <v>1547</v>
      </c>
      <c r="E248" t="s">
        <v>1548</v>
      </c>
      <c r="H248" t="s">
        <v>1549</v>
      </c>
      <c r="J248" t="s">
        <v>195</v>
      </c>
      <c r="U248" t="s">
        <v>1459</v>
      </c>
      <c r="V248" t="s">
        <v>1385</v>
      </c>
      <c r="W248">
        <v>77838201893</v>
      </c>
      <c r="X248">
        <v>10077838101893</v>
      </c>
      <c r="Y248" t="s">
        <v>1550</v>
      </c>
      <c r="Z248" t="s">
        <v>1551</v>
      </c>
      <c r="AA248" t="s">
        <v>807</v>
      </c>
      <c r="AB248" t="s">
        <v>1178</v>
      </c>
      <c r="AC248" t="s">
        <v>549</v>
      </c>
      <c r="AD248" t="s">
        <v>1552</v>
      </c>
      <c r="AE248" t="s">
        <v>349</v>
      </c>
      <c r="AF248" t="s">
        <v>164</v>
      </c>
      <c r="AG248">
        <v>392410.2</v>
      </c>
      <c r="AH248">
        <v>65</v>
      </c>
      <c r="AN248" t="s">
        <v>1553</v>
      </c>
      <c r="AT248" t="s">
        <v>1549</v>
      </c>
    </row>
    <row r="249" spans="1:101" x14ac:dyDescent="0.25">
      <c r="A249" t="s">
        <v>1554</v>
      </c>
      <c r="B249" t="e">
        <f>_xlfn.XLOOKUP(C249,'[1]Image URL'!$E:$E,'[1]Image URL'!$A:$A)</f>
        <v>#N/A</v>
      </c>
      <c r="C249" t="s">
        <v>1908</v>
      </c>
      <c r="D249" t="s">
        <v>1555</v>
      </c>
      <c r="E249" t="s">
        <v>1556</v>
      </c>
      <c r="F249" t="s">
        <v>1557</v>
      </c>
      <c r="G249" t="s">
        <v>1557</v>
      </c>
      <c r="H249" t="s">
        <v>1558</v>
      </c>
      <c r="J249" t="s">
        <v>195</v>
      </c>
      <c r="U249" t="s">
        <v>1459</v>
      </c>
      <c r="V249" t="s">
        <v>1385</v>
      </c>
      <c r="W249">
        <v>77838822722</v>
      </c>
      <c r="X249">
        <v>10077838822729</v>
      </c>
      <c r="Y249" t="s">
        <v>1559</v>
      </c>
      <c r="Z249" t="s">
        <v>1560</v>
      </c>
      <c r="AA249" t="s">
        <v>522</v>
      </c>
      <c r="AB249" t="s">
        <v>1561</v>
      </c>
      <c r="AC249" t="s">
        <v>953</v>
      </c>
      <c r="AD249" t="s">
        <v>1562</v>
      </c>
      <c r="AE249" t="s">
        <v>184</v>
      </c>
      <c r="AF249" t="s">
        <v>268</v>
      </c>
      <c r="AG249">
        <v>392410.2</v>
      </c>
      <c r="AH249">
        <v>65</v>
      </c>
      <c r="AL249" t="s">
        <v>1563</v>
      </c>
      <c r="AN249" t="s">
        <v>1557</v>
      </c>
      <c r="AT249" t="s">
        <v>1558</v>
      </c>
    </row>
    <row r="250" spans="1:101" x14ac:dyDescent="0.25">
      <c r="A250" t="s">
        <v>1564</v>
      </c>
      <c r="B250" t="e">
        <f>_xlfn.XLOOKUP(C250,'[1]Image URL'!$E:$E,'[1]Image URL'!$A:$A)</f>
        <v>#N/A</v>
      </c>
      <c r="C250">
        <v>691407</v>
      </c>
      <c r="D250" t="s">
        <v>1565</v>
      </c>
      <c r="E250" t="s">
        <v>1566</v>
      </c>
      <c r="H250" t="s">
        <v>1567</v>
      </c>
      <c r="J250" t="s">
        <v>195</v>
      </c>
      <c r="U250" t="s">
        <v>1459</v>
      </c>
      <c r="V250" t="s">
        <v>1385</v>
      </c>
      <c r="W250">
        <v>77838869932</v>
      </c>
      <c r="X250">
        <v>10077838869939</v>
      </c>
      <c r="Y250" t="s">
        <v>1568</v>
      </c>
      <c r="Z250" t="s">
        <v>1560</v>
      </c>
      <c r="AA250" t="s">
        <v>472</v>
      </c>
      <c r="AB250" t="s">
        <v>472</v>
      </c>
      <c r="AC250" t="s">
        <v>188</v>
      </c>
      <c r="AD250" t="s">
        <v>1569</v>
      </c>
      <c r="AE250" t="s">
        <v>507</v>
      </c>
      <c r="AF250" t="s">
        <v>268</v>
      </c>
      <c r="AG250">
        <v>392410.2</v>
      </c>
      <c r="AH250">
        <v>65</v>
      </c>
      <c r="AN250" t="s">
        <v>1570</v>
      </c>
      <c r="CW250" t="s">
        <v>1571</v>
      </c>
    </row>
    <row r="251" spans="1:101" x14ac:dyDescent="0.25">
      <c r="A251" t="s">
        <v>1572</v>
      </c>
      <c r="B251" t="e">
        <f>_xlfn.XLOOKUP(C251,'[1]Image URL'!$E:$E,'[1]Image URL'!$A:$A)</f>
        <v>#N/A</v>
      </c>
      <c r="C251" t="s">
        <v>1924</v>
      </c>
      <c r="D251" t="s">
        <v>1573</v>
      </c>
      <c r="E251" t="s">
        <v>1574</v>
      </c>
      <c r="F251" t="s">
        <v>578</v>
      </c>
      <c r="G251" t="s">
        <v>578</v>
      </c>
      <c r="H251" t="s">
        <v>1575</v>
      </c>
      <c r="J251" t="s">
        <v>195</v>
      </c>
      <c r="M251" t="s">
        <v>1576</v>
      </c>
      <c r="T251" t="s">
        <v>1577</v>
      </c>
      <c r="U251" t="s">
        <v>1459</v>
      </c>
      <c r="V251" t="s">
        <v>1385</v>
      </c>
      <c r="W251">
        <v>77838888070</v>
      </c>
      <c r="X251">
        <v>10077838888077</v>
      </c>
      <c r="Y251" t="s">
        <v>1578</v>
      </c>
      <c r="Z251" t="s">
        <v>1579</v>
      </c>
      <c r="AA251" t="s">
        <v>475</v>
      </c>
      <c r="AB251" t="s">
        <v>859</v>
      </c>
      <c r="AC251" t="s">
        <v>1580</v>
      </c>
      <c r="AD251" t="s">
        <v>301</v>
      </c>
      <c r="AE251" t="s">
        <v>184</v>
      </c>
      <c r="AF251" t="s">
        <v>164</v>
      </c>
      <c r="AG251">
        <v>392410.2</v>
      </c>
      <c r="AH251">
        <v>65</v>
      </c>
      <c r="AL251" t="s">
        <v>1581</v>
      </c>
      <c r="BH251" t="s">
        <v>578</v>
      </c>
      <c r="BI251" t="s">
        <v>242</v>
      </c>
      <c r="CQ251" t="s">
        <v>965</v>
      </c>
    </row>
    <row r="252" spans="1:101" x14ac:dyDescent="0.25">
      <c r="A252" t="s">
        <v>1582</v>
      </c>
      <c r="B252" t="e">
        <f>_xlfn.XLOOKUP(C252,'[1]Image URL'!$E:$E,'[1]Image URL'!$A:$A)</f>
        <v>#N/A</v>
      </c>
      <c r="C252">
        <v>5300502</v>
      </c>
      <c r="D252" t="s">
        <v>1583</v>
      </c>
      <c r="E252" t="s">
        <v>1584</v>
      </c>
      <c r="H252" t="s">
        <v>1585</v>
      </c>
      <c r="J252" t="s">
        <v>195</v>
      </c>
      <c r="U252" t="s">
        <v>1459</v>
      </c>
      <c r="V252" t="s">
        <v>1385</v>
      </c>
      <c r="W252">
        <v>77838823637</v>
      </c>
      <c r="X252">
        <v>10077838823634</v>
      </c>
      <c r="Y252" t="s">
        <v>1586</v>
      </c>
      <c r="Z252" t="s">
        <v>1587</v>
      </c>
      <c r="AA252" t="s">
        <v>807</v>
      </c>
      <c r="AB252" t="s">
        <v>995</v>
      </c>
      <c r="AC252" t="s">
        <v>530</v>
      </c>
      <c r="AD252" t="s">
        <v>245</v>
      </c>
      <c r="AE252" t="s">
        <v>349</v>
      </c>
      <c r="AF252" t="s">
        <v>185</v>
      </c>
      <c r="AG252">
        <v>392410.2</v>
      </c>
      <c r="AH252">
        <v>65</v>
      </c>
      <c r="AM252" t="s">
        <v>1588</v>
      </c>
      <c r="AN252" t="s">
        <v>1589</v>
      </c>
      <c r="AT252" t="s">
        <v>1585</v>
      </c>
    </row>
    <row r="253" spans="1:101" x14ac:dyDescent="0.25">
      <c r="A253" t="s">
        <v>1590</v>
      </c>
      <c r="B253" t="e">
        <f>_xlfn.XLOOKUP(C253,'[1]Image URL'!$E:$E,'[1]Image URL'!$A:$A)</f>
        <v>#N/A</v>
      </c>
      <c r="C253" t="s">
        <v>1936</v>
      </c>
      <c r="D253" t="s">
        <v>1592</v>
      </c>
      <c r="E253" t="s">
        <v>1593</v>
      </c>
      <c r="H253" t="s">
        <v>1594</v>
      </c>
      <c r="J253" t="s">
        <v>195</v>
      </c>
      <c r="U253" t="s">
        <v>1459</v>
      </c>
      <c r="V253" t="s">
        <v>1385</v>
      </c>
      <c r="W253">
        <v>77838812877</v>
      </c>
      <c r="X253">
        <v>10077838812874</v>
      </c>
      <c r="Y253" t="s">
        <v>1595</v>
      </c>
      <c r="Z253" t="s">
        <v>1596</v>
      </c>
      <c r="AA253" t="s">
        <v>523</v>
      </c>
      <c r="AB253" t="s">
        <v>991</v>
      </c>
      <c r="AC253" t="s">
        <v>472</v>
      </c>
      <c r="AD253" t="s">
        <v>975</v>
      </c>
      <c r="AE253" t="s">
        <v>507</v>
      </c>
      <c r="AF253" t="s">
        <v>164</v>
      </c>
      <c r="AG253">
        <v>392410.2</v>
      </c>
      <c r="AH253">
        <v>70</v>
      </c>
      <c r="AM253" t="s">
        <v>1597</v>
      </c>
      <c r="AN253" t="s">
        <v>915</v>
      </c>
    </row>
    <row r="254" spans="1:101" x14ac:dyDescent="0.25">
      <c r="A254" t="s">
        <v>1598</v>
      </c>
      <c r="B254" t="e">
        <f>_xlfn.XLOOKUP(C254,'[1]Image URL'!$E:$E,'[1]Image URL'!$A:$A)</f>
        <v>#N/A</v>
      </c>
      <c r="C254">
        <v>5300202</v>
      </c>
      <c r="D254" t="s">
        <v>1599</v>
      </c>
      <c r="E254" t="s">
        <v>1507</v>
      </c>
      <c r="F254" t="s">
        <v>188</v>
      </c>
      <c r="G254" t="s">
        <v>188</v>
      </c>
      <c r="H254" t="s">
        <v>1600</v>
      </c>
      <c r="J254" t="s">
        <v>195</v>
      </c>
      <c r="U254" t="s">
        <v>1459</v>
      </c>
      <c r="V254" t="s">
        <v>1385</v>
      </c>
      <c r="W254">
        <v>77838873137</v>
      </c>
      <c r="X254">
        <v>10077838873134</v>
      </c>
      <c r="Y254" t="s">
        <v>1601</v>
      </c>
      <c r="Z254" t="s">
        <v>680</v>
      </c>
      <c r="AA254" t="s">
        <v>1602</v>
      </c>
      <c r="AB254" t="s">
        <v>1602</v>
      </c>
      <c r="AC254" t="s">
        <v>346</v>
      </c>
      <c r="AD254" t="s">
        <v>234</v>
      </c>
      <c r="AE254" t="s">
        <v>204</v>
      </c>
      <c r="AF254" t="s">
        <v>315</v>
      </c>
      <c r="AG254">
        <v>392410.2</v>
      </c>
      <c r="AH254">
        <v>65</v>
      </c>
      <c r="AL254" t="s">
        <v>1603</v>
      </c>
      <c r="AN254" t="s">
        <v>329</v>
      </c>
    </row>
    <row r="255" spans="1:101" x14ac:dyDescent="0.25">
      <c r="A255" t="s">
        <v>1604</v>
      </c>
      <c r="B255" t="e">
        <f>_xlfn.XLOOKUP(C255,'[1]Image URL'!$E:$E,'[1]Image URL'!$A:$A)</f>
        <v>#N/A</v>
      </c>
      <c r="C255">
        <v>3301609</v>
      </c>
      <c r="D255" t="s">
        <v>1606</v>
      </c>
      <c r="E255" t="s">
        <v>1607</v>
      </c>
      <c r="F255" t="s">
        <v>1608</v>
      </c>
      <c r="G255" t="s">
        <v>1609</v>
      </c>
      <c r="H255" t="s">
        <v>1610</v>
      </c>
      <c r="J255" t="s">
        <v>195</v>
      </c>
      <c r="U255" t="s">
        <v>1459</v>
      </c>
      <c r="V255" t="s">
        <v>1385</v>
      </c>
      <c r="W255">
        <v>77838812839</v>
      </c>
      <c r="X255">
        <v>10077838812836</v>
      </c>
      <c r="Y255" t="s">
        <v>1611</v>
      </c>
      <c r="Z255" t="s">
        <v>1612</v>
      </c>
      <c r="AA255" t="s">
        <v>421</v>
      </c>
      <c r="AB255" t="s">
        <v>990</v>
      </c>
      <c r="AC255" t="s">
        <v>188</v>
      </c>
      <c r="AD255" t="s">
        <v>1613</v>
      </c>
      <c r="AE255" t="s">
        <v>1319</v>
      </c>
      <c r="AF255" t="s">
        <v>185</v>
      </c>
      <c r="AG255">
        <v>392410.2</v>
      </c>
      <c r="AH255">
        <v>70</v>
      </c>
    </row>
    <row r="256" spans="1:101" x14ac:dyDescent="0.25">
      <c r="A256" t="s">
        <v>1614</v>
      </c>
      <c r="B256" t="e">
        <f>_xlfn.XLOOKUP(C256,'[1]Image URL'!$E:$E,'[1]Image URL'!$A:$A)</f>
        <v>#N/A</v>
      </c>
      <c r="C256" t="s">
        <v>1953</v>
      </c>
      <c r="D256" t="s">
        <v>1615</v>
      </c>
      <c r="E256" t="s">
        <v>1537</v>
      </c>
      <c r="F256" t="s">
        <v>1616</v>
      </c>
      <c r="G256" t="s">
        <v>1617</v>
      </c>
      <c r="H256" t="s">
        <v>848</v>
      </c>
      <c r="U256" t="s">
        <v>1459</v>
      </c>
      <c r="V256" t="s">
        <v>1385</v>
      </c>
      <c r="W256">
        <v>77838887226</v>
      </c>
      <c r="X256">
        <v>10077838887223</v>
      </c>
      <c r="Y256" t="s">
        <v>1618</v>
      </c>
      <c r="Z256" t="s">
        <v>1192</v>
      </c>
      <c r="AA256" t="s">
        <v>1619</v>
      </c>
      <c r="AB256" t="s">
        <v>1620</v>
      </c>
      <c r="AC256" t="s">
        <v>1107</v>
      </c>
      <c r="AD256" t="s">
        <v>1621</v>
      </c>
      <c r="AE256" t="s">
        <v>235</v>
      </c>
      <c r="AF256" t="s">
        <v>315</v>
      </c>
      <c r="AG256">
        <v>392410.2</v>
      </c>
      <c r="AH256">
        <v>70</v>
      </c>
      <c r="AL256" t="s">
        <v>1622</v>
      </c>
      <c r="CS256" t="s">
        <v>1623</v>
      </c>
      <c r="CT256" t="s">
        <v>1624</v>
      </c>
      <c r="CU256" t="s">
        <v>1625</v>
      </c>
      <c r="CV256" t="s">
        <v>1617</v>
      </c>
    </row>
    <row r="257" spans="1:102" x14ac:dyDescent="0.25">
      <c r="A257" t="s">
        <v>1626</v>
      </c>
      <c r="B257" t="e">
        <f>_xlfn.XLOOKUP(C257,'[1]Image URL'!$E:$E,'[1]Image URL'!$A:$A)</f>
        <v>#N/A</v>
      </c>
      <c r="C257">
        <v>6400106</v>
      </c>
      <c r="D257" t="s">
        <v>1628</v>
      </c>
      <c r="E257" t="s">
        <v>1629</v>
      </c>
      <c r="H257" t="s">
        <v>1630</v>
      </c>
      <c r="J257" t="s">
        <v>195</v>
      </c>
      <c r="U257" t="s">
        <v>1459</v>
      </c>
      <c r="V257" t="s">
        <v>1385</v>
      </c>
      <c r="W257">
        <v>77838211175</v>
      </c>
      <c r="X257">
        <v>10077838111175</v>
      </c>
      <c r="Y257" t="s">
        <v>423</v>
      </c>
      <c r="Z257" t="s">
        <v>1631</v>
      </c>
      <c r="AA257" t="s">
        <v>1632</v>
      </c>
      <c r="AB257" t="s">
        <v>1633</v>
      </c>
      <c r="AC257" t="s">
        <v>228</v>
      </c>
      <c r="AD257" t="s">
        <v>1634</v>
      </c>
      <c r="AE257" t="s">
        <v>1635</v>
      </c>
      <c r="AF257" t="s">
        <v>185</v>
      </c>
      <c r="AG257">
        <v>392410.2</v>
      </c>
      <c r="AH257">
        <v>60</v>
      </c>
      <c r="AN257" t="s">
        <v>1636</v>
      </c>
      <c r="AT257" t="s">
        <v>1630</v>
      </c>
    </row>
    <row r="258" spans="1:102" x14ac:dyDescent="0.25">
      <c r="A258" t="s">
        <v>1637</v>
      </c>
      <c r="B258" t="e">
        <f>_xlfn.XLOOKUP(C258,'[1]Image URL'!$E:$E,'[1]Image URL'!$A:$A)</f>
        <v>#N/A</v>
      </c>
      <c r="C258">
        <v>4381302</v>
      </c>
      <c r="D258" t="s">
        <v>1638</v>
      </c>
      <c r="E258" t="s">
        <v>1639</v>
      </c>
      <c r="F258" t="s">
        <v>1640</v>
      </c>
      <c r="G258" t="s">
        <v>1640</v>
      </c>
      <c r="H258" t="s">
        <v>1641</v>
      </c>
      <c r="J258" t="s">
        <v>195</v>
      </c>
      <c r="U258" t="s">
        <v>1459</v>
      </c>
      <c r="V258" t="s">
        <v>1385</v>
      </c>
      <c r="W258">
        <v>77838210680</v>
      </c>
      <c r="X258">
        <v>10077838110680</v>
      </c>
      <c r="Y258" t="s">
        <v>1642</v>
      </c>
      <c r="Z258" t="s">
        <v>1643</v>
      </c>
      <c r="AA258" t="s">
        <v>192</v>
      </c>
      <c r="AB258" t="s">
        <v>192</v>
      </c>
      <c r="AC258" t="s">
        <v>836</v>
      </c>
      <c r="AD258" t="s">
        <v>1644</v>
      </c>
      <c r="AE258" t="s">
        <v>204</v>
      </c>
      <c r="AF258" t="s">
        <v>268</v>
      </c>
      <c r="AG258">
        <v>392410.2</v>
      </c>
      <c r="AH258">
        <v>70</v>
      </c>
      <c r="AL258" t="s">
        <v>1645</v>
      </c>
      <c r="AM258" t="s">
        <v>1646</v>
      </c>
      <c r="AN258" t="s">
        <v>1640</v>
      </c>
      <c r="AT258" t="s">
        <v>1641</v>
      </c>
    </row>
    <row r="259" spans="1:102" x14ac:dyDescent="0.25">
      <c r="A259" t="s">
        <v>1647</v>
      </c>
      <c r="B259" t="e">
        <f>_xlfn.XLOOKUP(C259,'[1]Image URL'!$E:$E,'[1]Image URL'!$A:$A)</f>
        <v>#N/A</v>
      </c>
      <c r="C259">
        <v>5300780</v>
      </c>
      <c r="D259" t="s">
        <v>1648</v>
      </c>
      <c r="E259" t="s">
        <v>1649</v>
      </c>
      <c r="F259" t="s">
        <v>211</v>
      </c>
      <c r="G259" t="s">
        <v>211</v>
      </c>
      <c r="H259" t="s">
        <v>1650</v>
      </c>
      <c r="J259" t="s">
        <v>195</v>
      </c>
      <c r="U259" t="s">
        <v>1459</v>
      </c>
      <c r="V259" t="s">
        <v>1385</v>
      </c>
      <c r="W259">
        <v>77838822906</v>
      </c>
      <c r="X259">
        <v>10077838822903</v>
      </c>
      <c r="Y259" t="s">
        <v>1651</v>
      </c>
      <c r="Z259" t="s">
        <v>1652</v>
      </c>
      <c r="AA259" t="s">
        <v>542</v>
      </c>
      <c r="AB259" t="s">
        <v>329</v>
      </c>
      <c r="AC259" t="s">
        <v>192</v>
      </c>
      <c r="AD259" t="s">
        <v>183</v>
      </c>
      <c r="AE259" t="s">
        <v>184</v>
      </c>
      <c r="AF259" t="s">
        <v>185</v>
      </c>
      <c r="AG259">
        <v>392410.2</v>
      </c>
      <c r="AH259">
        <v>60</v>
      </c>
      <c r="AL259" t="s">
        <v>1653</v>
      </c>
      <c r="AN259" t="s">
        <v>594</v>
      </c>
      <c r="AT259" t="s">
        <v>1650</v>
      </c>
    </row>
    <row r="260" spans="1:102" x14ac:dyDescent="0.25">
      <c r="A260" t="s">
        <v>1654</v>
      </c>
      <c r="B260" t="e">
        <f>_xlfn.XLOOKUP(C260,'[1]Image URL'!$E:$E,'[1]Image URL'!$A:$A)</f>
        <v>#N/A</v>
      </c>
      <c r="C260">
        <v>742002</v>
      </c>
      <c r="D260" t="s">
        <v>1655</v>
      </c>
      <c r="E260" t="s">
        <v>1656</v>
      </c>
      <c r="F260" t="s">
        <v>1657</v>
      </c>
      <c r="G260" t="s">
        <v>1657</v>
      </c>
      <c r="H260" t="s">
        <v>1658</v>
      </c>
      <c r="J260" t="s">
        <v>195</v>
      </c>
      <c r="U260" t="s">
        <v>1459</v>
      </c>
      <c r="V260" t="s">
        <v>1385</v>
      </c>
      <c r="W260">
        <v>77838822777</v>
      </c>
      <c r="X260">
        <v>10077838822774</v>
      </c>
      <c r="Y260" t="s">
        <v>1659</v>
      </c>
      <c r="Z260" t="s">
        <v>241</v>
      </c>
      <c r="AA260" t="s">
        <v>657</v>
      </c>
      <c r="AB260" t="s">
        <v>1371</v>
      </c>
      <c r="AC260" t="s">
        <v>836</v>
      </c>
      <c r="AD260" t="s">
        <v>301</v>
      </c>
      <c r="AE260" t="s">
        <v>349</v>
      </c>
      <c r="AF260" t="s">
        <v>235</v>
      </c>
      <c r="AG260">
        <v>392410.2</v>
      </c>
      <c r="AH260">
        <v>65</v>
      </c>
      <c r="AL260" t="s">
        <v>1660</v>
      </c>
      <c r="AN260" t="s">
        <v>1657</v>
      </c>
      <c r="AT260" t="s">
        <v>1658</v>
      </c>
    </row>
    <row r="261" spans="1:102" x14ac:dyDescent="0.25">
      <c r="A261" t="s">
        <v>1661</v>
      </c>
      <c r="B261" t="e">
        <f>_xlfn.XLOOKUP(C261,'[1]Image URL'!$E:$E,'[1]Image URL'!$A:$A)</f>
        <v>#N/A</v>
      </c>
      <c r="C261">
        <v>3300814</v>
      </c>
      <c r="D261" t="s">
        <v>1663</v>
      </c>
      <c r="E261" t="s">
        <v>1664</v>
      </c>
      <c r="F261" t="s">
        <v>965</v>
      </c>
      <c r="G261" t="s">
        <v>965</v>
      </c>
      <c r="H261" t="s">
        <v>1665</v>
      </c>
      <c r="J261" t="s">
        <v>195</v>
      </c>
      <c r="M261" t="s">
        <v>1666</v>
      </c>
      <c r="T261" t="s">
        <v>1269</v>
      </c>
      <c r="U261" t="s">
        <v>1459</v>
      </c>
      <c r="V261" t="s">
        <v>1385</v>
      </c>
      <c r="W261">
        <v>77838870983</v>
      </c>
      <c r="X261">
        <v>10077838870980</v>
      </c>
      <c r="Y261" t="s">
        <v>1667</v>
      </c>
      <c r="Z261" t="s">
        <v>1643</v>
      </c>
      <c r="AA261" t="s">
        <v>991</v>
      </c>
      <c r="AB261" t="s">
        <v>991</v>
      </c>
      <c r="AC261" t="s">
        <v>1432</v>
      </c>
      <c r="AD261" t="s">
        <v>1668</v>
      </c>
      <c r="AE261" t="s">
        <v>184</v>
      </c>
      <c r="AF261" t="s">
        <v>403</v>
      </c>
      <c r="AG261">
        <v>392410.2</v>
      </c>
      <c r="AH261">
        <v>70</v>
      </c>
      <c r="AL261" t="s">
        <v>1669</v>
      </c>
    </row>
    <row r="262" spans="1:102" x14ac:dyDescent="0.25">
      <c r="A262" t="s">
        <v>1670</v>
      </c>
      <c r="B262" t="e">
        <f>_xlfn.XLOOKUP(C262,'[1]Image URL'!$E:$E,'[1]Image URL'!$A:$A)</f>
        <v>#N/A</v>
      </c>
      <c r="C262" t="s">
        <v>1986</v>
      </c>
      <c r="D262" t="s">
        <v>1671</v>
      </c>
      <c r="E262" t="s">
        <v>1507</v>
      </c>
      <c r="F262" t="s">
        <v>1672</v>
      </c>
      <c r="G262" t="s">
        <v>1672</v>
      </c>
      <c r="H262" t="s">
        <v>1567</v>
      </c>
      <c r="J262" t="s">
        <v>195</v>
      </c>
      <c r="U262" t="s">
        <v>1459</v>
      </c>
      <c r="V262" t="s">
        <v>1385</v>
      </c>
      <c r="W262">
        <v>77838870358</v>
      </c>
      <c r="X262">
        <v>10077838870355</v>
      </c>
      <c r="Y262" t="s">
        <v>1673</v>
      </c>
      <c r="Z262" t="s">
        <v>1652</v>
      </c>
      <c r="AA262" t="s">
        <v>668</v>
      </c>
      <c r="AB262" t="s">
        <v>668</v>
      </c>
      <c r="AC262" t="s">
        <v>1674</v>
      </c>
      <c r="AD262" t="s">
        <v>555</v>
      </c>
      <c r="AE262" t="s">
        <v>315</v>
      </c>
      <c r="AF262" t="s">
        <v>268</v>
      </c>
      <c r="AG262">
        <v>392410.2</v>
      </c>
      <c r="AH262">
        <v>65</v>
      </c>
      <c r="AL262" t="s">
        <v>1675</v>
      </c>
      <c r="AN262" t="s">
        <v>451</v>
      </c>
      <c r="CW262" t="s">
        <v>1571</v>
      </c>
    </row>
    <row r="263" spans="1:102" x14ac:dyDescent="0.25">
      <c r="A263" t="s">
        <v>1676</v>
      </c>
      <c r="B263" t="e">
        <f>_xlfn.XLOOKUP(C263,'[1]Image URL'!$E:$E,'[1]Image URL'!$A:$A)</f>
        <v>#N/A</v>
      </c>
      <c r="C263">
        <v>793403</v>
      </c>
      <c r="D263" t="s">
        <v>1677</v>
      </c>
      <c r="E263" t="s">
        <v>1678</v>
      </c>
      <c r="F263" t="s">
        <v>1679</v>
      </c>
      <c r="G263" t="s">
        <v>1679</v>
      </c>
      <c r="H263" t="s">
        <v>1423</v>
      </c>
      <c r="J263" t="s">
        <v>195</v>
      </c>
      <c r="U263" t="s">
        <v>1459</v>
      </c>
      <c r="V263" t="s">
        <v>1385</v>
      </c>
      <c r="W263">
        <v>77838210734</v>
      </c>
      <c r="X263">
        <v>10077838110734</v>
      </c>
      <c r="Y263" t="s">
        <v>1680</v>
      </c>
      <c r="Z263" t="s">
        <v>408</v>
      </c>
      <c r="AA263" t="s">
        <v>161</v>
      </c>
      <c r="AB263" t="s">
        <v>766</v>
      </c>
      <c r="AC263" t="s">
        <v>549</v>
      </c>
      <c r="AD263" t="s">
        <v>1681</v>
      </c>
      <c r="AE263" t="s">
        <v>204</v>
      </c>
      <c r="AF263" t="s">
        <v>403</v>
      </c>
      <c r="AG263">
        <v>392410.2</v>
      </c>
      <c r="AH263">
        <v>65</v>
      </c>
      <c r="AL263" t="s">
        <v>1682</v>
      </c>
      <c r="AM263" t="s">
        <v>1683</v>
      </c>
      <c r="AN263" t="s">
        <v>1679</v>
      </c>
      <c r="AT263" t="s">
        <v>1423</v>
      </c>
    </row>
    <row r="264" spans="1:102" x14ac:dyDescent="0.25">
      <c r="A264" t="s">
        <v>1684</v>
      </c>
      <c r="B264" t="e">
        <f>_xlfn.XLOOKUP(C264,'[1]Image URL'!$E:$E,'[1]Image URL'!$A:$A)</f>
        <v>#N/A</v>
      </c>
      <c r="C264">
        <v>3301042</v>
      </c>
      <c r="D264" t="s">
        <v>1685</v>
      </c>
      <c r="E264" t="s">
        <v>1507</v>
      </c>
      <c r="F264" t="s">
        <v>1374</v>
      </c>
      <c r="G264" t="s">
        <v>1374</v>
      </c>
      <c r="H264" t="s">
        <v>193</v>
      </c>
      <c r="J264" t="s">
        <v>195</v>
      </c>
      <c r="U264" t="s">
        <v>1459</v>
      </c>
      <c r="V264" t="s">
        <v>1385</v>
      </c>
      <c r="W264">
        <v>77838870792</v>
      </c>
      <c r="X264">
        <v>10077838870799</v>
      </c>
      <c r="Y264" t="s">
        <v>1508</v>
      </c>
      <c r="Z264" t="s">
        <v>1509</v>
      </c>
      <c r="AA264" t="s">
        <v>1510</v>
      </c>
      <c r="AB264" t="s">
        <v>1510</v>
      </c>
      <c r="AC264" t="s">
        <v>395</v>
      </c>
      <c r="AD264" t="s">
        <v>1390</v>
      </c>
      <c r="AE264" t="s">
        <v>184</v>
      </c>
      <c r="AF264" t="s">
        <v>315</v>
      </c>
      <c r="AG264">
        <v>392410.2</v>
      </c>
      <c r="AH264">
        <v>65</v>
      </c>
      <c r="AL264" t="s">
        <v>1511</v>
      </c>
    </row>
    <row r="265" spans="1:102" x14ac:dyDescent="0.25">
      <c r="A265" t="s">
        <v>1686</v>
      </c>
      <c r="B265" t="e">
        <f>_xlfn.XLOOKUP(C265,'[1]Image URL'!$E:$E,'[1]Image URL'!$A:$A)</f>
        <v>#N/A</v>
      </c>
      <c r="C265">
        <v>4380302</v>
      </c>
      <c r="D265" t="s">
        <v>1687</v>
      </c>
      <c r="E265" t="s">
        <v>1688</v>
      </c>
      <c r="F265" t="s">
        <v>211</v>
      </c>
      <c r="G265" t="s">
        <v>211</v>
      </c>
      <c r="H265" t="s">
        <v>1650</v>
      </c>
      <c r="J265" t="s">
        <v>195</v>
      </c>
      <c r="U265" t="s">
        <v>1459</v>
      </c>
      <c r="V265" t="s">
        <v>1385</v>
      </c>
      <c r="W265">
        <v>77838822852</v>
      </c>
      <c r="X265">
        <v>10077838822859</v>
      </c>
      <c r="Y265" t="s">
        <v>1689</v>
      </c>
      <c r="Z265" t="s">
        <v>1690</v>
      </c>
      <c r="AA265" t="s">
        <v>1691</v>
      </c>
      <c r="AB265" t="s">
        <v>1692</v>
      </c>
      <c r="AC265" t="s">
        <v>866</v>
      </c>
      <c r="AD265" t="s">
        <v>402</v>
      </c>
      <c r="AE265" t="s">
        <v>303</v>
      </c>
      <c r="AF265" t="s">
        <v>235</v>
      </c>
      <c r="AG265">
        <v>392410.2</v>
      </c>
      <c r="AH265">
        <v>60</v>
      </c>
      <c r="AL265" t="s">
        <v>1320</v>
      </c>
      <c r="AN265" t="s">
        <v>211</v>
      </c>
      <c r="AT265" t="s">
        <v>1650</v>
      </c>
    </row>
    <row r="266" spans="1:102" x14ac:dyDescent="0.25">
      <c r="A266" t="s">
        <v>1693</v>
      </c>
      <c r="B266" t="e">
        <f>_xlfn.XLOOKUP(C266,'[1]Image URL'!$E:$E,'[1]Image URL'!$A:$A)</f>
        <v>#N/A</v>
      </c>
      <c r="C266">
        <v>3304005</v>
      </c>
      <c r="D266" t="s">
        <v>1694</v>
      </c>
      <c r="E266" t="s">
        <v>1574</v>
      </c>
      <c r="H266" t="s">
        <v>1650</v>
      </c>
      <c r="J266" t="s">
        <v>195</v>
      </c>
      <c r="U266" t="s">
        <v>1459</v>
      </c>
      <c r="V266" t="s">
        <v>1385</v>
      </c>
      <c r="W266">
        <v>77838888018</v>
      </c>
      <c r="X266">
        <v>10077838888015</v>
      </c>
      <c r="Y266" t="s">
        <v>452</v>
      </c>
      <c r="Z266" t="s">
        <v>844</v>
      </c>
      <c r="AA266" t="s">
        <v>599</v>
      </c>
      <c r="AB266" t="s">
        <v>599</v>
      </c>
      <c r="AC266" t="s">
        <v>288</v>
      </c>
      <c r="AD266" t="s">
        <v>634</v>
      </c>
      <c r="AE266" t="s">
        <v>163</v>
      </c>
      <c r="AF266" t="s">
        <v>185</v>
      </c>
      <c r="AG266">
        <v>392410.2</v>
      </c>
      <c r="AH266">
        <v>60</v>
      </c>
      <c r="AN266" t="s">
        <v>211</v>
      </c>
      <c r="CX266" t="s">
        <v>145</v>
      </c>
    </row>
    <row r="267" spans="1:102" x14ac:dyDescent="0.25">
      <c r="A267" t="s">
        <v>1695</v>
      </c>
      <c r="B267" t="e">
        <f>_xlfn.XLOOKUP(C267,'[1]Image URL'!$E:$E,'[1]Image URL'!$A:$A)</f>
        <v>#N/A</v>
      </c>
      <c r="C267">
        <v>5310123</v>
      </c>
      <c r="D267" t="s">
        <v>1696</v>
      </c>
      <c r="E267" t="s">
        <v>1697</v>
      </c>
      <c r="H267" t="s">
        <v>186</v>
      </c>
      <c r="J267" t="s">
        <v>195</v>
      </c>
      <c r="M267" t="s">
        <v>1698</v>
      </c>
      <c r="T267" t="s">
        <v>1699</v>
      </c>
      <c r="U267" t="s">
        <v>1459</v>
      </c>
      <c r="V267" t="s">
        <v>1385</v>
      </c>
      <c r="W267">
        <v>77838870013</v>
      </c>
      <c r="X267">
        <v>10077838870010</v>
      </c>
      <c r="Y267" t="s">
        <v>1700</v>
      </c>
      <c r="Z267" t="s">
        <v>1701</v>
      </c>
      <c r="AA267" t="s">
        <v>1702</v>
      </c>
      <c r="AB267" t="s">
        <v>1702</v>
      </c>
      <c r="AC267" t="s">
        <v>1301</v>
      </c>
      <c r="AD267" t="s">
        <v>669</v>
      </c>
      <c r="AE267" t="s">
        <v>184</v>
      </c>
      <c r="AF267" t="s">
        <v>184</v>
      </c>
      <c r="AG267">
        <v>392410.2</v>
      </c>
      <c r="AH267">
        <v>70</v>
      </c>
      <c r="AN267" t="s">
        <v>192</v>
      </c>
    </row>
    <row r="268" spans="1:102" x14ac:dyDescent="0.25">
      <c r="A268" t="s">
        <v>1703</v>
      </c>
      <c r="B268" t="e">
        <f>_xlfn.XLOOKUP(C268,'[1]Image URL'!$E:$E,'[1]Image URL'!$A:$A)</f>
        <v>#N/A</v>
      </c>
      <c r="C268">
        <v>5310637</v>
      </c>
      <c r="D268" t="s">
        <v>1704</v>
      </c>
      <c r="E268" t="s">
        <v>1566</v>
      </c>
      <c r="H268" t="s">
        <v>1567</v>
      </c>
      <c r="J268" t="s">
        <v>195</v>
      </c>
      <c r="U268" t="s">
        <v>1459</v>
      </c>
      <c r="V268" t="s">
        <v>1385</v>
      </c>
      <c r="W268">
        <v>77838869963</v>
      </c>
      <c r="X268">
        <v>10077838869960</v>
      </c>
      <c r="Y268" t="s">
        <v>1568</v>
      </c>
      <c r="Z268" t="s">
        <v>1560</v>
      </c>
      <c r="AA268" t="s">
        <v>472</v>
      </c>
      <c r="AB268" t="s">
        <v>472</v>
      </c>
      <c r="AC268" t="s">
        <v>188</v>
      </c>
      <c r="AD268" t="s">
        <v>1569</v>
      </c>
      <c r="AE268" t="s">
        <v>507</v>
      </c>
      <c r="AF268" t="s">
        <v>268</v>
      </c>
      <c r="AG268">
        <v>392410.2</v>
      </c>
      <c r="AH268">
        <v>65</v>
      </c>
      <c r="AN268" t="s">
        <v>1570</v>
      </c>
      <c r="CW268" t="s">
        <v>1571</v>
      </c>
    </row>
    <row r="269" spans="1:102" x14ac:dyDescent="0.25">
      <c r="A269" t="s">
        <v>1705</v>
      </c>
      <c r="B269" t="e">
        <f>_xlfn.XLOOKUP(C269,'[1]Image URL'!$E:$E,'[1]Image URL'!$A:$A)</f>
        <v>#N/A</v>
      </c>
      <c r="C269" t="s">
        <v>2027</v>
      </c>
      <c r="D269" t="s">
        <v>1706</v>
      </c>
      <c r="E269" t="s">
        <v>1514</v>
      </c>
      <c r="F269" t="s">
        <v>1515</v>
      </c>
      <c r="G269" t="s">
        <v>1515</v>
      </c>
      <c r="H269" t="s">
        <v>1516</v>
      </c>
      <c r="J269" t="s">
        <v>195</v>
      </c>
      <c r="U269" t="s">
        <v>1459</v>
      </c>
      <c r="V269" t="s">
        <v>1385</v>
      </c>
      <c r="W269">
        <v>77838210574</v>
      </c>
      <c r="X269">
        <v>10077838110574</v>
      </c>
      <c r="Y269" t="s">
        <v>1517</v>
      </c>
      <c r="Z269" t="s">
        <v>1518</v>
      </c>
      <c r="AA269" t="s">
        <v>994</v>
      </c>
      <c r="AB269" t="s">
        <v>994</v>
      </c>
      <c r="AC269" t="s">
        <v>221</v>
      </c>
      <c r="AD269" t="s">
        <v>555</v>
      </c>
      <c r="AE269" t="s">
        <v>184</v>
      </c>
      <c r="AF269" t="s">
        <v>235</v>
      </c>
      <c r="AG269">
        <v>392410.2</v>
      </c>
      <c r="AH269">
        <v>70</v>
      </c>
      <c r="AL269" t="s">
        <v>1519</v>
      </c>
      <c r="AM269" t="s">
        <v>1520</v>
      </c>
      <c r="AN269" t="s">
        <v>1515</v>
      </c>
      <c r="AT269" t="s">
        <v>1516</v>
      </c>
    </row>
    <row r="270" spans="1:102" x14ac:dyDescent="0.25">
      <c r="A270" t="s">
        <v>1707</v>
      </c>
      <c r="B270" t="e">
        <f>_xlfn.XLOOKUP(C270,'[1]Image URL'!$E:$E,'[1]Image URL'!$A:$A)</f>
        <v>#N/A</v>
      </c>
      <c r="C270">
        <v>4352002</v>
      </c>
      <c r="D270" t="s">
        <v>1709</v>
      </c>
      <c r="E270" t="s">
        <v>1710</v>
      </c>
      <c r="F270" t="s">
        <v>188</v>
      </c>
      <c r="G270" t="s">
        <v>188</v>
      </c>
      <c r="H270" t="s">
        <v>334</v>
      </c>
      <c r="J270" t="s">
        <v>195</v>
      </c>
      <c r="M270" t="s">
        <v>1711</v>
      </c>
      <c r="T270" t="s">
        <v>1712</v>
      </c>
      <c r="U270" t="s">
        <v>1459</v>
      </c>
      <c r="V270" t="s">
        <v>1385</v>
      </c>
      <c r="W270">
        <v>77838870976</v>
      </c>
      <c r="X270">
        <v>10077838870973</v>
      </c>
      <c r="Y270" t="s">
        <v>1713</v>
      </c>
      <c r="Z270" t="s">
        <v>1690</v>
      </c>
      <c r="AA270" t="s">
        <v>1714</v>
      </c>
      <c r="AB270" t="s">
        <v>1714</v>
      </c>
      <c r="AC270" t="s">
        <v>715</v>
      </c>
      <c r="AD270" t="s">
        <v>402</v>
      </c>
      <c r="AE270" t="s">
        <v>315</v>
      </c>
      <c r="AF270" t="s">
        <v>349</v>
      </c>
      <c r="AG270">
        <v>392410.2</v>
      </c>
      <c r="AH270">
        <v>70</v>
      </c>
      <c r="AL270" t="s">
        <v>1603</v>
      </c>
    </row>
    <row r="271" spans="1:102" x14ac:dyDescent="0.25">
      <c r="A271" t="s">
        <v>1715</v>
      </c>
      <c r="B271" t="e">
        <f>_xlfn.XLOOKUP(C271,'[1]Image URL'!$E:$E,'[1]Image URL'!$A:$A)</f>
        <v>#N/A</v>
      </c>
      <c r="C271">
        <v>5300902</v>
      </c>
      <c r="D271" t="s">
        <v>1716</v>
      </c>
      <c r="E271" t="s">
        <v>1574</v>
      </c>
      <c r="F271" t="s">
        <v>149</v>
      </c>
      <c r="G271" t="s">
        <v>149</v>
      </c>
      <c r="H271" t="s">
        <v>709</v>
      </c>
      <c r="J271" t="s">
        <v>195</v>
      </c>
      <c r="M271" t="s">
        <v>1717</v>
      </c>
      <c r="T271" t="s">
        <v>1473</v>
      </c>
      <c r="U271" t="s">
        <v>1459</v>
      </c>
      <c r="V271" t="s">
        <v>1385</v>
      </c>
      <c r="W271">
        <v>77838885611</v>
      </c>
      <c r="X271">
        <v>10077838885618</v>
      </c>
      <c r="Y271" t="s">
        <v>1718</v>
      </c>
      <c r="Z271" t="s">
        <v>680</v>
      </c>
      <c r="AA271" t="s">
        <v>756</v>
      </c>
      <c r="AB271" t="s">
        <v>800</v>
      </c>
      <c r="AC271" t="s">
        <v>192</v>
      </c>
      <c r="AD271" t="s">
        <v>634</v>
      </c>
      <c r="AE271" t="s">
        <v>600</v>
      </c>
      <c r="AF271" t="s">
        <v>164</v>
      </c>
      <c r="AG271">
        <v>392410.2</v>
      </c>
      <c r="AH271">
        <v>65</v>
      </c>
      <c r="AL271" t="s">
        <v>1719</v>
      </c>
      <c r="BH271" t="s">
        <v>1720</v>
      </c>
      <c r="BI271" t="s">
        <v>346</v>
      </c>
      <c r="CQ271" t="s">
        <v>201</v>
      </c>
    </row>
    <row r="272" spans="1:102" x14ac:dyDescent="0.25">
      <c r="A272" t="s">
        <v>1721</v>
      </c>
      <c r="B272" t="e">
        <f>_xlfn.XLOOKUP(C272,'[1]Image URL'!$E:$E,'[1]Image URL'!$A:$A)</f>
        <v>#N/A</v>
      </c>
      <c r="C272">
        <v>3301202</v>
      </c>
      <c r="D272" t="s">
        <v>1722</v>
      </c>
      <c r="E272" t="s">
        <v>1723</v>
      </c>
      <c r="F272" t="s">
        <v>1724</v>
      </c>
      <c r="G272" t="s">
        <v>1725</v>
      </c>
      <c r="H272" t="s">
        <v>1726</v>
      </c>
      <c r="J272" t="s">
        <v>195</v>
      </c>
      <c r="U272" t="s">
        <v>1459</v>
      </c>
      <c r="V272" t="s">
        <v>1385</v>
      </c>
      <c r="W272">
        <v>77838824399</v>
      </c>
      <c r="X272">
        <v>10077838824396</v>
      </c>
      <c r="Y272" t="s">
        <v>387</v>
      </c>
      <c r="Z272" t="s">
        <v>1727</v>
      </c>
      <c r="AA272" t="s">
        <v>1728</v>
      </c>
      <c r="AB272" t="s">
        <v>1729</v>
      </c>
      <c r="AC272" t="s">
        <v>463</v>
      </c>
      <c r="AD272" t="s">
        <v>183</v>
      </c>
      <c r="AE272" t="s">
        <v>184</v>
      </c>
      <c r="AF272" t="s">
        <v>185</v>
      </c>
      <c r="AG272">
        <v>392410.2</v>
      </c>
      <c r="AH272">
        <v>65</v>
      </c>
      <c r="AT272" t="s">
        <v>1726</v>
      </c>
    </row>
    <row r="273" spans="1:103" x14ac:dyDescent="0.25">
      <c r="A273" t="s">
        <v>1730</v>
      </c>
      <c r="B273" t="e">
        <f>_xlfn.XLOOKUP(C273,'[1]Image URL'!$E:$E,'[1]Image URL'!$A:$A)</f>
        <v>#N/A</v>
      </c>
      <c r="C273">
        <v>5300302</v>
      </c>
      <c r="D273" t="s">
        <v>1731</v>
      </c>
      <c r="E273" t="s">
        <v>1566</v>
      </c>
      <c r="H273" t="s">
        <v>1567</v>
      </c>
      <c r="J273" t="s">
        <v>195</v>
      </c>
      <c r="U273" t="s">
        <v>1459</v>
      </c>
      <c r="V273" t="s">
        <v>1385</v>
      </c>
      <c r="W273">
        <v>77838869925</v>
      </c>
      <c r="X273">
        <v>10077838869922</v>
      </c>
      <c r="Y273" t="s">
        <v>1568</v>
      </c>
      <c r="Z273" t="s">
        <v>1560</v>
      </c>
      <c r="AA273" t="s">
        <v>472</v>
      </c>
      <c r="AB273" t="s">
        <v>472</v>
      </c>
      <c r="AC273" t="s">
        <v>188</v>
      </c>
      <c r="AD273" t="s">
        <v>1569</v>
      </c>
      <c r="AE273" t="s">
        <v>507</v>
      </c>
      <c r="AF273" t="s">
        <v>268</v>
      </c>
      <c r="AG273">
        <v>392410.2</v>
      </c>
      <c r="AH273">
        <v>65</v>
      </c>
      <c r="AN273" t="s">
        <v>1570</v>
      </c>
      <c r="CW273" t="s">
        <v>1571</v>
      </c>
    </row>
    <row r="274" spans="1:103" x14ac:dyDescent="0.25">
      <c r="A274" t="s">
        <v>1732</v>
      </c>
      <c r="B274" t="e">
        <f>_xlfn.XLOOKUP(C274,'[1]Image URL'!$E:$E,'[1]Image URL'!$A:$A)</f>
        <v>#N/A</v>
      </c>
      <c r="C274">
        <v>5401952</v>
      </c>
      <c r="D274" t="s">
        <v>1733</v>
      </c>
      <c r="E274" t="s">
        <v>1697</v>
      </c>
      <c r="H274" t="s">
        <v>1734</v>
      </c>
      <c r="J274" t="s">
        <v>195</v>
      </c>
      <c r="M274" t="s">
        <v>1269</v>
      </c>
      <c r="T274" t="s">
        <v>1735</v>
      </c>
      <c r="U274" t="s">
        <v>1459</v>
      </c>
      <c r="V274" t="s">
        <v>1385</v>
      </c>
      <c r="W274">
        <v>77838870273</v>
      </c>
      <c r="X274">
        <v>10077838870270</v>
      </c>
      <c r="Y274" t="s">
        <v>1736</v>
      </c>
      <c r="Z274" t="s">
        <v>1737</v>
      </c>
      <c r="AA274" t="s">
        <v>522</v>
      </c>
      <c r="AB274" t="s">
        <v>522</v>
      </c>
      <c r="AC274" t="s">
        <v>223</v>
      </c>
      <c r="AD274" t="s">
        <v>1142</v>
      </c>
      <c r="AE274" t="s">
        <v>184</v>
      </c>
      <c r="AF274" t="s">
        <v>349</v>
      </c>
      <c r="AG274">
        <v>392410.2</v>
      </c>
      <c r="AH274">
        <v>65</v>
      </c>
      <c r="AN274" t="s">
        <v>463</v>
      </c>
      <c r="CY274" t="s">
        <v>413</v>
      </c>
    </row>
    <row r="275" spans="1:103" x14ac:dyDescent="0.25">
      <c r="A275" t="s">
        <v>1738</v>
      </c>
      <c r="B275" t="e">
        <f>_xlfn.XLOOKUP(C275,'[1]Image URL'!$E:$E,'[1]Image URL'!$A:$A)</f>
        <v>#N/A</v>
      </c>
      <c r="C275" t="s">
        <v>2069</v>
      </c>
      <c r="D275" t="s">
        <v>1739</v>
      </c>
      <c r="E275" t="s">
        <v>1537</v>
      </c>
      <c r="F275" t="s">
        <v>1740</v>
      </c>
      <c r="G275" t="s">
        <v>1740</v>
      </c>
      <c r="H275" t="s">
        <v>1741</v>
      </c>
      <c r="U275" t="s">
        <v>1459</v>
      </c>
      <c r="V275" t="s">
        <v>1385</v>
      </c>
      <c r="W275">
        <v>77838887370</v>
      </c>
      <c r="X275">
        <v>10077838887377</v>
      </c>
      <c r="Y275" t="s">
        <v>1742</v>
      </c>
      <c r="Z275" t="s">
        <v>1743</v>
      </c>
      <c r="AA275" t="s">
        <v>169</v>
      </c>
      <c r="AB275" t="s">
        <v>169</v>
      </c>
      <c r="AC275" t="s">
        <v>242</v>
      </c>
      <c r="AD275" t="s">
        <v>301</v>
      </c>
      <c r="AE275" t="s">
        <v>184</v>
      </c>
      <c r="AF275" t="s">
        <v>164</v>
      </c>
      <c r="AG275">
        <v>392410.2</v>
      </c>
      <c r="AH275">
        <v>70</v>
      </c>
      <c r="AL275" t="s">
        <v>1744</v>
      </c>
      <c r="CC275" t="s">
        <v>1740</v>
      </c>
      <c r="CQ275" t="s">
        <v>1745</v>
      </c>
    </row>
    <row r="276" spans="1:103" x14ac:dyDescent="0.25">
      <c r="A276" t="s">
        <v>1746</v>
      </c>
      <c r="B276" t="e">
        <f>_xlfn.XLOOKUP(C276,'[1]Image URL'!$E:$E,'[1]Image URL'!$A:$A)</f>
        <v>#N/A</v>
      </c>
      <c r="C276">
        <v>5300002</v>
      </c>
      <c r="D276" t="s">
        <v>1747</v>
      </c>
      <c r="E276" t="s">
        <v>1748</v>
      </c>
      <c r="F276" t="s">
        <v>1749</v>
      </c>
      <c r="G276" t="s">
        <v>578</v>
      </c>
      <c r="H276" t="s">
        <v>1750</v>
      </c>
      <c r="U276" t="s">
        <v>1459</v>
      </c>
      <c r="V276" t="s">
        <v>1385</v>
      </c>
      <c r="W276">
        <v>77838887295</v>
      </c>
      <c r="X276">
        <v>10077838887292</v>
      </c>
      <c r="Y276" t="s">
        <v>1751</v>
      </c>
      <c r="Z276" t="s">
        <v>1752</v>
      </c>
      <c r="AA276" t="s">
        <v>1753</v>
      </c>
      <c r="AB276" t="s">
        <v>1753</v>
      </c>
      <c r="AC276" t="s">
        <v>1674</v>
      </c>
      <c r="AD276" t="s">
        <v>1562</v>
      </c>
      <c r="AE276" t="s">
        <v>184</v>
      </c>
      <c r="AF276" t="s">
        <v>268</v>
      </c>
      <c r="AG276">
        <v>392410.2</v>
      </c>
      <c r="AH276">
        <v>60</v>
      </c>
      <c r="AL276" t="s">
        <v>1754</v>
      </c>
      <c r="CS276" t="s">
        <v>1755</v>
      </c>
      <c r="CT276" t="s">
        <v>1756</v>
      </c>
      <c r="CU276" t="s">
        <v>1749</v>
      </c>
      <c r="CV276" t="s">
        <v>1757</v>
      </c>
    </row>
    <row r="277" spans="1:103" x14ac:dyDescent="0.25">
      <c r="A277" t="s">
        <v>1758</v>
      </c>
      <c r="B277" t="e">
        <f>_xlfn.XLOOKUP(C277,'[1]Image URL'!$E:$E,'[1]Image URL'!$A:$A)</f>
        <v>#N/A</v>
      </c>
      <c r="C277">
        <v>5401818</v>
      </c>
      <c r="D277" t="s">
        <v>1760</v>
      </c>
      <c r="E277" t="s">
        <v>1761</v>
      </c>
      <c r="F277" t="s">
        <v>192</v>
      </c>
      <c r="G277" t="s">
        <v>192</v>
      </c>
      <c r="H277" t="s">
        <v>1762</v>
      </c>
      <c r="J277" t="s">
        <v>195</v>
      </c>
      <c r="U277" t="s">
        <v>1459</v>
      </c>
      <c r="V277" t="s">
        <v>1385</v>
      </c>
      <c r="W277">
        <v>77838112199</v>
      </c>
      <c r="X277">
        <v>10077838112196</v>
      </c>
      <c r="Y277" t="s">
        <v>1763</v>
      </c>
      <c r="Z277" t="s">
        <v>1764</v>
      </c>
      <c r="AA277" t="s">
        <v>1178</v>
      </c>
      <c r="AB277" t="s">
        <v>775</v>
      </c>
      <c r="AC277" t="s">
        <v>1374</v>
      </c>
      <c r="AD277" t="s">
        <v>1765</v>
      </c>
      <c r="AE277" t="s">
        <v>204</v>
      </c>
      <c r="AF277" t="s">
        <v>164</v>
      </c>
      <c r="AG277">
        <v>392410.2</v>
      </c>
      <c r="AH277">
        <v>70</v>
      </c>
      <c r="AL277" t="s">
        <v>1766</v>
      </c>
      <c r="AM277" t="s">
        <v>1767</v>
      </c>
      <c r="AN277" t="s">
        <v>192</v>
      </c>
      <c r="AT277" t="s">
        <v>1762</v>
      </c>
    </row>
    <row r="278" spans="1:103" x14ac:dyDescent="0.25">
      <c r="A278" t="s">
        <v>1768</v>
      </c>
      <c r="B278" t="e">
        <f>_xlfn.XLOOKUP(C278,'[1]Image URL'!$E:$E,'[1]Image URL'!$A:$A)</f>
        <v>#N/A</v>
      </c>
      <c r="C278">
        <v>3303042</v>
      </c>
      <c r="D278" t="s">
        <v>1769</v>
      </c>
      <c r="E278" t="s">
        <v>1770</v>
      </c>
      <c r="H278" t="s">
        <v>1771</v>
      </c>
      <c r="J278" t="s">
        <v>195</v>
      </c>
      <c r="M278" t="s">
        <v>1666</v>
      </c>
      <c r="U278" t="s">
        <v>1459</v>
      </c>
      <c r="V278" t="s">
        <v>1385</v>
      </c>
      <c r="W278">
        <v>77838823910</v>
      </c>
      <c r="X278">
        <v>10077838823917</v>
      </c>
      <c r="Y278" t="s">
        <v>1772</v>
      </c>
      <c r="Z278" t="s">
        <v>1773</v>
      </c>
      <c r="AA278" t="s">
        <v>311</v>
      </c>
      <c r="AB278" t="s">
        <v>311</v>
      </c>
      <c r="AC278" t="s">
        <v>182</v>
      </c>
      <c r="AD278" t="s">
        <v>647</v>
      </c>
      <c r="AE278" t="s">
        <v>315</v>
      </c>
      <c r="AF278" t="s">
        <v>185</v>
      </c>
      <c r="AG278">
        <v>392410.2</v>
      </c>
      <c r="AH278">
        <v>65</v>
      </c>
      <c r="AM278" t="s">
        <v>1774</v>
      </c>
      <c r="AN278" t="s">
        <v>1775</v>
      </c>
      <c r="AT278" t="s">
        <v>1771</v>
      </c>
    </row>
    <row r="279" spans="1:103" x14ac:dyDescent="0.25">
      <c r="A279" t="s">
        <v>1776</v>
      </c>
      <c r="B279" t="e">
        <f>_xlfn.XLOOKUP(C279,'[1]Image URL'!$E:$E,'[1]Image URL'!$A:$A)</f>
        <v>#N/A</v>
      </c>
      <c r="C279">
        <v>3303203</v>
      </c>
      <c r="D279" t="s">
        <v>1777</v>
      </c>
      <c r="E279" t="s">
        <v>1656</v>
      </c>
      <c r="F279" t="s">
        <v>1657</v>
      </c>
      <c r="G279" t="s">
        <v>1657</v>
      </c>
      <c r="H279" t="s">
        <v>1658</v>
      </c>
      <c r="J279" t="s">
        <v>195</v>
      </c>
      <c r="U279" t="s">
        <v>1459</v>
      </c>
      <c r="V279" t="s">
        <v>1385</v>
      </c>
      <c r="W279">
        <v>77838822753</v>
      </c>
      <c r="X279">
        <v>10077838822750</v>
      </c>
      <c r="Y279" t="s">
        <v>1659</v>
      </c>
      <c r="Z279" t="s">
        <v>241</v>
      </c>
      <c r="AA279" t="s">
        <v>657</v>
      </c>
      <c r="AB279" t="s">
        <v>1371</v>
      </c>
      <c r="AC279" t="s">
        <v>836</v>
      </c>
      <c r="AD279" t="s">
        <v>301</v>
      </c>
      <c r="AE279" t="s">
        <v>349</v>
      </c>
      <c r="AF279" t="s">
        <v>235</v>
      </c>
      <c r="AG279">
        <v>392410.2</v>
      </c>
      <c r="AH279">
        <v>65</v>
      </c>
      <c r="AL279" t="s">
        <v>1660</v>
      </c>
      <c r="AN279" t="s">
        <v>1657</v>
      </c>
      <c r="AT279" t="s">
        <v>1658</v>
      </c>
    </row>
    <row r="280" spans="1:103" x14ac:dyDescent="0.25">
      <c r="A280" t="s">
        <v>1778</v>
      </c>
      <c r="B280" t="e">
        <f>_xlfn.XLOOKUP(C280,'[1]Image URL'!$E:$E,'[1]Image URL'!$A:$A)</f>
        <v>#N/A</v>
      </c>
      <c r="C280">
        <v>5400113</v>
      </c>
      <c r="D280" t="s">
        <v>1779</v>
      </c>
      <c r="E280" t="s">
        <v>1566</v>
      </c>
      <c r="H280" t="s">
        <v>1567</v>
      </c>
      <c r="J280" t="s">
        <v>195</v>
      </c>
      <c r="U280" t="s">
        <v>1459</v>
      </c>
      <c r="V280" t="s">
        <v>1385</v>
      </c>
      <c r="W280">
        <v>77838869901</v>
      </c>
      <c r="X280">
        <v>10077838869908</v>
      </c>
      <c r="Y280" t="s">
        <v>1780</v>
      </c>
      <c r="Z280" t="s">
        <v>1781</v>
      </c>
      <c r="AA280" t="s">
        <v>421</v>
      </c>
      <c r="AB280" t="s">
        <v>421</v>
      </c>
      <c r="AC280" t="s">
        <v>152</v>
      </c>
      <c r="AD280" t="s">
        <v>1424</v>
      </c>
      <c r="AE280" t="s">
        <v>315</v>
      </c>
      <c r="AF280" t="s">
        <v>315</v>
      </c>
      <c r="AG280">
        <v>392410.2</v>
      </c>
      <c r="AH280">
        <v>65</v>
      </c>
      <c r="AN280" t="s">
        <v>451</v>
      </c>
      <c r="CW280" t="s">
        <v>1571</v>
      </c>
    </row>
    <row r="281" spans="1:103" x14ac:dyDescent="0.25">
      <c r="A281" t="s">
        <v>1782</v>
      </c>
      <c r="B281" t="e">
        <f>_xlfn.XLOOKUP(C281,'[1]Image URL'!$E:$E,'[1]Image URL'!$A:$A)</f>
        <v>#N/A</v>
      </c>
      <c r="C281" t="s">
        <v>2092</v>
      </c>
      <c r="D281" t="s">
        <v>1783</v>
      </c>
      <c r="E281" t="s">
        <v>1566</v>
      </c>
      <c r="H281" t="s">
        <v>1567</v>
      </c>
      <c r="J281" t="s">
        <v>195</v>
      </c>
      <c r="U281" t="s">
        <v>1459</v>
      </c>
      <c r="V281" t="s">
        <v>1385</v>
      </c>
      <c r="W281">
        <v>77838888834</v>
      </c>
      <c r="X281">
        <v>10077838888831</v>
      </c>
      <c r="Y281" t="s">
        <v>1780</v>
      </c>
      <c r="Z281" t="s">
        <v>1781</v>
      </c>
      <c r="AA281" t="s">
        <v>421</v>
      </c>
      <c r="AB281" t="s">
        <v>421</v>
      </c>
      <c r="AC281" t="s">
        <v>152</v>
      </c>
      <c r="AD281" t="s">
        <v>1424</v>
      </c>
      <c r="AE281" t="s">
        <v>315</v>
      </c>
      <c r="AF281" t="s">
        <v>315</v>
      </c>
      <c r="AG281">
        <v>392410.2</v>
      </c>
      <c r="AH281">
        <v>65</v>
      </c>
      <c r="AN281" t="s">
        <v>451</v>
      </c>
      <c r="CW281" t="s">
        <v>1571</v>
      </c>
    </row>
    <row r="282" spans="1:103" x14ac:dyDescent="0.25">
      <c r="A282" t="s">
        <v>1784</v>
      </c>
      <c r="B282" t="e">
        <f>_xlfn.XLOOKUP(C282,'[1]Image URL'!$E:$E,'[1]Image URL'!$A:$A)</f>
        <v>#N/A</v>
      </c>
      <c r="C282">
        <v>5310972</v>
      </c>
      <c r="D282" t="s">
        <v>1785</v>
      </c>
      <c r="E282" t="s">
        <v>1786</v>
      </c>
      <c r="F282" t="s">
        <v>1787</v>
      </c>
      <c r="G282" t="s">
        <v>1787</v>
      </c>
      <c r="H282" t="s">
        <v>575</v>
      </c>
      <c r="J282" t="s">
        <v>212</v>
      </c>
      <c r="M282" t="s">
        <v>1788</v>
      </c>
      <c r="T282" t="s">
        <v>1473</v>
      </c>
      <c r="U282" t="s">
        <v>584</v>
      </c>
      <c r="V282" t="s">
        <v>157</v>
      </c>
      <c r="W282">
        <v>77838562970</v>
      </c>
      <c r="X282">
        <v>10077838062972</v>
      </c>
      <c r="Y282" t="s">
        <v>1789</v>
      </c>
      <c r="Z282" t="s">
        <v>1652</v>
      </c>
      <c r="AA282" t="s">
        <v>893</v>
      </c>
      <c r="AB282" t="s">
        <v>1232</v>
      </c>
      <c r="AC282" t="s">
        <v>476</v>
      </c>
      <c r="AD282" t="s">
        <v>1390</v>
      </c>
      <c r="AE282" t="s">
        <v>184</v>
      </c>
      <c r="AF282" t="s">
        <v>315</v>
      </c>
      <c r="AG282">
        <v>392410.2</v>
      </c>
      <c r="AH282">
        <v>85</v>
      </c>
      <c r="AL282" t="s">
        <v>1790</v>
      </c>
      <c r="AN282" t="s">
        <v>1787</v>
      </c>
      <c r="CQ282" t="s">
        <v>340</v>
      </c>
    </row>
    <row r="283" spans="1:103" x14ac:dyDescent="0.25">
      <c r="A283" t="s">
        <v>1791</v>
      </c>
      <c r="B283" t="e">
        <f>_xlfn.XLOOKUP(C283,'[1]Image URL'!$E:$E,'[1]Image URL'!$A:$A)</f>
        <v>#N/A</v>
      </c>
      <c r="C283">
        <v>3300002</v>
      </c>
      <c r="D283" t="s">
        <v>1792</v>
      </c>
      <c r="E283" t="s">
        <v>1793</v>
      </c>
      <c r="F283" t="s">
        <v>1794</v>
      </c>
      <c r="G283" t="s">
        <v>1794</v>
      </c>
      <c r="H283" t="s">
        <v>1795</v>
      </c>
      <c r="I283" t="s">
        <v>194</v>
      </c>
      <c r="J283" t="s">
        <v>195</v>
      </c>
      <c r="U283" t="s">
        <v>196</v>
      </c>
      <c r="V283" t="s">
        <v>157</v>
      </c>
      <c r="W283">
        <v>77838517062</v>
      </c>
      <c r="X283">
        <v>10077838017064</v>
      </c>
      <c r="Y283" t="s">
        <v>1796</v>
      </c>
      <c r="Z283" t="s">
        <v>1652</v>
      </c>
      <c r="AA283" t="s">
        <v>1797</v>
      </c>
      <c r="AB283" t="s">
        <v>1349</v>
      </c>
      <c r="AC283" t="s">
        <v>152</v>
      </c>
      <c r="AD283" t="s">
        <v>183</v>
      </c>
      <c r="AE283" t="s">
        <v>184</v>
      </c>
      <c r="AF283" t="s">
        <v>185</v>
      </c>
      <c r="AG283">
        <v>392410.2</v>
      </c>
      <c r="AH283">
        <v>70</v>
      </c>
      <c r="AL283" t="s">
        <v>1519</v>
      </c>
      <c r="AN283" t="s">
        <v>1794</v>
      </c>
    </row>
    <row r="284" spans="1:103" x14ac:dyDescent="0.25">
      <c r="A284" t="s">
        <v>1798</v>
      </c>
      <c r="B284" t="e">
        <f>_xlfn.XLOOKUP(C284,'[1]Image URL'!$E:$E,'[1]Image URL'!$A:$A)</f>
        <v>#N/A</v>
      </c>
      <c r="C284">
        <v>691907</v>
      </c>
      <c r="D284" t="s">
        <v>1799</v>
      </c>
      <c r="E284" t="s">
        <v>1800</v>
      </c>
      <c r="H284" t="s">
        <v>1801</v>
      </c>
      <c r="J284" t="s">
        <v>195</v>
      </c>
      <c r="U284" t="s">
        <v>1459</v>
      </c>
      <c r="V284" t="s">
        <v>1385</v>
      </c>
      <c r="W284">
        <v>77838823811</v>
      </c>
      <c r="X284">
        <v>10077838823818</v>
      </c>
      <c r="Y284" t="s">
        <v>1802</v>
      </c>
      <c r="Z284" t="s">
        <v>1803</v>
      </c>
      <c r="AA284" t="s">
        <v>532</v>
      </c>
      <c r="AB284" t="s">
        <v>1367</v>
      </c>
      <c r="AC284" t="s">
        <v>1804</v>
      </c>
      <c r="AD284" t="s">
        <v>183</v>
      </c>
      <c r="AE284" t="s">
        <v>184</v>
      </c>
      <c r="AF284" t="s">
        <v>185</v>
      </c>
      <c r="AG284">
        <v>392410.2</v>
      </c>
      <c r="AH284">
        <v>70</v>
      </c>
      <c r="AM284" t="s">
        <v>1805</v>
      </c>
      <c r="AN284" t="s">
        <v>1806</v>
      </c>
      <c r="AT284" t="s">
        <v>1801</v>
      </c>
    </row>
    <row r="285" spans="1:103" x14ac:dyDescent="0.25">
      <c r="A285" t="s">
        <v>1807</v>
      </c>
      <c r="B285" t="e">
        <f>_xlfn.XLOOKUP(C285,'[1]Image URL'!$E:$E,'[1]Image URL'!$A:$A)</f>
        <v>#N/A</v>
      </c>
      <c r="C285">
        <v>690407</v>
      </c>
      <c r="D285" t="s">
        <v>1808</v>
      </c>
      <c r="E285" t="s">
        <v>1809</v>
      </c>
      <c r="F285" t="s">
        <v>1810</v>
      </c>
      <c r="G285" t="s">
        <v>1810</v>
      </c>
      <c r="H285" t="s">
        <v>1467</v>
      </c>
      <c r="J285" t="s">
        <v>195</v>
      </c>
      <c r="U285" t="s">
        <v>1459</v>
      </c>
      <c r="V285" t="s">
        <v>1385</v>
      </c>
      <c r="W285">
        <v>77838823279</v>
      </c>
      <c r="X285">
        <v>10077838823276</v>
      </c>
      <c r="Y285" t="s">
        <v>1811</v>
      </c>
      <c r="Z285" t="s">
        <v>1690</v>
      </c>
      <c r="AA285" t="s">
        <v>1812</v>
      </c>
      <c r="AB285" t="s">
        <v>445</v>
      </c>
      <c r="AC285" t="s">
        <v>942</v>
      </c>
      <c r="AD285" t="s">
        <v>555</v>
      </c>
      <c r="AE285" t="s">
        <v>184</v>
      </c>
      <c r="AF285" t="s">
        <v>235</v>
      </c>
      <c r="AG285">
        <v>392410.2</v>
      </c>
      <c r="AH285">
        <v>65</v>
      </c>
      <c r="AL285" t="s">
        <v>1669</v>
      </c>
      <c r="AN285" t="s">
        <v>1810</v>
      </c>
      <c r="AT285" t="s">
        <v>1467</v>
      </c>
    </row>
    <row r="286" spans="1:103" x14ac:dyDescent="0.25">
      <c r="A286" t="s">
        <v>1813</v>
      </c>
      <c r="B286" t="e">
        <f>_xlfn.XLOOKUP(C286,'[1]Image URL'!$E:$E,'[1]Image URL'!$A:$A)</f>
        <v>#N/A</v>
      </c>
      <c r="C286">
        <v>4351602</v>
      </c>
      <c r="D286" t="s">
        <v>1814</v>
      </c>
      <c r="E286" t="s">
        <v>1748</v>
      </c>
      <c r="F286" t="s">
        <v>1815</v>
      </c>
      <c r="G286" t="s">
        <v>1816</v>
      </c>
      <c r="H286" t="s">
        <v>1817</v>
      </c>
      <c r="U286" t="s">
        <v>1459</v>
      </c>
      <c r="V286" t="s">
        <v>1385</v>
      </c>
      <c r="W286">
        <v>77838887271</v>
      </c>
      <c r="X286">
        <v>10077838887278</v>
      </c>
      <c r="Y286" t="s">
        <v>1818</v>
      </c>
      <c r="Z286" t="s">
        <v>1631</v>
      </c>
      <c r="AA286" t="s">
        <v>1819</v>
      </c>
      <c r="AB286" t="s">
        <v>1820</v>
      </c>
      <c r="AC286" t="s">
        <v>1107</v>
      </c>
      <c r="AD286" t="s">
        <v>669</v>
      </c>
      <c r="AE286" t="s">
        <v>507</v>
      </c>
      <c r="AF286" t="s">
        <v>315</v>
      </c>
      <c r="AG286">
        <v>392410.2</v>
      </c>
      <c r="AH286">
        <v>60</v>
      </c>
      <c r="AL286" t="s">
        <v>1821</v>
      </c>
      <c r="CS286" t="s">
        <v>1822</v>
      </c>
      <c r="CT286" t="s">
        <v>1823</v>
      </c>
      <c r="CU286" t="s">
        <v>1815</v>
      </c>
      <c r="CV286" t="s">
        <v>1824</v>
      </c>
    </row>
    <row r="287" spans="1:103" x14ac:dyDescent="0.25">
      <c r="A287" t="s">
        <v>1825</v>
      </c>
      <c r="B287" t="e">
        <f>_xlfn.XLOOKUP(C287,'[1]Image URL'!$E:$E,'[1]Image URL'!$A:$A)</f>
        <v>#N/A</v>
      </c>
      <c r="C287">
        <v>5400253</v>
      </c>
      <c r="D287" t="s">
        <v>1826</v>
      </c>
      <c r="E287" t="s">
        <v>1827</v>
      </c>
      <c r="F287" t="s">
        <v>953</v>
      </c>
      <c r="G287" t="s">
        <v>953</v>
      </c>
      <c r="H287" t="s">
        <v>1828</v>
      </c>
      <c r="J287" t="s">
        <v>212</v>
      </c>
      <c r="M287" t="s">
        <v>1829</v>
      </c>
      <c r="T287" t="s">
        <v>1202</v>
      </c>
      <c r="U287" t="s">
        <v>584</v>
      </c>
      <c r="V287" t="s">
        <v>157</v>
      </c>
      <c r="W287">
        <v>77838200803</v>
      </c>
      <c r="X287">
        <v>10077838000806</v>
      </c>
      <c r="Y287" t="s">
        <v>665</v>
      </c>
      <c r="Z287" t="s">
        <v>327</v>
      </c>
      <c r="AA287" t="s">
        <v>1371</v>
      </c>
      <c r="AB287" t="s">
        <v>1178</v>
      </c>
      <c r="AC287" t="s">
        <v>345</v>
      </c>
      <c r="AD287" t="s">
        <v>1285</v>
      </c>
      <c r="AE287" t="s">
        <v>204</v>
      </c>
      <c r="AF287" t="s">
        <v>349</v>
      </c>
      <c r="AG287">
        <v>392410.2</v>
      </c>
      <c r="AH287">
        <v>92.5</v>
      </c>
      <c r="AL287" t="s">
        <v>1830</v>
      </c>
      <c r="AN287" t="s">
        <v>953</v>
      </c>
      <c r="CQ287" t="s">
        <v>1831</v>
      </c>
    </row>
    <row r="288" spans="1:103" x14ac:dyDescent="0.25">
      <c r="A288" t="s">
        <v>1832</v>
      </c>
      <c r="B288" t="e">
        <f>_xlfn.XLOOKUP(C288,'[1]Image URL'!$E:$E,'[1]Image URL'!$A:$A)</f>
        <v>#N/A</v>
      </c>
      <c r="C288" t="s">
        <v>2125</v>
      </c>
      <c r="D288" t="s">
        <v>1833</v>
      </c>
      <c r="E288" t="s">
        <v>1834</v>
      </c>
      <c r="H288" t="s">
        <v>1204</v>
      </c>
      <c r="J288" t="s">
        <v>195</v>
      </c>
      <c r="U288" t="s">
        <v>1459</v>
      </c>
      <c r="V288" t="s">
        <v>1385</v>
      </c>
      <c r="W288">
        <v>77838823545</v>
      </c>
      <c r="X288">
        <v>10077838823542</v>
      </c>
      <c r="Y288" t="s">
        <v>773</v>
      </c>
      <c r="Z288" t="s">
        <v>1835</v>
      </c>
      <c r="AA288" t="s">
        <v>1836</v>
      </c>
      <c r="AB288" t="s">
        <v>421</v>
      </c>
      <c r="AC288" t="s">
        <v>1720</v>
      </c>
      <c r="AD288" t="s">
        <v>555</v>
      </c>
      <c r="AE288" t="s">
        <v>184</v>
      </c>
      <c r="AF288" t="s">
        <v>235</v>
      </c>
      <c r="AG288">
        <v>392410.2</v>
      </c>
      <c r="AH288">
        <v>70</v>
      </c>
      <c r="AM288" t="s">
        <v>1837</v>
      </c>
      <c r="AN288" t="s">
        <v>1838</v>
      </c>
      <c r="AT288" t="s">
        <v>1204</v>
      </c>
    </row>
    <row r="289" spans="1:105" x14ac:dyDescent="0.25">
      <c r="A289" t="s">
        <v>1839</v>
      </c>
      <c r="B289" t="e">
        <f>_xlfn.XLOOKUP(C289,'[1]Image URL'!$E:$E,'[1]Image URL'!$A:$A)</f>
        <v>#N/A</v>
      </c>
      <c r="C289">
        <v>5310738</v>
      </c>
      <c r="D289" t="s">
        <v>1840</v>
      </c>
      <c r="E289" t="s">
        <v>1841</v>
      </c>
      <c r="F289" t="s">
        <v>192</v>
      </c>
      <c r="G289" t="s">
        <v>192</v>
      </c>
      <c r="H289" t="s">
        <v>1842</v>
      </c>
      <c r="J289" t="s">
        <v>195</v>
      </c>
      <c r="U289" t="s">
        <v>1459</v>
      </c>
      <c r="V289" t="s">
        <v>1385</v>
      </c>
      <c r="W289">
        <v>77838210048</v>
      </c>
      <c r="X289">
        <v>10077838110048</v>
      </c>
      <c r="Y289" t="s">
        <v>1843</v>
      </c>
      <c r="Z289" t="s">
        <v>1844</v>
      </c>
      <c r="AA289" t="s">
        <v>1845</v>
      </c>
      <c r="AB289" t="s">
        <v>1846</v>
      </c>
      <c r="AC289" t="s">
        <v>169</v>
      </c>
      <c r="AD289" t="s">
        <v>588</v>
      </c>
      <c r="AE289" t="s">
        <v>349</v>
      </c>
      <c r="AF289" t="s">
        <v>302</v>
      </c>
      <c r="AG289">
        <v>392410.2</v>
      </c>
      <c r="AH289">
        <v>70</v>
      </c>
      <c r="AL289" t="s">
        <v>1563</v>
      </c>
      <c r="AN289" t="s">
        <v>192</v>
      </c>
      <c r="AT289" t="s">
        <v>1842</v>
      </c>
    </row>
    <row r="290" spans="1:105" x14ac:dyDescent="0.25">
      <c r="A290" t="s">
        <v>1847</v>
      </c>
      <c r="B290" t="e">
        <f>_xlfn.XLOOKUP(C290,'[1]Image URL'!$E:$E,'[1]Image URL'!$A:$A)</f>
        <v>#N/A</v>
      </c>
      <c r="C290">
        <v>5310172</v>
      </c>
      <c r="D290" t="s">
        <v>1848</v>
      </c>
      <c r="E290" t="s">
        <v>1537</v>
      </c>
      <c r="F290" t="s">
        <v>1849</v>
      </c>
      <c r="G290" t="s">
        <v>1849</v>
      </c>
      <c r="H290" t="s">
        <v>330</v>
      </c>
      <c r="U290" t="s">
        <v>1459</v>
      </c>
      <c r="V290" t="s">
        <v>1385</v>
      </c>
      <c r="W290">
        <v>77838887356</v>
      </c>
      <c r="X290">
        <v>10077838887353</v>
      </c>
      <c r="Y290" t="s">
        <v>1850</v>
      </c>
      <c r="Z290" t="s">
        <v>219</v>
      </c>
      <c r="AA290" t="s">
        <v>1846</v>
      </c>
      <c r="AB290" t="s">
        <v>472</v>
      </c>
      <c r="AC290" t="s">
        <v>836</v>
      </c>
      <c r="AD290" t="s">
        <v>1851</v>
      </c>
      <c r="AE290" t="s">
        <v>507</v>
      </c>
      <c r="AF290" t="s">
        <v>185</v>
      </c>
      <c r="AG290">
        <v>392410.2</v>
      </c>
      <c r="AH290">
        <v>70</v>
      </c>
      <c r="AL290" t="s">
        <v>1852</v>
      </c>
      <c r="CC290" t="s">
        <v>1853</v>
      </c>
      <c r="CQ290" t="s">
        <v>1854</v>
      </c>
    </row>
    <row r="291" spans="1:105" x14ac:dyDescent="0.25">
      <c r="A291" t="s">
        <v>1855</v>
      </c>
      <c r="B291" t="e">
        <f>_xlfn.XLOOKUP(C291,'[1]Image URL'!$E:$E,'[1]Image URL'!$A:$A)</f>
        <v>#N/A</v>
      </c>
      <c r="C291">
        <v>5311023</v>
      </c>
      <c r="D291" t="s">
        <v>1856</v>
      </c>
      <c r="E291" t="s">
        <v>1857</v>
      </c>
      <c r="H291" t="s">
        <v>1858</v>
      </c>
      <c r="J291" t="s">
        <v>195</v>
      </c>
      <c r="U291" t="s">
        <v>1459</v>
      </c>
      <c r="V291" t="s">
        <v>1385</v>
      </c>
      <c r="W291">
        <v>77838595039</v>
      </c>
      <c r="X291">
        <v>10077838095031</v>
      </c>
      <c r="Y291" t="s">
        <v>1859</v>
      </c>
      <c r="Z291" t="s">
        <v>1803</v>
      </c>
      <c r="AA291" t="s">
        <v>1860</v>
      </c>
      <c r="AB291" t="s">
        <v>324</v>
      </c>
      <c r="AC291" t="s">
        <v>1273</v>
      </c>
      <c r="AD291" t="s">
        <v>402</v>
      </c>
      <c r="AE291" t="s">
        <v>303</v>
      </c>
      <c r="AF291" t="s">
        <v>235</v>
      </c>
      <c r="AG291">
        <v>392410.2</v>
      </c>
      <c r="AH291">
        <v>60</v>
      </c>
      <c r="AN291" t="s">
        <v>1375</v>
      </c>
      <c r="AT291" t="s">
        <v>1858</v>
      </c>
    </row>
    <row r="292" spans="1:105" x14ac:dyDescent="0.25">
      <c r="A292" t="s">
        <v>1861</v>
      </c>
      <c r="B292" t="e">
        <f>_xlfn.XLOOKUP(C292,'[1]Image URL'!$E:$E,'[1]Image URL'!$A:$A)</f>
        <v>#N/A</v>
      </c>
      <c r="C292">
        <v>5310623</v>
      </c>
      <c r="D292" t="s">
        <v>1862</v>
      </c>
      <c r="E292" t="s">
        <v>1863</v>
      </c>
      <c r="F292" t="s">
        <v>772</v>
      </c>
      <c r="G292" t="s">
        <v>772</v>
      </c>
      <c r="H292" t="s">
        <v>1864</v>
      </c>
      <c r="J292" t="s">
        <v>195</v>
      </c>
      <c r="U292" t="s">
        <v>1459</v>
      </c>
      <c r="V292" t="s">
        <v>1385</v>
      </c>
      <c r="W292">
        <v>77838243800</v>
      </c>
      <c r="X292">
        <v>10077838143800</v>
      </c>
      <c r="Y292" t="s">
        <v>1865</v>
      </c>
      <c r="Z292" t="s">
        <v>1866</v>
      </c>
      <c r="AA292" t="s">
        <v>161</v>
      </c>
      <c r="AB292" t="s">
        <v>1867</v>
      </c>
      <c r="AC292" t="s">
        <v>466</v>
      </c>
      <c r="AD292" t="s">
        <v>162</v>
      </c>
      <c r="AE292" t="s">
        <v>303</v>
      </c>
      <c r="AF292" t="s">
        <v>349</v>
      </c>
      <c r="AG292">
        <v>392410.2</v>
      </c>
      <c r="AH292">
        <v>85</v>
      </c>
      <c r="AL292" t="s">
        <v>1868</v>
      </c>
      <c r="AM292" t="s">
        <v>1869</v>
      </c>
      <c r="AT292" t="s">
        <v>1864</v>
      </c>
      <c r="CZ292" t="s">
        <v>664</v>
      </c>
      <c r="DA292" t="s">
        <v>772</v>
      </c>
    </row>
    <row r="293" spans="1:105" x14ac:dyDescent="0.25">
      <c r="A293" t="s">
        <v>1870</v>
      </c>
      <c r="B293" t="e">
        <f>_xlfn.XLOOKUP(C293,'[1]Image URL'!$E:$E,'[1]Image URL'!$A:$A)</f>
        <v>#N/A</v>
      </c>
      <c r="C293">
        <v>5310838</v>
      </c>
      <c r="D293" t="s">
        <v>1871</v>
      </c>
      <c r="E293" t="s">
        <v>1872</v>
      </c>
      <c r="F293" t="s">
        <v>1873</v>
      </c>
      <c r="G293" t="s">
        <v>1874</v>
      </c>
      <c r="H293" t="s">
        <v>1875</v>
      </c>
      <c r="J293" t="s">
        <v>195</v>
      </c>
      <c r="U293" t="s">
        <v>1459</v>
      </c>
      <c r="V293" t="s">
        <v>1385</v>
      </c>
      <c r="W293">
        <v>77838203743</v>
      </c>
      <c r="X293">
        <v>10077838103743</v>
      </c>
      <c r="Y293" t="s">
        <v>387</v>
      </c>
      <c r="Z293" t="s">
        <v>1764</v>
      </c>
      <c r="AA293" t="s">
        <v>1018</v>
      </c>
      <c r="AB293" t="s">
        <v>893</v>
      </c>
      <c r="AC293" t="s">
        <v>345</v>
      </c>
      <c r="AD293" t="s">
        <v>997</v>
      </c>
      <c r="AE293" t="s">
        <v>268</v>
      </c>
      <c r="AF293" t="s">
        <v>268</v>
      </c>
      <c r="AG293">
        <v>392410.2</v>
      </c>
      <c r="AH293">
        <v>65</v>
      </c>
      <c r="AT293" t="s">
        <v>1875</v>
      </c>
    </row>
    <row r="294" spans="1:105" x14ac:dyDescent="0.25">
      <c r="A294" t="s">
        <v>1876</v>
      </c>
      <c r="B294" t="e">
        <f>_xlfn.XLOOKUP(C294,'[1]Image URL'!$E:$E,'[1]Image URL'!$A:$A)</f>
        <v>#N/A</v>
      </c>
      <c r="C294">
        <v>3303614</v>
      </c>
      <c r="D294" t="s">
        <v>1877</v>
      </c>
      <c r="E294" t="s">
        <v>1556</v>
      </c>
      <c r="F294" t="s">
        <v>1557</v>
      </c>
      <c r="G294" t="s">
        <v>1557</v>
      </c>
      <c r="H294" t="s">
        <v>1558</v>
      </c>
      <c r="J294" t="s">
        <v>195</v>
      </c>
      <c r="U294" t="s">
        <v>1459</v>
      </c>
      <c r="V294" t="s">
        <v>1385</v>
      </c>
      <c r="W294">
        <v>77838822715</v>
      </c>
      <c r="X294">
        <v>10077838822712</v>
      </c>
      <c r="Y294" t="s">
        <v>1559</v>
      </c>
      <c r="Z294" t="s">
        <v>1560</v>
      </c>
      <c r="AA294" t="s">
        <v>522</v>
      </c>
      <c r="AB294" t="s">
        <v>1561</v>
      </c>
      <c r="AC294" t="s">
        <v>953</v>
      </c>
      <c r="AD294" t="s">
        <v>1562</v>
      </c>
      <c r="AE294" t="s">
        <v>184</v>
      </c>
      <c r="AF294" t="s">
        <v>268</v>
      </c>
      <c r="AG294">
        <v>392410.2</v>
      </c>
      <c r="AH294">
        <v>65</v>
      </c>
      <c r="AL294" t="s">
        <v>1563</v>
      </c>
      <c r="AN294" t="s">
        <v>1557</v>
      </c>
      <c r="AT294" t="s">
        <v>1558</v>
      </c>
    </row>
    <row r="295" spans="1:105" x14ac:dyDescent="0.25">
      <c r="A295" t="s">
        <v>1878</v>
      </c>
      <c r="B295" t="e">
        <f>_xlfn.XLOOKUP(C295,'[1]Image URL'!$E:$E,'[1]Image URL'!$A:$A)</f>
        <v>#N/A</v>
      </c>
      <c r="C295">
        <v>5310472</v>
      </c>
      <c r="D295" t="s">
        <v>1879</v>
      </c>
      <c r="E295" t="s">
        <v>1697</v>
      </c>
      <c r="H295" t="s">
        <v>575</v>
      </c>
      <c r="J295" t="s">
        <v>195</v>
      </c>
      <c r="M295" t="s">
        <v>1711</v>
      </c>
      <c r="T295" t="s">
        <v>1880</v>
      </c>
      <c r="U295" t="s">
        <v>1459</v>
      </c>
      <c r="V295" t="s">
        <v>1385</v>
      </c>
      <c r="W295">
        <v>77838872987</v>
      </c>
      <c r="X295">
        <v>10077838872984</v>
      </c>
      <c r="Y295" t="s">
        <v>1881</v>
      </c>
      <c r="Z295" t="s">
        <v>1475</v>
      </c>
      <c r="AA295" t="s">
        <v>1882</v>
      </c>
      <c r="AB295" t="s">
        <v>1882</v>
      </c>
      <c r="AC295" t="s">
        <v>1883</v>
      </c>
      <c r="AD295" t="s">
        <v>1884</v>
      </c>
      <c r="AE295" t="s">
        <v>315</v>
      </c>
      <c r="AF295" t="s">
        <v>403</v>
      </c>
      <c r="AG295">
        <v>392410.2</v>
      </c>
      <c r="AH295">
        <v>85</v>
      </c>
      <c r="AN295" t="s">
        <v>188</v>
      </c>
    </row>
    <row r="296" spans="1:105" x14ac:dyDescent="0.25">
      <c r="A296" t="s">
        <v>1885</v>
      </c>
      <c r="B296" t="e">
        <f>_xlfn.XLOOKUP(C296,'[1]Image URL'!$E:$E,'[1]Image URL'!$A:$A)</f>
        <v>#N/A</v>
      </c>
      <c r="C296">
        <v>4353125</v>
      </c>
      <c r="D296" t="s">
        <v>1886</v>
      </c>
      <c r="E296" t="s">
        <v>1748</v>
      </c>
      <c r="F296" t="s">
        <v>1749</v>
      </c>
      <c r="G296" t="s">
        <v>578</v>
      </c>
      <c r="H296" t="s">
        <v>1750</v>
      </c>
      <c r="U296" t="s">
        <v>1459</v>
      </c>
      <c r="V296" t="s">
        <v>1385</v>
      </c>
      <c r="W296">
        <v>77838887301</v>
      </c>
      <c r="X296">
        <v>10077838887308</v>
      </c>
      <c r="Y296" t="s">
        <v>1751</v>
      </c>
      <c r="Z296" t="s">
        <v>1752</v>
      </c>
      <c r="AA296" t="s">
        <v>1753</v>
      </c>
      <c r="AB296" t="s">
        <v>1753</v>
      </c>
      <c r="AC296" t="s">
        <v>1674</v>
      </c>
      <c r="AD296" t="s">
        <v>1562</v>
      </c>
      <c r="AE296" t="s">
        <v>184</v>
      </c>
      <c r="AF296" t="s">
        <v>268</v>
      </c>
      <c r="AG296">
        <v>392410.2</v>
      </c>
      <c r="AH296">
        <v>60</v>
      </c>
      <c r="AL296" t="s">
        <v>1754</v>
      </c>
      <c r="CS296" t="s">
        <v>1755</v>
      </c>
      <c r="CT296" t="s">
        <v>1756</v>
      </c>
      <c r="CU296" t="s">
        <v>1749</v>
      </c>
      <c r="CV296" t="s">
        <v>1757</v>
      </c>
    </row>
    <row r="297" spans="1:105" x14ac:dyDescent="0.25">
      <c r="A297" t="s">
        <v>1887</v>
      </c>
      <c r="B297" t="e">
        <f>_xlfn.XLOOKUP(C297,'[1]Image URL'!$E:$E,'[1]Image URL'!$A:$A)</f>
        <v>#N/A</v>
      </c>
      <c r="C297">
        <v>700622</v>
      </c>
      <c r="D297" t="s">
        <v>1889</v>
      </c>
      <c r="E297" t="s">
        <v>1466</v>
      </c>
      <c r="H297" t="s">
        <v>1467</v>
      </c>
      <c r="J297" t="s">
        <v>195</v>
      </c>
      <c r="U297" t="s">
        <v>1459</v>
      </c>
      <c r="V297" t="s">
        <v>1385</v>
      </c>
      <c r="W297">
        <v>77838210840</v>
      </c>
      <c r="X297">
        <v>10077838110840</v>
      </c>
      <c r="Y297" t="s">
        <v>1468</v>
      </c>
      <c r="Z297" t="s">
        <v>1469</v>
      </c>
      <c r="AA297" t="s">
        <v>597</v>
      </c>
      <c r="AB297" t="s">
        <v>425</v>
      </c>
      <c r="AC297" t="s">
        <v>466</v>
      </c>
      <c r="AD297" t="s">
        <v>446</v>
      </c>
      <c r="AE297" t="s">
        <v>268</v>
      </c>
      <c r="AF297" t="s">
        <v>235</v>
      </c>
      <c r="AG297">
        <v>392410.2</v>
      </c>
      <c r="AH297">
        <v>70</v>
      </c>
      <c r="AN297" t="s">
        <v>472</v>
      </c>
      <c r="AT297" t="s">
        <v>1467</v>
      </c>
    </row>
    <row r="298" spans="1:105" x14ac:dyDescent="0.25">
      <c r="A298" t="s">
        <v>1890</v>
      </c>
      <c r="B298" t="e">
        <f>_xlfn.XLOOKUP(C298,'[1]Image URL'!$E:$E,'[1]Image URL'!$A:$A)</f>
        <v>#N/A</v>
      </c>
      <c r="C298">
        <v>453207</v>
      </c>
      <c r="D298" t="s">
        <v>1891</v>
      </c>
      <c r="E298" t="s">
        <v>1507</v>
      </c>
      <c r="F298" t="s">
        <v>457</v>
      </c>
      <c r="G298" t="s">
        <v>466</v>
      </c>
      <c r="H298" t="s">
        <v>193</v>
      </c>
      <c r="J298" t="s">
        <v>195</v>
      </c>
      <c r="U298" t="s">
        <v>1459</v>
      </c>
      <c r="V298" t="s">
        <v>1385</v>
      </c>
      <c r="W298">
        <v>77838870716</v>
      </c>
      <c r="X298">
        <v>10077838870713</v>
      </c>
      <c r="Y298" t="s">
        <v>1892</v>
      </c>
      <c r="Z298" t="s">
        <v>1475</v>
      </c>
      <c r="AA298" t="s">
        <v>542</v>
      </c>
      <c r="AB298" t="s">
        <v>462</v>
      </c>
      <c r="AC298" t="s">
        <v>288</v>
      </c>
      <c r="AD298" t="s">
        <v>1562</v>
      </c>
      <c r="AE298" t="s">
        <v>184</v>
      </c>
      <c r="AF298" t="s">
        <v>268</v>
      </c>
      <c r="AG298">
        <v>392410.2</v>
      </c>
      <c r="AH298">
        <v>70</v>
      </c>
      <c r="AL298" t="s">
        <v>1893</v>
      </c>
    </row>
    <row r="299" spans="1:105" x14ac:dyDescent="0.25">
      <c r="A299" t="s">
        <v>1894</v>
      </c>
      <c r="B299" t="e">
        <f>_xlfn.XLOOKUP(C299,'[1]Image URL'!$E:$E,'[1]Image URL'!$A:$A)</f>
        <v>#N/A</v>
      </c>
      <c r="C299">
        <v>4356035</v>
      </c>
      <c r="D299" t="s">
        <v>1895</v>
      </c>
      <c r="E299" t="s">
        <v>1834</v>
      </c>
      <c r="H299" t="s">
        <v>1204</v>
      </c>
      <c r="J299" t="s">
        <v>195</v>
      </c>
      <c r="U299" t="s">
        <v>1459</v>
      </c>
      <c r="V299" t="s">
        <v>1385</v>
      </c>
      <c r="W299">
        <v>77838823538</v>
      </c>
      <c r="X299">
        <v>10077838823535</v>
      </c>
      <c r="Y299" t="s">
        <v>773</v>
      </c>
      <c r="Z299" t="s">
        <v>1835</v>
      </c>
      <c r="AA299" t="s">
        <v>1836</v>
      </c>
      <c r="AB299" t="s">
        <v>421</v>
      </c>
      <c r="AC299" t="s">
        <v>1720</v>
      </c>
      <c r="AD299" t="s">
        <v>555</v>
      </c>
      <c r="AE299" t="s">
        <v>184</v>
      </c>
      <c r="AF299" t="s">
        <v>235</v>
      </c>
      <c r="AG299">
        <v>392410.2</v>
      </c>
      <c r="AH299">
        <v>70</v>
      </c>
      <c r="AM299" t="s">
        <v>1837</v>
      </c>
      <c r="AN299" t="s">
        <v>1838</v>
      </c>
      <c r="AT299" t="s">
        <v>1204</v>
      </c>
    </row>
    <row r="300" spans="1:105" x14ac:dyDescent="0.25">
      <c r="A300" t="s">
        <v>1896</v>
      </c>
      <c r="B300" t="e">
        <f>_xlfn.XLOOKUP(C300,'[1]Image URL'!$E:$E,'[1]Image URL'!$A:$A)</f>
        <v>#N/A</v>
      </c>
      <c r="C300">
        <v>4350125</v>
      </c>
      <c r="D300" t="s">
        <v>1898</v>
      </c>
      <c r="E300" t="s">
        <v>1607</v>
      </c>
      <c r="F300" t="s">
        <v>1608</v>
      </c>
      <c r="G300" t="s">
        <v>1609</v>
      </c>
      <c r="H300" t="s">
        <v>1610</v>
      </c>
      <c r="J300" t="s">
        <v>195</v>
      </c>
      <c r="U300" t="s">
        <v>1459</v>
      </c>
      <c r="V300" t="s">
        <v>1385</v>
      </c>
      <c r="W300">
        <v>77838211588</v>
      </c>
      <c r="X300">
        <v>10077838111588</v>
      </c>
      <c r="Y300" t="s">
        <v>1611</v>
      </c>
      <c r="Z300" t="s">
        <v>1612</v>
      </c>
      <c r="AA300" t="s">
        <v>421</v>
      </c>
      <c r="AB300" t="s">
        <v>990</v>
      </c>
      <c r="AC300" t="s">
        <v>188</v>
      </c>
      <c r="AD300" t="s">
        <v>1613</v>
      </c>
      <c r="AE300" t="s">
        <v>1319</v>
      </c>
      <c r="AF300" t="s">
        <v>185</v>
      </c>
      <c r="AG300">
        <v>392410.2</v>
      </c>
      <c r="AH300">
        <v>70</v>
      </c>
    </row>
    <row r="301" spans="1:105" x14ac:dyDescent="0.25">
      <c r="A301" t="s">
        <v>1899</v>
      </c>
      <c r="B301" t="e">
        <f>_xlfn.XLOOKUP(C301,'[1]Image URL'!$E:$E,'[1]Image URL'!$A:$A)</f>
        <v>#N/A</v>
      </c>
      <c r="C301">
        <v>740502</v>
      </c>
      <c r="D301" t="s">
        <v>1901</v>
      </c>
      <c r="E301" t="s">
        <v>1902</v>
      </c>
      <c r="H301" t="s">
        <v>1903</v>
      </c>
      <c r="J301" t="s">
        <v>195</v>
      </c>
      <c r="U301" t="s">
        <v>1459</v>
      </c>
      <c r="V301" t="s">
        <v>1385</v>
      </c>
      <c r="W301">
        <v>77838211373</v>
      </c>
      <c r="X301">
        <v>10077838111373</v>
      </c>
      <c r="Y301" t="s">
        <v>1233</v>
      </c>
      <c r="Z301" t="s">
        <v>1904</v>
      </c>
      <c r="AA301" t="s">
        <v>1420</v>
      </c>
      <c r="AB301" t="s">
        <v>1905</v>
      </c>
      <c r="AC301" t="s">
        <v>152</v>
      </c>
      <c r="AD301" t="s">
        <v>1390</v>
      </c>
      <c r="AE301" t="s">
        <v>184</v>
      </c>
      <c r="AF301" t="s">
        <v>315</v>
      </c>
      <c r="AG301">
        <v>392410.2</v>
      </c>
      <c r="AH301">
        <v>70</v>
      </c>
      <c r="AM301" t="s">
        <v>1805</v>
      </c>
      <c r="AN301" t="s">
        <v>1906</v>
      </c>
    </row>
    <row r="302" spans="1:105" x14ac:dyDescent="0.25">
      <c r="A302" t="s">
        <v>1907</v>
      </c>
      <c r="B302" t="e">
        <f>_xlfn.XLOOKUP(C302,'[1]Image URL'!$E:$E,'[1]Image URL'!$A:$A)</f>
        <v>#N/A</v>
      </c>
      <c r="C302">
        <v>5310237</v>
      </c>
      <c r="D302" t="s">
        <v>1909</v>
      </c>
      <c r="E302" t="s">
        <v>1910</v>
      </c>
      <c r="H302" t="s">
        <v>1911</v>
      </c>
      <c r="J302" t="s">
        <v>195</v>
      </c>
      <c r="U302" t="s">
        <v>1459</v>
      </c>
      <c r="V302" t="s">
        <v>1385</v>
      </c>
      <c r="W302">
        <v>77838812778</v>
      </c>
      <c r="X302">
        <v>10077838812775</v>
      </c>
      <c r="Y302" t="s">
        <v>967</v>
      </c>
      <c r="Z302" t="s">
        <v>1912</v>
      </c>
      <c r="AA302" t="s">
        <v>1913</v>
      </c>
      <c r="AB302" t="s">
        <v>462</v>
      </c>
      <c r="AC302" t="s">
        <v>866</v>
      </c>
      <c r="AD302" t="s">
        <v>301</v>
      </c>
      <c r="AE302" t="s">
        <v>349</v>
      </c>
      <c r="AF302" t="s">
        <v>235</v>
      </c>
      <c r="AG302">
        <v>392410.2</v>
      </c>
      <c r="AH302">
        <v>70</v>
      </c>
      <c r="AN302" t="s">
        <v>1553</v>
      </c>
      <c r="AT302" t="s">
        <v>1911</v>
      </c>
      <c r="CW302" t="s">
        <v>193</v>
      </c>
    </row>
    <row r="303" spans="1:105" x14ac:dyDescent="0.25">
      <c r="A303" t="s">
        <v>1914</v>
      </c>
      <c r="B303" t="e">
        <f>_xlfn.XLOOKUP(C303,'[1]Image URL'!$E:$E,'[1]Image URL'!$A:$A)</f>
        <v>#N/A</v>
      </c>
      <c r="C303" t="s">
        <v>2193</v>
      </c>
      <c r="D303" t="s">
        <v>1915</v>
      </c>
      <c r="E303" t="s">
        <v>1916</v>
      </c>
      <c r="F303" t="s">
        <v>1917</v>
      </c>
      <c r="G303" t="s">
        <v>1917</v>
      </c>
      <c r="H303" t="s">
        <v>1918</v>
      </c>
      <c r="I303" t="s">
        <v>194</v>
      </c>
      <c r="J303" t="s">
        <v>195</v>
      </c>
      <c r="M303" t="s">
        <v>1919</v>
      </c>
      <c r="T303" t="s">
        <v>1920</v>
      </c>
      <c r="U303" t="s">
        <v>196</v>
      </c>
      <c r="V303" t="s">
        <v>157</v>
      </c>
      <c r="W303">
        <v>77838500019</v>
      </c>
      <c r="X303">
        <v>10077838000011</v>
      </c>
      <c r="Y303" t="s">
        <v>1718</v>
      </c>
      <c r="Z303" t="s">
        <v>1912</v>
      </c>
      <c r="AA303" t="s">
        <v>1921</v>
      </c>
      <c r="AB303" t="s">
        <v>1485</v>
      </c>
      <c r="AC303" t="s">
        <v>233</v>
      </c>
      <c r="AD303" t="s">
        <v>301</v>
      </c>
      <c r="AE303" t="s">
        <v>184</v>
      </c>
      <c r="AF303" t="s">
        <v>164</v>
      </c>
      <c r="AG303">
        <v>392410.2</v>
      </c>
      <c r="AH303">
        <v>125</v>
      </c>
      <c r="AL303" t="s">
        <v>1922</v>
      </c>
      <c r="AN303" t="s">
        <v>1917</v>
      </c>
    </row>
    <row r="304" spans="1:105" x14ac:dyDescent="0.25">
      <c r="A304" t="s">
        <v>1923</v>
      </c>
      <c r="B304" t="e">
        <f>_xlfn.XLOOKUP(C304,'[1]Image URL'!$E:$E,'[1]Image URL'!$A:$A)</f>
        <v>#N/A</v>
      </c>
      <c r="C304">
        <v>5401853</v>
      </c>
      <c r="D304" t="s">
        <v>1925</v>
      </c>
      <c r="E304" t="s">
        <v>1926</v>
      </c>
      <c r="H304" t="s">
        <v>1927</v>
      </c>
      <c r="J304" t="s">
        <v>195</v>
      </c>
      <c r="U304" t="s">
        <v>1459</v>
      </c>
      <c r="V304" t="s">
        <v>1385</v>
      </c>
      <c r="W304">
        <v>77838211120</v>
      </c>
      <c r="X304">
        <v>10077838111120</v>
      </c>
      <c r="Y304" t="s">
        <v>1928</v>
      </c>
      <c r="Z304" t="s">
        <v>1509</v>
      </c>
      <c r="AA304" t="s">
        <v>1929</v>
      </c>
      <c r="AB304" t="s">
        <v>503</v>
      </c>
      <c r="AC304" t="s">
        <v>503</v>
      </c>
      <c r="AD304" t="s">
        <v>867</v>
      </c>
      <c r="AE304" t="s">
        <v>635</v>
      </c>
      <c r="AF304" t="s">
        <v>235</v>
      </c>
      <c r="AG304">
        <v>392410.2</v>
      </c>
      <c r="AH304">
        <v>70</v>
      </c>
      <c r="AN304" t="s">
        <v>338</v>
      </c>
      <c r="AT304" t="s">
        <v>1927</v>
      </c>
    </row>
    <row r="305" spans="1:102" x14ac:dyDescent="0.25">
      <c r="A305" t="s">
        <v>1930</v>
      </c>
      <c r="B305" t="e">
        <f>_xlfn.XLOOKUP(C305,'[1]Image URL'!$E:$E,'[1]Image URL'!$A:$A)</f>
        <v>#N/A</v>
      </c>
      <c r="C305">
        <v>4350314</v>
      </c>
      <c r="D305" t="s">
        <v>1931</v>
      </c>
      <c r="E305" t="s">
        <v>1574</v>
      </c>
      <c r="F305" t="s">
        <v>169</v>
      </c>
      <c r="G305" t="s">
        <v>169</v>
      </c>
      <c r="H305" t="s">
        <v>334</v>
      </c>
      <c r="J305" t="s">
        <v>195</v>
      </c>
      <c r="U305" t="s">
        <v>1459</v>
      </c>
      <c r="V305" t="s">
        <v>1385</v>
      </c>
      <c r="W305">
        <v>77838885604</v>
      </c>
      <c r="X305">
        <v>10077838885601</v>
      </c>
      <c r="Y305" t="s">
        <v>1843</v>
      </c>
      <c r="Z305" t="s">
        <v>297</v>
      </c>
      <c r="AA305" t="s">
        <v>1932</v>
      </c>
      <c r="AB305" t="s">
        <v>995</v>
      </c>
      <c r="AC305" t="s">
        <v>523</v>
      </c>
      <c r="AD305" t="s">
        <v>446</v>
      </c>
      <c r="AE305" t="s">
        <v>184</v>
      </c>
      <c r="AF305" t="s">
        <v>302</v>
      </c>
      <c r="AG305">
        <v>392410.2</v>
      </c>
      <c r="AH305">
        <v>65</v>
      </c>
      <c r="AL305" t="s">
        <v>1933</v>
      </c>
      <c r="BH305" t="s">
        <v>169</v>
      </c>
      <c r="BI305" t="s">
        <v>1934</v>
      </c>
      <c r="CX305" t="s">
        <v>145</v>
      </c>
    </row>
    <row r="306" spans="1:102" x14ac:dyDescent="0.25">
      <c r="A306" t="s">
        <v>1935</v>
      </c>
      <c r="B306" t="e">
        <f>_xlfn.XLOOKUP(C306,'[1]Image URL'!$E:$E,'[1]Image URL'!$A:$A)</f>
        <v>#N/A</v>
      </c>
      <c r="C306">
        <v>3304205</v>
      </c>
      <c r="D306" t="s">
        <v>1937</v>
      </c>
      <c r="E306" t="s">
        <v>1938</v>
      </c>
      <c r="F306" t="s">
        <v>288</v>
      </c>
      <c r="G306" t="s">
        <v>288</v>
      </c>
      <c r="H306" t="s">
        <v>1939</v>
      </c>
      <c r="J306" t="s">
        <v>195</v>
      </c>
      <c r="M306" t="s">
        <v>1711</v>
      </c>
      <c r="T306" t="s">
        <v>1940</v>
      </c>
      <c r="U306" t="s">
        <v>1459</v>
      </c>
      <c r="V306" t="s">
        <v>1385</v>
      </c>
      <c r="W306">
        <v>77838233368</v>
      </c>
      <c r="X306">
        <v>10077838033361</v>
      </c>
      <c r="Y306" t="s">
        <v>1941</v>
      </c>
      <c r="Z306" t="s">
        <v>1460</v>
      </c>
      <c r="AA306" t="s">
        <v>542</v>
      </c>
      <c r="AB306" t="s">
        <v>531</v>
      </c>
      <c r="AC306" t="s">
        <v>332</v>
      </c>
      <c r="AD306" t="s">
        <v>1942</v>
      </c>
      <c r="AE306" t="s">
        <v>315</v>
      </c>
      <c r="AF306" t="s">
        <v>164</v>
      </c>
      <c r="AG306">
        <v>392410.2</v>
      </c>
      <c r="AH306">
        <v>100</v>
      </c>
      <c r="AL306" t="s">
        <v>1943</v>
      </c>
      <c r="CC306" t="s">
        <v>288</v>
      </c>
      <c r="CQ306" t="s">
        <v>1944</v>
      </c>
    </row>
    <row r="307" spans="1:102" x14ac:dyDescent="0.25">
      <c r="A307" t="s">
        <v>1945</v>
      </c>
      <c r="B307" t="e">
        <f>_xlfn.XLOOKUP(C307,'[1]Image URL'!$E:$E,'[1]Image URL'!$A:$A)</f>
        <v>#N/A</v>
      </c>
      <c r="C307">
        <v>5301002</v>
      </c>
      <c r="D307" t="s">
        <v>1946</v>
      </c>
      <c r="E307" t="s">
        <v>1574</v>
      </c>
      <c r="H307" t="s">
        <v>1650</v>
      </c>
      <c r="J307" t="s">
        <v>195</v>
      </c>
      <c r="U307" t="s">
        <v>1459</v>
      </c>
      <c r="V307" t="s">
        <v>1385</v>
      </c>
      <c r="W307">
        <v>77838885574</v>
      </c>
      <c r="X307">
        <v>10077838885571</v>
      </c>
      <c r="Y307" t="s">
        <v>452</v>
      </c>
      <c r="Z307" t="s">
        <v>844</v>
      </c>
      <c r="AA307" t="s">
        <v>599</v>
      </c>
      <c r="AB307" t="s">
        <v>599</v>
      </c>
      <c r="AC307" t="s">
        <v>288</v>
      </c>
      <c r="AD307" t="s">
        <v>634</v>
      </c>
      <c r="AE307" t="s">
        <v>163</v>
      </c>
      <c r="AF307" t="s">
        <v>185</v>
      </c>
      <c r="AG307">
        <v>392410.2</v>
      </c>
      <c r="AH307">
        <v>60</v>
      </c>
      <c r="AN307" t="s">
        <v>211</v>
      </c>
      <c r="CX307" t="s">
        <v>145</v>
      </c>
    </row>
    <row r="308" spans="1:102" x14ac:dyDescent="0.25">
      <c r="A308" t="s">
        <v>1947</v>
      </c>
      <c r="B308" t="e">
        <f>_xlfn.XLOOKUP(C308,'[1]Image URL'!$E:$E,'[1]Image URL'!$A:$A)</f>
        <v>#N/A</v>
      </c>
      <c r="C308">
        <v>3303802</v>
      </c>
      <c r="D308" t="s">
        <v>1648</v>
      </c>
      <c r="E308" t="s">
        <v>1948</v>
      </c>
      <c r="F308" t="s">
        <v>1949</v>
      </c>
      <c r="G308" t="s">
        <v>1949</v>
      </c>
      <c r="H308" t="s">
        <v>509</v>
      </c>
      <c r="J308" t="s">
        <v>195</v>
      </c>
      <c r="U308" t="s">
        <v>1459</v>
      </c>
      <c r="V308" t="s">
        <v>1385</v>
      </c>
      <c r="W308">
        <v>77838823149</v>
      </c>
      <c r="X308">
        <v>10077838823146</v>
      </c>
      <c r="Y308" t="s">
        <v>1950</v>
      </c>
      <c r="Z308" t="s">
        <v>241</v>
      </c>
      <c r="AA308" t="s">
        <v>821</v>
      </c>
      <c r="AB308" t="s">
        <v>1951</v>
      </c>
      <c r="AC308" t="s">
        <v>242</v>
      </c>
      <c r="AD308" t="s">
        <v>1942</v>
      </c>
      <c r="AE308" t="s">
        <v>303</v>
      </c>
      <c r="AF308" t="s">
        <v>456</v>
      </c>
      <c r="AG308">
        <v>392410.2</v>
      </c>
      <c r="AH308">
        <v>60</v>
      </c>
      <c r="AL308" t="s">
        <v>1041</v>
      </c>
      <c r="AN308" t="s">
        <v>1949</v>
      </c>
      <c r="AT308" t="s">
        <v>509</v>
      </c>
    </row>
    <row r="309" spans="1:102" x14ac:dyDescent="0.25">
      <c r="A309" t="s">
        <v>1952</v>
      </c>
      <c r="B309" t="e">
        <f>_xlfn.XLOOKUP(C309,'[1]Image URL'!$E:$E,'[1]Image URL'!$A:$A)</f>
        <v>#N/A</v>
      </c>
      <c r="C309" t="s">
        <v>2215</v>
      </c>
      <c r="D309" t="s">
        <v>1954</v>
      </c>
      <c r="E309" t="s">
        <v>1955</v>
      </c>
      <c r="H309" t="s">
        <v>1956</v>
      </c>
      <c r="J309" t="s">
        <v>195</v>
      </c>
      <c r="M309" t="s">
        <v>1269</v>
      </c>
      <c r="U309" t="s">
        <v>1459</v>
      </c>
      <c r="V309" t="s">
        <v>1385</v>
      </c>
      <c r="W309">
        <v>77838111741</v>
      </c>
      <c r="X309">
        <v>10077838111748</v>
      </c>
      <c r="Y309" t="s">
        <v>595</v>
      </c>
      <c r="Z309" t="s">
        <v>1957</v>
      </c>
      <c r="AA309" t="s">
        <v>1846</v>
      </c>
      <c r="AB309" t="s">
        <v>1371</v>
      </c>
      <c r="AC309" t="s">
        <v>1674</v>
      </c>
      <c r="AD309" t="s">
        <v>1644</v>
      </c>
      <c r="AE309" t="s">
        <v>204</v>
      </c>
      <c r="AF309" t="s">
        <v>268</v>
      </c>
      <c r="AG309">
        <v>392410.2</v>
      </c>
      <c r="AH309">
        <v>70</v>
      </c>
      <c r="AM309" t="s">
        <v>1958</v>
      </c>
      <c r="AN309" t="s">
        <v>766</v>
      </c>
    </row>
    <row r="310" spans="1:102" x14ac:dyDescent="0.25">
      <c r="A310" t="s">
        <v>1959</v>
      </c>
      <c r="B310" t="e">
        <f>_xlfn.XLOOKUP(C310,'[1]Image URL'!$E:$E,'[1]Image URL'!$A:$A)</f>
        <v>#N/A</v>
      </c>
      <c r="C310">
        <v>3301842</v>
      </c>
      <c r="D310" t="s">
        <v>1960</v>
      </c>
      <c r="E310" t="s">
        <v>1507</v>
      </c>
      <c r="F310" t="s">
        <v>1672</v>
      </c>
      <c r="G310" t="s">
        <v>1672</v>
      </c>
      <c r="H310" t="s">
        <v>1567</v>
      </c>
      <c r="J310" t="s">
        <v>195</v>
      </c>
      <c r="U310" t="s">
        <v>1459</v>
      </c>
      <c r="V310" t="s">
        <v>1385</v>
      </c>
      <c r="W310">
        <v>77838870341</v>
      </c>
      <c r="X310">
        <v>10077838870348</v>
      </c>
      <c r="Y310" t="s">
        <v>1673</v>
      </c>
      <c r="Z310" t="s">
        <v>1652</v>
      </c>
      <c r="AA310" t="s">
        <v>668</v>
      </c>
      <c r="AB310" t="s">
        <v>668</v>
      </c>
      <c r="AC310" t="s">
        <v>1674</v>
      </c>
      <c r="AD310" t="s">
        <v>555</v>
      </c>
      <c r="AE310" t="s">
        <v>315</v>
      </c>
      <c r="AF310" t="s">
        <v>268</v>
      </c>
      <c r="AG310">
        <v>392410.2</v>
      </c>
      <c r="AH310">
        <v>65</v>
      </c>
      <c r="AL310" t="s">
        <v>1675</v>
      </c>
      <c r="AN310" t="s">
        <v>451</v>
      </c>
      <c r="CW310" t="s">
        <v>1571</v>
      </c>
    </row>
    <row r="311" spans="1:102" x14ac:dyDescent="0.25">
      <c r="A311" t="s">
        <v>1961</v>
      </c>
      <c r="B311" t="e">
        <f>_xlfn.XLOOKUP(C311,'[1]Image URL'!$E:$E,'[1]Image URL'!$A:$A)</f>
        <v>#N/A</v>
      </c>
      <c r="C311" t="s">
        <v>2221</v>
      </c>
      <c r="D311" t="s">
        <v>1962</v>
      </c>
      <c r="E311" t="s">
        <v>1963</v>
      </c>
      <c r="F311" t="s">
        <v>1964</v>
      </c>
      <c r="G311" t="s">
        <v>1964</v>
      </c>
      <c r="H311" t="s">
        <v>1965</v>
      </c>
      <c r="J311" t="s">
        <v>195</v>
      </c>
      <c r="U311" t="s">
        <v>1459</v>
      </c>
      <c r="V311" t="s">
        <v>1385</v>
      </c>
      <c r="W311">
        <v>77838102305</v>
      </c>
      <c r="X311">
        <v>10077838102302</v>
      </c>
      <c r="Y311" t="s">
        <v>1642</v>
      </c>
      <c r="Z311" t="s">
        <v>1966</v>
      </c>
      <c r="AA311" t="s">
        <v>549</v>
      </c>
      <c r="AB311" t="s">
        <v>161</v>
      </c>
      <c r="AC311" t="s">
        <v>192</v>
      </c>
      <c r="AD311" t="s">
        <v>1142</v>
      </c>
      <c r="AE311" t="s">
        <v>204</v>
      </c>
      <c r="AF311" t="s">
        <v>235</v>
      </c>
      <c r="AG311">
        <v>392410.2</v>
      </c>
      <c r="AH311">
        <v>70</v>
      </c>
      <c r="AL311" t="s">
        <v>343</v>
      </c>
      <c r="AM311" t="s">
        <v>1577</v>
      </c>
      <c r="AT311" t="s">
        <v>1965</v>
      </c>
      <c r="BQ311" t="s">
        <v>1967</v>
      </c>
    </row>
    <row r="312" spans="1:102" x14ac:dyDescent="0.25">
      <c r="A312" t="s">
        <v>1968</v>
      </c>
      <c r="B312" t="e">
        <f>_xlfn.XLOOKUP(C312,'[1]Image URL'!$E:$E,'[1]Image URL'!$A:$A)</f>
        <v>#N/A</v>
      </c>
      <c r="C312">
        <v>3300802</v>
      </c>
      <c r="D312" t="s">
        <v>1969</v>
      </c>
      <c r="E312" t="s">
        <v>1574</v>
      </c>
      <c r="F312" t="s">
        <v>466</v>
      </c>
      <c r="G312" t="s">
        <v>466</v>
      </c>
      <c r="H312" t="s">
        <v>340</v>
      </c>
      <c r="J312" t="s">
        <v>195</v>
      </c>
      <c r="M312" t="s">
        <v>1461</v>
      </c>
      <c r="T312" t="s">
        <v>1869</v>
      </c>
      <c r="U312" t="s">
        <v>1459</v>
      </c>
      <c r="V312" t="s">
        <v>1385</v>
      </c>
      <c r="W312">
        <v>77838888063</v>
      </c>
      <c r="X312">
        <v>10077838888060</v>
      </c>
      <c r="Y312" t="s">
        <v>1970</v>
      </c>
      <c r="Z312" t="s">
        <v>884</v>
      </c>
      <c r="AA312" t="s">
        <v>1971</v>
      </c>
      <c r="AB312" t="s">
        <v>1972</v>
      </c>
      <c r="AC312" t="s">
        <v>1973</v>
      </c>
      <c r="AD312" t="s">
        <v>1765</v>
      </c>
      <c r="AE312" t="s">
        <v>204</v>
      </c>
      <c r="AF312" t="s">
        <v>164</v>
      </c>
      <c r="AG312">
        <v>392410.2</v>
      </c>
      <c r="AH312">
        <v>65</v>
      </c>
      <c r="AL312" t="s">
        <v>1974</v>
      </c>
      <c r="BH312" t="s">
        <v>466</v>
      </c>
      <c r="BI312" t="s">
        <v>211</v>
      </c>
      <c r="CQ312" t="s">
        <v>340</v>
      </c>
    </row>
    <row r="313" spans="1:102" x14ac:dyDescent="0.25">
      <c r="A313" t="s">
        <v>1975</v>
      </c>
      <c r="B313" t="e">
        <f>_xlfn.XLOOKUP(C313,'[1]Image URL'!$E:$E,'[1]Image URL'!$A:$A)</f>
        <v>#N/A</v>
      </c>
      <c r="C313">
        <v>3301805</v>
      </c>
      <c r="D313" t="s">
        <v>1976</v>
      </c>
      <c r="E313" t="s">
        <v>1977</v>
      </c>
      <c r="F313" t="s">
        <v>1978</v>
      </c>
      <c r="G313" t="s">
        <v>1978</v>
      </c>
      <c r="H313" t="s">
        <v>1979</v>
      </c>
      <c r="I313" t="s">
        <v>194</v>
      </c>
      <c r="J313" t="s">
        <v>195</v>
      </c>
      <c r="M313" t="s">
        <v>1940</v>
      </c>
      <c r="T313" t="s">
        <v>1473</v>
      </c>
      <c r="U313" t="s">
        <v>196</v>
      </c>
      <c r="V313" t="s">
        <v>157</v>
      </c>
      <c r="W313">
        <v>77838208328</v>
      </c>
      <c r="X313">
        <v>10077838008321</v>
      </c>
      <c r="Y313" t="s">
        <v>905</v>
      </c>
      <c r="Z313" t="s">
        <v>1294</v>
      </c>
      <c r="AA313" t="s">
        <v>1980</v>
      </c>
      <c r="AB313" t="s">
        <v>752</v>
      </c>
      <c r="AC313" t="s">
        <v>223</v>
      </c>
      <c r="AD313" t="s">
        <v>555</v>
      </c>
      <c r="AE313" t="s">
        <v>268</v>
      </c>
      <c r="AF313" t="s">
        <v>315</v>
      </c>
      <c r="AG313">
        <v>392410.2</v>
      </c>
      <c r="AH313">
        <v>70</v>
      </c>
      <c r="AL313" t="s">
        <v>1981</v>
      </c>
      <c r="AN313" t="s">
        <v>1978</v>
      </c>
      <c r="CC313" t="s">
        <v>1978</v>
      </c>
      <c r="CQ313" t="s">
        <v>1982</v>
      </c>
    </row>
    <row r="314" spans="1:102" x14ac:dyDescent="0.25">
      <c r="A314" t="s">
        <v>1983</v>
      </c>
      <c r="B314" t="e">
        <f>_xlfn.XLOOKUP(C314,'[1]Image URL'!$E:$E,'[1]Image URL'!$A:$A)</f>
        <v>#N/A</v>
      </c>
      <c r="C314" t="s">
        <v>2229</v>
      </c>
      <c r="D314" t="s">
        <v>1984</v>
      </c>
      <c r="E314" t="s">
        <v>1649</v>
      </c>
      <c r="F314" t="s">
        <v>211</v>
      </c>
      <c r="G314" t="s">
        <v>211</v>
      </c>
      <c r="H314" t="s">
        <v>1650</v>
      </c>
      <c r="J314" t="s">
        <v>195</v>
      </c>
      <c r="U314" t="s">
        <v>1459</v>
      </c>
      <c r="V314" t="s">
        <v>1385</v>
      </c>
      <c r="W314">
        <v>77838822913</v>
      </c>
      <c r="X314">
        <v>10077838822910</v>
      </c>
      <c r="Y314" t="s">
        <v>1651</v>
      </c>
      <c r="Z314" t="s">
        <v>1652</v>
      </c>
      <c r="AA314" t="s">
        <v>542</v>
      </c>
      <c r="AB314" t="s">
        <v>329</v>
      </c>
      <c r="AC314" t="s">
        <v>192</v>
      </c>
      <c r="AD314" t="s">
        <v>183</v>
      </c>
      <c r="AE314" t="s">
        <v>184</v>
      </c>
      <c r="AF314" t="s">
        <v>185</v>
      </c>
      <c r="AG314">
        <v>392410.2</v>
      </c>
      <c r="AH314">
        <v>60</v>
      </c>
      <c r="AL314" t="s">
        <v>1653</v>
      </c>
      <c r="AN314" t="s">
        <v>594</v>
      </c>
      <c r="AT314" t="s">
        <v>1650</v>
      </c>
    </row>
    <row r="315" spans="1:102" x14ac:dyDescent="0.25">
      <c r="A315" t="s">
        <v>1985</v>
      </c>
      <c r="B315" t="e">
        <f>_xlfn.XLOOKUP(C315,'[1]Image URL'!$E:$E,'[1]Image URL'!$A:$A)</f>
        <v>#N/A</v>
      </c>
      <c r="C315">
        <v>5311072</v>
      </c>
      <c r="D315" t="s">
        <v>1987</v>
      </c>
      <c r="E315" t="s">
        <v>1988</v>
      </c>
      <c r="I315" t="s">
        <v>194</v>
      </c>
      <c r="J315" t="s">
        <v>195</v>
      </c>
      <c r="U315" t="s">
        <v>196</v>
      </c>
      <c r="V315" t="s">
        <v>157</v>
      </c>
      <c r="W315">
        <v>77838024225</v>
      </c>
      <c r="X315">
        <v>10077838024222</v>
      </c>
      <c r="Y315" t="s">
        <v>1989</v>
      </c>
      <c r="Z315" t="s">
        <v>574</v>
      </c>
      <c r="AA315" t="s">
        <v>996</v>
      </c>
      <c r="AB315" t="s">
        <v>995</v>
      </c>
      <c r="AC315" t="s">
        <v>1990</v>
      </c>
      <c r="AD315" t="s">
        <v>446</v>
      </c>
      <c r="AE315" t="s">
        <v>507</v>
      </c>
      <c r="AF315" t="s">
        <v>456</v>
      </c>
      <c r="AG315">
        <v>392410.2</v>
      </c>
      <c r="AH315">
        <v>65</v>
      </c>
      <c r="AN315" t="s">
        <v>472</v>
      </c>
      <c r="AT315" t="s">
        <v>1726</v>
      </c>
    </row>
    <row r="316" spans="1:102" x14ac:dyDescent="0.25">
      <c r="A316" t="s">
        <v>1991</v>
      </c>
      <c r="B316" t="e">
        <f>_xlfn.XLOOKUP(C316,'[1]Image URL'!$E:$E,'[1]Image URL'!$A:$A)</f>
        <v>#N/A</v>
      </c>
      <c r="C316">
        <v>5400453</v>
      </c>
      <c r="D316" t="s">
        <v>1992</v>
      </c>
      <c r="E316" t="s">
        <v>1993</v>
      </c>
      <c r="F316" t="s">
        <v>868</v>
      </c>
      <c r="G316" t="s">
        <v>152</v>
      </c>
      <c r="H316" t="s">
        <v>1610</v>
      </c>
      <c r="J316" t="s">
        <v>195</v>
      </c>
      <c r="U316" t="s">
        <v>1459</v>
      </c>
      <c r="V316" t="s">
        <v>1385</v>
      </c>
      <c r="W316">
        <v>77838668306</v>
      </c>
      <c r="X316">
        <v>10077838168308</v>
      </c>
      <c r="Y316" t="s">
        <v>1255</v>
      </c>
      <c r="Z316" t="s">
        <v>1803</v>
      </c>
      <c r="AA316" t="s">
        <v>1674</v>
      </c>
      <c r="AB316" t="s">
        <v>1994</v>
      </c>
      <c r="AC316" t="s">
        <v>668</v>
      </c>
      <c r="AD316" t="s">
        <v>588</v>
      </c>
      <c r="AE316" t="s">
        <v>164</v>
      </c>
      <c r="AF316" t="s">
        <v>268</v>
      </c>
      <c r="AG316">
        <v>392410.2</v>
      </c>
      <c r="AH316">
        <v>60</v>
      </c>
      <c r="AM316" t="s">
        <v>1995</v>
      </c>
    </row>
    <row r="317" spans="1:102" x14ac:dyDescent="0.25">
      <c r="A317" t="s">
        <v>1996</v>
      </c>
      <c r="B317" t="e">
        <f>_xlfn.XLOOKUP(C317,'[1]Image URL'!$E:$E,'[1]Image URL'!$A:$A)</f>
        <v>#N/A</v>
      </c>
      <c r="C317">
        <v>5300802</v>
      </c>
      <c r="D317" t="s">
        <v>1997</v>
      </c>
      <c r="E317" t="s">
        <v>1998</v>
      </c>
      <c r="F317" t="s">
        <v>1999</v>
      </c>
      <c r="G317" t="s">
        <v>1999</v>
      </c>
      <c r="H317" t="s">
        <v>2000</v>
      </c>
      <c r="J317" t="s">
        <v>195</v>
      </c>
      <c r="U317" t="s">
        <v>1459</v>
      </c>
      <c r="V317" t="s">
        <v>1385</v>
      </c>
      <c r="W317">
        <v>77838823019</v>
      </c>
      <c r="X317">
        <v>10077838823016</v>
      </c>
      <c r="Y317" t="s">
        <v>539</v>
      </c>
      <c r="Z317" t="s">
        <v>1141</v>
      </c>
      <c r="AA317" t="s">
        <v>587</v>
      </c>
      <c r="AB317" t="s">
        <v>523</v>
      </c>
      <c r="AC317" t="s">
        <v>696</v>
      </c>
      <c r="AD317" t="s">
        <v>1390</v>
      </c>
      <c r="AE317" t="s">
        <v>184</v>
      </c>
      <c r="AF317" t="s">
        <v>315</v>
      </c>
      <c r="AG317">
        <v>392410.2</v>
      </c>
      <c r="AH317">
        <v>65</v>
      </c>
      <c r="AL317" t="s">
        <v>2001</v>
      </c>
      <c r="AN317" t="s">
        <v>1999</v>
      </c>
      <c r="AT317" t="s">
        <v>2000</v>
      </c>
    </row>
    <row r="318" spans="1:102" x14ac:dyDescent="0.25">
      <c r="A318" t="s">
        <v>2002</v>
      </c>
      <c r="B318" t="e">
        <f>_xlfn.XLOOKUP(C318,'[1]Image URL'!$E:$E,'[1]Image URL'!$A:$A)</f>
        <v>#N/A</v>
      </c>
      <c r="C318">
        <v>5400352</v>
      </c>
      <c r="D318" t="s">
        <v>2003</v>
      </c>
      <c r="E318" t="s">
        <v>2004</v>
      </c>
      <c r="F318" t="s">
        <v>1124</v>
      </c>
      <c r="G318" t="s">
        <v>1124</v>
      </c>
      <c r="H318" t="s">
        <v>2005</v>
      </c>
      <c r="J318" t="s">
        <v>195</v>
      </c>
      <c r="U318" t="s">
        <v>1459</v>
      </c>
      <c r="V318" t="s">
        <v>1385</v>
      </c>
      <c r="W318">
        <v>77838297681</v>
      </c>
      <c r="X318">
        <v>10077838097684</v>
      </c>
      <c r="Y318" t="s">
        <v>1093</v>
      </c>
      <c r="Z318" t="s">
        <v>1904</v>
      </c>
      <c r="AA318" t="s">
        <v>2006</v>
      </c>
      <c r="AB318" t="s">
        <v>2007</v>
      </c>
      <c r="AC318" t="s">
        <v>1239</v>
      </c>
      <c r="AD318" t="s">
        <v>402</v>
      </c>
      <c r="AE318" t="s">
        <v>303</v>
      </c>
      <c r="AF318" t="s">
        <v>235</v>
      </c>
      <c r="AG318">
        <v>392410.2</v>
      </c>
      <c r="AH318">
        <v>60</v>
      </c>
      <c r="AL318" t="s">
        <v>2008</v>
      </c>
      <c r="AT318" t="s">
        <v>2005</v>
      </c>
    </row>
    <row r="319" spans="1:102" x14ac:dyDescent="0.25">
      <c r="A319" t="s">
        <v>2009</v>
      </c>
      <c r="B319" t="e">
        <f>_xlfn.XLOOKUP(C319,'[1]Image URL'!$E:$E,'[1]Image URL'!$A:$A)</f>
        <v>#N/A</v>
      </c>
      <c r="C319">
        <v>5310572</v>
      </c>
      <c r="D319" t="s">
        <v>2010</v>
      </c>
      <c r="E319" t="s">
        <v>1770</v>
      </c>
      <c r="H319" t="s">
        <v>1771</v>
      </c>
      <c r="J319" t="s">
        <v>195</v>
      </c>
      <c r="M319" t="s">
        <v>1666</v>
      </c>
      <c r="U319" t="s">
        <v>1459</v>
      </c>
      <c r="V319" t="s">
        <v>1385</v>
      </c>
      <c r="W319">
        <v>77838823941</v>
      </c>
      <c r="X319">
        <v>10077838823948</v>
      </c>
      <c r="Y319" t="s">
        <v>1772</v>
      </c>
      <c r="Z319" t="s">
        <v>1773</v>
      </c>
      <c r="AA319" t="s">
        <v>311</v>
      </c>
      <c r="AB319" t="s">
        <v>311</v>
      </c>
      <c r="AC319" t="s">
        <v>182</v>
      </c>
      <c r="AD319" t="s">
        <v>647</v>
      </c>
      <c r="AE319" t="s">
        <v>315</v>
      </c>
      <c r="AF319" t="s">
        <v>185</v>
      </c>
      <c r="AG319">
        <v>392410.2</v>
      </c>
      <c r="AH319">
        <v>65</v>
      </c>
      <c r="AM319" t="s">
        <v>1774</v>
      </c>
      <c r="AN319" t="s">
        <v>1775</v>
      </c>
      <c r="AT319" t="s">
        <v>1771</v>
      </c>
    </row>
    <row r="320" spans="1:102" x14ac:dyDescent="0.25">
      <c r="A320" t="s">
        <v>2011</v>
      </c>
      <c r="B320" t="e">
        <f>_xlfn.XLOOKUP(C320,'[1]Image URL'!$E:$E,'[1]Image URL'!$A:$A)</f>
        <v>#N/A</v>
      </c>
      <c r="C320" t="s">
        <v>2246</v>
      </c>
      <c r="D320" t="s">
        <v>2012</v>
      </c>
      <c r="E320" t="s">
        <v>1537</v>
      </c>
      <c r="F320" t="s">
        <v>2013</v>
      </c>
      <c r="G320" t="s">
        <v>2014</v>
      </c>
      <c r="H320" t="s">
        <v>2015</v>
      </c>
      <c r="M320" t="s">
        <v>2016</v>
      </c>
      <c r="T320" t="s">
        <v>2017</v>
      </c>
      <c r="U320" t="s">
        <v>1459</v>
      </c>
      <c r="V320" t="s">
        <v>1385</v>
      </c>
      <c r="W320">
        <v>77838887134</v>
      </c>
      <c r="X320">
        <v>10077838887131</v>
      </c>
      <c r="Y320" t="s">
        <v>2018</v>
      </c>
      <c r="Z320" t="s">
        <v>1727</v>
      </c>
      <c r="AA320" t="s">
        <v>2019</v>
      </c>
      <c r="AB320" t="s">
        <v>2019</v>
      </c>
      <c r="AC320" t="s">
        <v>861</v>
      </c>
      <c r="AD320" t="s">
        <v>183</v>
      </c>
      <c r="AE320" t="s">
        <v>184</v>
      </c>
      <c r="AF320" t="s">
        <v>185</v>
      </c>
      <c r="AG320">
        <v>392410.2</v>
      </c>
      <c r="AH320">
        <v>65</v>
      </c>
      <c r="AL320" t="s">
        <v>2020</v>
      </c>
      <c r="CS320" t="s">
        <v>2021</v>
      </c>
      <c r="CT320" t="s">
        <v>2022</v>
      </c>
      <c r="CU320" t="s">
        <v>2013</v>
      </c>
      <c r="CV320" t="s">
        <v>2023</v>
      </c>
    </row>
    <row r="321" spans="1:103" x14ac:dyDescent="0.25">
      <c r="A321" t="s">
        <v>2024</v>
      </c>
      <c r="B321" t="e">
        <f>_xlfn.XLOOKUP(C321,'[1]Image URL'!$E:$E,'[1]Image URL'!$A:$A)</f>
        <v>#N/A</v>
      </c>
      <c r="C321">
        <v>5310437</v>
      </c>
      <c r="D321" t="s">
        <v>2025</v>
      </c>
      <c r="E321" t="s">
        <v>1537</v>
      </c>
      <c r="F321" t="s">
        <v>1849</v>
      </c>
      <c r="G321" t="s">
        <v>1849</v>
      </c>
      <c r="H321" t="s">
        <v>330</v>
      </c>
      <c r="U321" t="s">
        <v>1459</v>
      </c>
      <c r="V321" t="s">
        <v>1385</v>
      </c>
      <c r="W321">
        <v>77838887349</v>
      </c>
      <c r="X321">
        <v>10077838887346</v>
      </c>
      <c r="Y321" t="s">
        <v>1850</v>
      </c>
      <c r="Z321" t="s">
        <v>219</v>
      </c>
      <c r="AA321" t="s">
        <v>1846</v>
      </c>
      <c r="AB321" t="s">
        <v>472</v>
      </c>
      <c r="AC321" t="s">
        <v>836</v>
      </c>
      <c r="AD321" t="s">
        <v>1851</v>
      </c>
      <c r="AE321" t="s">
        <v>507</v>
      </c>
      <c r="AF321" t="s">
        <v>185</v>
      </c>
      <c r="AG321">
        <v>392410.2</v>
      </c>
      <c r="AH321">
        <v>70</v>
      </c>
      <c r="AL321" t="s">
        <v>1852</v>
      </c>
      <c r="CC321" t="s">
        <v>1853</v>
      </c>
      <c r="CQ321" t="s">
        <v>1854</v>
      </c>
    </row>
    <row r="322" spans="1:103" x14ac:dyDescent="0.25">
      <c r="A322" t="s">
        <v>2026</v>
      </c>
      <c r="B322" t="e">
        <f>_xlfn.XLOOKUP(C322,'[1]Image URL'!$E:$E,'[1]Image URL'!$A:$A)</f>
        <v>#N/A</v>
      </c>
      <c r="C322" t="s">
        <v>2251</v>
      </c>
      <c r="D322" t="s">
        <v>2028</v>
      </c>
      <c r="E322" t="s">
        <v>2029</v>
      </c>
      <c r="F322" t="s">
        <v>188</v>
      </c>
      <c r="G322" t="s">
        <v>188</v>
      </c>
      <c r="H322" t="s">
        <v>186</v>
      </c>
      <c r="J322" t="s">
        <v>195</v>
      </c>
      <c r="M322" t="s">
        <v>1717</v>
      </c>
      <c r="T322" t="s">
        <v>1774</v>
      </c>
      <c r="U322" t="s">
        <v>1459</v>
      </c>
      <c r="V322" t="s">
        <v>1385</v>
      </c>
      <c r="W322">
        <v>77838503416</v>
      </c>
      <c r="X322">
        <v>10077838003418</v>
      </c>
      <c r="Y322" t="s">
        <v>2030</v>
      </c>
      <c r="Z322" t="s">
        <v>2031</v>
      </c>
      <c r="AA322" t="s">
        <v>1226</v>
      </c>
      <c r="AB322" t="s">
        <v>311</v>
      </c>
      <c r="AC322" t="s">
        <v>200</v>
      </c>
      <c r="AD322" t="s">
        <v>669</v>
      </c>
      <c r="AE322" t="s">
        <v>1113</v>
      </c>
      <c r="AF322" t="s">
        <v>235</v>
      </c>
      <c r="AG322">
        <v>392410.2</v>
      </c>
      <c r="AH322">
        <v>100</v>
      </c>
      <c r="AL322" t="s">
        <v>2032</v>
      </c>
      <c r="CC322" t="s">
        <v>188</v>
      </c>
      <c r="CQ322" t="s">
        <v>374</v>
      </c>
    </row>
    <row r="323" spans="1:103" x14ac:dyDescent="0.25">
      <c r="A323" t="s">
        <v>2033</v>
      </c>
      <c r="B323" t="e">
        <f>_xlfn.XLOOKUP(C323,'[1]Image URL'!$E:$E,'[1]Image URL'!$A:$A)</f>
        <v>#N/A</v>
      </c>
      <c r="C323">
        <v>4380002</v>
      </c>
      <c r="D323" t="s">
        <v>2034</v>
      </c>
      <c r="E323" t="s">
        <v>2035</v>
      </c>
      <c r="F323" t="s">
        <v>2036</v>
      </c>
      <c r="G323" t="s">
        <v>2036</v>
      </c>
      <c r="H323" t="s">
        <v>2037</v>
      </c>
      <c r="J323" t="s">
        <v>195</v>
      </c>
      <c r="U323" t="s">
        <v>1459</v>
      </c>
      <c r="V323" t="s">
        <v>1385</v>
      </c>
      <c r="W323">
        <v>77838595374</v>
      </c>
      <c r="X323">
        <v>10077838095376</v>
      </c>
      <c r="Y323" t="s">
        <v>556</v>
      </c>
      <c r="Z323" t="s">
        <v>2038</v>
      </c>
      <c r="AA323" t="s">
        <v>536</v>
      </c>
      <c r="AB323" t="s">
        <v>2039</v>
      </c>
      <c r="AC323" t="s">
        <v>2040</v>
      </c>
      <c r="AD323" t="s">
        <v>446</v>
      </c>
      <c r="AE323" t="s">
        <v>184</v>
      </c>
      <c r="AF323" t="s">
        <v>302</v>
      </c>
      <c r="AG323">
        <v>392410.2</v>
      </c>
      <c r="AH323">
        <v>70</v>
      </c>
      <c r="AL323" t="s">
        <v>2041</v>
      </c>
      <c r="AM323" t="s">
        <v>1699</v>
      </c>
      <c r="AN323" t="s">
        <v>2036</v>
      </c>
      <c r="AT323" t="s">
        <v>2037</v>
      </c>
    </row>
    <row r="324" spans="1:103" x14ac:dyDescent="0.25">
      <c r="A324" t="s">
        <v>2042</v>
      </c>
      <c r="B324" t="e">
        <f>_xlfn.XLOOKUP(C324,'[1]Image URL'!$E:$E,'[1]Image URL'!$A:$A)</f>
        <v>#N/A</v>
      </c>
      <c r="C324" t="s">
        <v>2259</v>
      </c>
      <c r="D324" t="s">
        <v>2043</v>
      </c>
      <c r="E324" t="s">
        <v>1574</v>
      </c>
      <c r="F324" t="s">
        <v>1714</v>
      </c>
      <c r="G324" t="s">
        <v>324</v>
      </c>
      <c r="H324" t="s">
        <v>2044</v>
      </c>
      <c r="J324" t="s">
        <v>195</v>
      </c>
      <c r="U324" t="s">
        <v>1459</v>
      </c>
      <c r="V324" t="s">
        <v>1385</v>
      </c>
      <c r="W324">
        <v>77838885642</v>
      </c>
      <c r="X324">
        <v>10077838885649</v>
      </c>
      <c r="Y324" t="s">
        <v>2045</v>
      </c>
      <c r="Z324" t="s">
        <v>1752</v>
      </c>
      <c r="AA324" t="s">
        <v>2046</v>
      </c>
      <c r="AB324" t="s">
        <v>2047</v>
      </c>
      <c r="AC324" t="s">
        <v>2048</v>
      </c>
      <c r="AD324" t="s">
        <v>2049</v>
      </c>
      <c r="AE324" t="s">
        <v>802</v>
      </c>
      <c r="AF324" t="s">
        <v>315</v>
      </c>
      <c r="AG324">
        <v>392410.2</v>
      </c>
      <c r="AH324">
        <v>60</v>
      </c>
    </row>
    <row r="325" spans="1:103" x14ac:dyDescent="0.25">
      <c r="A325" t="s">
        <v>2050</v>
      </c>
      <c r="B325" t="e">
        <f>_xlfn.XLOOKUP(C325,'[1]Image URL'!$E:$E,'[1]Image URL'!$A:$A)</f>
        <v>#N/A</v>
      </c>
      <c r="C325" t="s">
        <v>2265</v>
      </c>
      <c r="D325" t="s">
        <v>2051</v>
      </c>
      <c r="E325" t="s">
        <v>2052</v>
      </c>
      <c r="F325" t="s">
        <v>1999</v>
      </c>
      <c r="G325" t="s">
        <v>1999</v>
      </c>
      <c r="H325" t="s">
        <v>2053</v>
      </c>
      <c r="J325" t="s">
        <v>195</v>
      </c>
      <c r="U325" t="s">
        <v>1459</v>
      </c>
      <c r="V325" t="s">
        <v>1385</v>
      </c>
      <c r="W325">
        <v>77838823057</v>
      </c>
      <c r="X325">
        <v>10077838823054</v>
      </c>
      <c r="Y325" t="s">
        <v>2054</v>
      </c>
      <c r="Z325" t="s">
        <v>1764</v>
      </c>
      <c r="AA325" t="s">
        <v>807</v>
      </c>
      <c r="AB325" t="s">
        <v>775</v>
      </c>
      <c r="AC325" t="s">
        <v>395</v>
      </c>
      <c r="AD325" t="s">
        <v>402</v>
      </c>
      <c r="AE325" t="s">
        <v>349</v>
      </c>
      <c r="AF325" t="s">
        <v>315</v>
      </c>
      <c r="AG325">
        <v>392410.2</v>
      </c>
      <c r="AH325">
        <v>65</v>
      </c>
      <c r="AL325" t="s">
        <v>1660</v>
      </c>
      <c r="AN325" t="s">
        <v>2055</v>
      </c>
      <c r="AT325" t="s">
        <v>2053</v>
      </c>
    </row>
    <row r="326" spans="1:103" x14ac:dyDescent="0.25">
      <c r="A326" t="s">
        <v>2056</v>
      </c>
      <c r="B326" t="e">
        <f>_xlfn.XLOOKUP(C326,'[1]Image URL'!$E:$E,'[1]Image URL'!$A:$A)</f>
        <v>#N/A</v>
      </c>
      <c r="C326" t="s">
        <v>2273</v>
      </c>
      <c r="D326" t="s">
        <v>2057</v>
      </c>
      <c r="E326" t="s">
        <v>1574</v>
      </c>
      <c r="F326" t="s">
        <v>2058</v>
      </c>
      <c r="G326" t="s">
        <v>2058</v>
      </c>
      <c r="H326" t="s">
        <v>2059</v>
      </c>
      <c r="J326" t="s">
        <v>195</v>
      </c>
      <c r="U326" t="s">
        <v>1459</v>
      </c>
      <c r="V326" t="s">
        <v>1385</v>
      </c>
      <c r="W326">
        <v>77838885581</v>
      </c>
      <c r="X326">
        <v>10077838885588</v>
      </c>
      <c r="Y326" t="s">
        <v>2060</v>
      </c>
      <c r="Z326" t="s">
        <v>1612</v>
      </c>
      <c r="AA326" t="s">
        <v>1846</v>
      </c>
      <c r="AB326" t="s">
        <v>1259</v>
      </c>
      <c r="AC326" t="s">
        <v>222</v>
      </c>
      <c r="AD326" t="s">
        <v>1765</v>
      </c>
      <c r="AE326" t="s">
        <v>204</v>
      </c>
      <c r="AF326" t="s">
        <v>164</v>
      </c>
      <c r="AG326">
        <v>392410.2</v>
      </c>
      <c r="AH326">
        <v>70</v>
      </c>
      <c r="AL326" t="s">
        <v>2061</v>
      </c>
      <c r="BH326" t="s">
        <v>1570</v>
      </c>
      <c r="BI326" t="s">
        <v>332</v>
      </c>
      <c r="CX326" t="s">
        <v>345</v>
      </c>
    </row>
    <row r="327" spans="1:103" x14ac:dyDescent="0.25">
      <c r="A327" t="s">
        <v>2062</v>
      </c>
      <c r="B327" t="e">
        <f>_xlfn.XLOOKUP(C327,'[1]Image URL'!$E:$E,'[1]Image URL'!$A:$A)</f>
        <v>#N/A</v>
      </c>
      <c r="C327">
        <v>6400215</v>
      </c>
      <c r="D327" t="s">
        <v>2063</v>
      </c>
      <c r="E327" t="s">
        <v>1697</v>
      </c>
      <c r="H327" t="s">
        <v>2064</v>
      </c>
      <c r="J327" t="s">
        <v>195</v>
      </c>
      <c r="M327" t="s">
        <v>1461</v>
      </c>
      <c r="T327" t="s">
        <v>2065</v>
      </c>
      <c r="U327" t="s">
        <v>1459</v>
      </c>
      <c r="V327" t="s">
        <v>1385</v>
      </c>
      <c r="W327">
        <v>77838870334</v>
      </c>
      <c r="X327">
        <v>10077838870331</v>
      </c>
      <c r="Y327" t="s">
        <v>2066</v>
      </c>
      <c r="Z327" t="s">
        <v>1579</v>
      </c>
      <c r="AA327" t="s">
        <v>2067</v>
      </c>
      <c r="AB327" t="s">
        <v>298</v>
      </c>
      <c r="AC327" t="s">
        <v>288</v>
      </c>
      <c r="AD327" t="s">
        <v>997</v>
      </c>
      <c r="AE327" t="s">
        <v>268</v>
      </c>
      <c r="AF327" t="s">
        <v>268</v>
      </c>
      <c r="AG327">
        <v>392410.2</v>
      </c>
      <c r="AH327">
        <v>70</v>
      </c>
      <c r="AN327" t="s">
        <v>466</v>
      </c>
    </row>
    <row r="328" spans="1:103" x14ac:dyDescent="0.25">
      <c r="A328" t="s">
        <v>2068</v>
      </c>
      <c r="B328" t="e">
        <f>_xlfn.XLOOKUP(C328,'[1]Image URL'!$E:$E,'[1]Image URL'!$A:$A)</f>
        <v>#N/A</v>
      </c>
      <c r="C328">
        <v>5310223</v>
      </c>
      <c r="D328" t="s">
        <v>2070</v>
      </c>
      <c r="E328" t="s">
        <v>2071</v>
      </c>
      <c r="H328" t="s">
        <v>1956</v>
      </c>
      <c r="J328" t="s">
        <v>195</v>
      </c>
      <c r="M328" t="s">
        <v>1269</v>
      </c>
      <c r="U328" t="s">
        <v>1459</v>
      </c>
      <c r="V328" t="s">
        <v>1385</v>
      </c>
      <c r="W328">
        <v>77838211533</v>
      </c>
      <c r="X328">
        <v>10077838111533</v>
      </c>
      <c r="Y328" t="s">
        <v>585</v>
      </c>
      <c r="Z328" t="s">
        <v>1266</v>
      </c>
      <c r="AA328" t="s">
        <v>472</v>
      </c>
      <c r="AB328" t="s">
        <v>2072</v>
      </c>
      <c r="AC328" t="s">
        <v>254</v>
      </c>
      <c r="AD328" t="s">
        <v>1644</v>
      </c>
      <c r="AE328" t="s">
        <v>204</v>
      </c>
      <c r="AF328" t="s">
        <v>268</v>
      </c>
      <c r="AG328">
        <v>392410.2</v>
      </c>
      <c r="AH328">
        <v>70</v>
      </c>
      <c r="AM328" t="s">
        <v>1958</v>
      </c>
      <c r="AN328" t="s">
        <v>766</v>
      </c>
    </row>
    <row r="329" spans="1:103" x14ac:dyDescent="0.25">
      <c r="A329" t="s">
        <v>2073</v>
      </c>
      <c r="B329" t="e">
        <f>_xlfn.XLOOKUP(C329,'[1]Image URL'!$E:$E,'[1]Image URL'!$A:$A)</f>
        <v>#N/A</v>
      </c>
      <c r="C329">
        <v>5401918</v>
      </c>
      <c r="D329" t="s">
        <v>2074</v>
      </c>
      <c r="E329" t="s">
        <v>1574</v>
      </c>
      <c r="F329" t="s">
        <v>2075</v>
      </c>
      <c r="G329" t="s">
        <v>2075</v>
      </c>
      <c r="H329" t="s">
        <v>1650</v>
      </c>
      <c r="J329" t="s">
        <v>195</v>
      </c>
      <c r="U329" t="s">
        <v>1459</v>
      </c>
      <c r="V329" t="s">
        <v>1385</v>
      </c>
      <c r="W329">
        <v>77838885550</v>
      </c>
      <c r="X329">
        <v>10077838885557</v>
      </c>
      <c r="Y329" t="s">
        <v>2076</v>
      </c>
      <c r="Z329" t="s">
        <v>1781</v>
      </c>
      <c r="AA329" t="s">
        <v>1753</v>
      </c>
      <c r="AB329" t="s">
        <v>1753</v>
      </c>
      <c r="AC329" t="s">
        <v>1239</v>
      </c>
      <c r="AD329" t="s">
        <v>183</v>
      </c>
      <c r="AE329" t="s">
        <v>184</v>
      </c>
      <c r="AF329" t="s">
        <v>185</v>
      </c>
      <c r="AG329">
        <v>392410.2</v>
      </c>
      <c r="AH329">
        <v>65</v>
      </c>
      <c r="AL329" t="s">
        <v>1675</v>
      </c>
      <c r="AN329" t="s">
        <v>1702</v>
      </c>
      <c r="CX329" t="s">
        <v>242</v>
      </c>
    </row>
    <row r="330" spans="1:103" x14ac:dyDescent="0.25">
      <c r="A330" t="s">
        <v>2077</v>
      </c>
      <c r="B330" t="e">
        <f>_xlfn.XLOOKUP(C330,'[1]Image URL'!$E:$E,'[1]Image URL'!$A:$A)</f>
        <v>#N/A</v>
      </c>
      <c r="C330">
        <v>4352125</v>
      </c>
      <c r="D330" t="s">
        <v>2078</v>
      </c>
      <c r="E330" t="s">
        <v>1697</v>
      </c>
      <c r="H330" t="s">
        <v>1734</v>
      </c>
      <c r="J330" t="s">
        <v>195</v>
      </c>
      <c r="M330" t="s">
        <v>1269</v>
      </c>
      <c r="T330" t="s">
        <v>1735</v>
      </c>
      <c r="U330" t="s">
        <v>1459</v>
      </c>
      <c r="V330" t="s">
        <v>1385</v>
      </c>
      <c r="W330">
        <v>77838870259</v>
      </c>
      <c r="X330">
        <v>10077838870256</v>
      </c>
      <c r="Y330" t="s">
        <v>1736</v>
      </c>
      <c r="Z330" t="s">
        <v>1737</v>
      </c>
      <c r="AA330" t="s">
        <v>522</v>
      </c>
      <c r="AB330" t="s">
        <v>522</v>
      </c>
      <c r="AC330" t="s">
        <v>223</v>
      </c>
      <c r="AD330" t="s">
        <v>1142</v>
      </c>
      <c r="AE330" t="s">
        <v>184</v>
      </c>
      <c r="AF330" t="s">
        <v>349</v>
      </c>
      <c r="AG330">
        <v>392410.2</v>
      </c>
      <c r="AH330">
        <v>65</v>
      </c>
      <c r="AN330" t="s">
        <v>463</v>
      </c>
      <c r="CY330" t="s">
        <v>413</v>
      </c>
    </row>
    <row r="331" spans="1:103" x14ac:dyDescent="0.25">
      <c r="A331" t="s">
        <v>2079</v>
      </c>
      <c r="B331" t="e">
        <f>_xlfn.XLOOKUP(C331,'[1]Image URL'!$E:$E,'[1]Image URL'!$A:$A)</f>
        <v>#N/A</v>
      </c>
      <c r="C331">
        <v>4353102</v>
      </c>
      <c r="D331" t="s">
        <v>2080</v>
      </c>
      <c r="E331" t="s">
        <v>1834</v>
      </c>
      <c r="H331" t="s">
        <v>1204</v>
      </c>
      <c r="J331" t="s">
        <v>195</v>
      </c>
      <c r="U331" t="s">
        <v>1459</v>
      </c>
      <c r="V331" t="s">
        <v>1385</v>
      </c>
      <c r="W331">
        <v>77838823514</v>
      </c>
      <c r="X331">
        <v>10077838823511</v>
      </c>
      <c r="Y331" t="s">
        <v>773</v>
      </c>
      <c r="Z331" t="s">
        <v>1835</v>
      </c>
      <c r="AA331" t="s">
        <v>1836</v>
      </c>
      <c r="AB331" t="s">
        <v>421</v>
      </c>
      <c r="AC331" t="s">
        <v>1720</v>
      </c>
      <c r="AD331" t="s">
        <v>555</v>
      </c>
      <c r="AE331" t="s">
        <v>184</v>
      </c>
      <c r="AF331" t="s">
        <v>235</v>
      </c>
      <c r="AG331">
        <v>392410.2</v>
      </c>
      <c r="AH331">
        <v>70</v>
      </c>
      <c r="AM331" t="s">
        <v>1837</v>
      </c>
      <c r="AN331" t="s">
        <v>1838</v>
      </c>
      <c r="AT331" t="s">
        <v>1204</v>
      </c>
    </row>
    <row r="332" spans="1:103" x14ac:dyDescent="0.25">
      <c r="A332" t="s">
        <v>2081</v>
      </c>
      <c r="B332" t="e">
        <f>_xlfn.XLOOKUP(C332,'[1]Image URL'!$E:$E,'[1]Image URL'!$A:$A)</f>
        <v>#N/A</v>
      </c>
      <c r="C332">
        <v>4352825</v>
      </c>
      <c r="D332" t="s">
        <v>2082</v>
      </c>
      <c r="E332" t="s">
        <v>2083</v>
      </c>
      <c r="H332" t="s">
        <v>2084</v>
      </c>
      <c r="J332" t="s">
        <v>195</v>
      </c>
      <c r="T332" t="s">
        <v>2085</v>
      </c>
      <c r="U332" t="s">
        <v>1459</v>
      </c>
      <c r="V332" t="s">
        <v>1385</v>
      </c>
      <c r="W332">
        <v>77838823613</v>
      </c>
      <c r="X332">
        <v>10077838823610</v>
      </c>
      <c r="Y332" t="s">
        <v>2086</v>
      </c>
      <c r="Z332" t="s">
        <v>1781</v>
      </c>
      <c r="AA332" t="s">
        <v>2087</v>
      </c>
      <c r="AB332" t="s">
        <v>160</v>
      </c>
      <c r="AC332" t="s">
        <v>182</v>
      </c>
      <c r="AD332" t="s">
        <v>402</v>
      </c>
      <c r="AE332" t="s">
        <v>303</v>
      </c>
      <c r="AF332" t="s">
        <v>235</v>
      </c>
      <c r="AG332">
        <v>392410.2</v>
      </c>
      <c r="AH332">
        <v>65</v>
      </c>
      <c r="AM332" t="s">
        <v>1528</v>
      </c>
      <c r="AN332" t="s">
        <v>2088</v>
      </c>
      <c r="AT332" t="s">
        <v>2084</v>
      </c>
    </row>
    <row r="333" spans="1:103" x14ac:dyDescent="0.25">
      <c r="A333" t="s">
        <v>2089</v>
      </c>
      <c r="B333" t="e">
        <f>_xlfn.XLOOKUP(C333,'[1]Image URL'!$E:$E,'[1]Image URL'!$A:$A)</f>
        <v>#N/A</v>
      </c>
      <c r="C333">
        <v>700619</v>
      </c>
      <c r="D333" t="s">
        <v>2090</v>
      </c>
      <c r="E333" t="s">
        <v>1566</v>
      </c>
      <c r="H333" t="s">
        <v>1567</v>
      </c>
      <c r="J333" t="s">
        <v>195</v>
      </c>
      <c r="U333" t="s">
        <v>1459</v>
      </c>
      <c r="V333" t="s">
        <v>1385</v>
      </c>
      <c r="W333">
        <v>77838869864</v>
      </c>
      <c r="X333">
        <v>10077838869861</v>
      </c>
      <c r="Y333" t="s">
        <v>1780</v>
      </c>
      <c r="Z333" t="s">
        <v>1781</v>
      </c>
      <c r="AA333" t="s">
        <v>421</v>
      </c>
      <c r="AB333" t="s">
        <v>421</v>
      </c>
      <c r="AC333" t="s">
        <v>152</v>
      </c>
      <c r="AD333" t="s">
        <v>1424</v>
      </c>
      <c r="AE333" t="s">
        <v>315</v>
      </c>
      <c r="AF333" t="s">
        <v>315</v>
      </c>
      <c r="AG333">
        <v>392410.2</v>
      </c>
      <c r="AH333">
        <v>65</v>
      </c>
      <c r="AN333" t="s">
        <v>451</v>
      </c>
      <c r="CW333" t="s">
        <v>1571</v>
      </c>
    </row>
    <row r="334" spans="1:103" x14ac:dyDescent="0.25">
      <c r="A334" t="s">
        <v>2091</v>
      </c>
      <c r="B334" t="e">
        <f>_xlfn.XLOOKUP(C334,'[1]Image URL'!$E:$E,'[1]Image URL'!$A:$A)</f>
        <v>#N/A</v>
      </c>
      <c r="C334">
        <v>3300842</v>
      </c>
      <c r="D334" t="s">
        <v>2093</v>
      </c>
      <c r="E334" t="s">
        <v>2094</v>
      </c>
      <c r="F334" t="s">
        <v>2095</v>
      </c>
      <c r="G334" t="s">
        <v>2095</v>
      </c>
      <c r="H334" t="s">
        <v>477</v>
      </c>
      <c r="J334" t="s">
        <v>195</v>
      </c>
      <c r="U334" t="s">
        <v>1459</v>
      </c>
      <c r="V334" t="s">
        <v>1385</v>
      </c>
      <c r="W334">
        <v>77838812846</v>
      </c>
      <c r="X334">
        <v>10077838812843</v>
      </c>
      <c r="Y334" t="s">
        <v>2060</v>
      </c>
      <c r="Z334" t="s">
        <v>1835</v>
      </c>
      <c r="AA334" t="s">
        <v>1531</v>
      </c>
      <c r="AB334" t="s">
        <v>421</v>
      </c>
      <c r="AC334" t="s">
        <v>2096</v>
      </c>
      <c r="AD334" t="s">
        <v>1765</v>
      </c>
      <c r="AE334" t="s">
        <v>349</v>
      </c>
      <c r="AF334" t="s">
        <v>349</v>
      </c>
      <c r="AG334">
        <v>392410.2</v>
      </c>
      <c r="AH334">
        <v>70</v>
      </c>
      <c r="AL334" t="s">
        <v>681</v>
      </c>
      <c r="AM334" t="s">
        <v>2097</v>
      </c>
    </row>
    <row r="335" spans="1:103" x14ac:dyDescent="0.25">
      <c r="A335" t="s">
        <v>2098</v>
      </c>
      <c r="B335" t="e">
        <f>_xlfn.XLOOKUP(C335,'[1]Image URL'!$E:$E,'[1]Image URL'!$A:$A)</f>
        <v>#N/A</v>
      </c>
      <c r="C335">
        <v>3300202</v>
      </c>
      <c r="D335" t="s">
        <v>2099</v>
      </c>
      <c r="E335" t="s">
        <v>1537</v>
      </c>
      <c r="F335" t="s">
        <v>1609</v>
      </c>
      <c r="G335" t="s">
        <v>2100</v>
      </c>
      <c r="H335" t="s">
        <v>2101</v>
      </c>
      <c r="M335" t="s">
        <v>2102</v>
      </c>
      <c r="T335" t="s">
        <v>2103</v>
      </c>
      <c r="U335" t="s">
        <v>1459</v>
      </c>
      <c r="V335" t="s">
        <v>1385</v>
      </c>
      <c r="W335">
        <v>77838887486</v>
      </c>
      <c r="X335">
        <v>10077838887483</v>
      </c>
      <c r="Y335" t="s">
        <v>2104</v>
      </c>
      <c r="Z335" t="s">
        <v>1294</v>
      </c>
      <c r="AA335" t="s">
        <v>775</v>
      </c>
      <c r="AB335" t="s">
        <v>1580</v>
      </c>
      <c r="AC335" t="s">
        <v>523</v>
      </c>
      <c r="AD335" t="s">
        <v>997</v>
      </c>
      <c r="AE335" t="s">
        <v>507</v>
      </c>
      <c r="AF335" t="s">
        <v>302</v>
      </c>
      <c r="AG335">
        <v>392410.2</v>
      </c>
      <c r="AH335">
        <v>70</v>
      </c>
      <c r="AL335" t="s">
        <v>2105</v>
      </c>
      <c r="CS335" t="s">
        <v>2106</v>
      </c>
      <c r="CT335" t="s">
        <v>2107</v>
      </c>
      <c r="CU335" t="s">
        <v>1609</v>
      </c>
      <c r="CV335" t="s">
        <v>2108</v>
      </c>
    </row>
    <row r="336" spans="1:103" x14ac:dyDescent="0.25">
      <c r="A336" t="s">
        <v>2109</v>
      </c>
      <c r="B336" t="e">
        <f>_xlfn.XLOOKUP(C336,'[1]Image URL'!$E:$E,'[1]Image URL'!$A:$A)</f>
        <v>#N/A</v>
      </c>
      <c r="C336">
        <v>4353205</v>
      </c>
      <c r="D336" t="s">
        <v>2110</v>
      </c>
      <c r="E336" t="s">
        <v>2111</v>
      </c>
      <c r="F336" t="s">
        <v>1374</v>
      </c>
      <c r="G336" t="s">
        <v>1728</v>
      </c>
      <c r="H336" t="s">
        <v>1567</v>
      </c>
      <c r="J336" t="s">
        <v>195</v>
      </c>
      <c r="O336" t="s">
        <v>1729</v>
      </c>
      <c r="P336" t="s">
        <v>1729</v>
      </c>
      <c r="U336" t="s">
        <v>1459</v>
      </c>
      <c r="V336" t="s">
        <v>1385</v>
      </c>
      <c r="W336">
        <v>77838822579</v>
      </c>
      <c r="X336">
        <v>10077838822576</v>
      </c>
      <c r="Y336" t="s">
        <v>2112</v>
      </c>
      <c r="Z336" t="s">
        <v>1752</v>
      </c>
      <c r="AA336" t="s">
        <v>587</v>
      </c>
      <c r="AB336" t="s">
        <v>587</v>
      </c>
      <c r="AC336" t="s">
        <v>188</v>
      </c>
      <c r="AD336" t="s">
        <v>1851</v>
      </c>
      <c r="AE336" t="s">
        <v>507</v>
      </c>
      <c r="AF336" t="s">
        <v>185</v>
      </c>
      <c r="AG336">
        <v>392410.2</v>
      </c>
      <c r="AH336">
        <v>65</v>
      </c>
      <c r="AN336" t="s">
        <v>1374</v>
      </c>
      <c r="AT336" t="s">
        <v>1567</v>
      </c>
    </row>
    <row r="337" spans="1:101" x14ac:dyDescent="0.25">
      <c r="A337" t="s">
        <v>2113</v>
      </c>
      <c r="B337" t="e">
        <f>_xlfn.XLOOKUP(C337,'[1]Image URL'!$E:$E,'[1]Image URL'!$A:$A)</f>
        <v>#N/A</v>
      </c>
      <c r="C337">
        <v>4354002</v>
      </c>
      <c r="D337" t="s">
        <v>2114</v>
      </c>
      <c r="E337" t="s">
        <v>2115</v>
      </c>
      <c r="F337" t="s">
        <v>379</v>
      </c>
      <c r="G337" t="s">
        <v>379</v>
      </c>
      <c r="H337" t="s">
        <v>145</v>
      </c>
      <c r="I337" t="s">
        <v>194</v>
      </c>
      <c r="J337" t="s">
        <v>195</v>
      </c>
      <c r="M337" t="s">
        <v>2116</v>
      </c>
      <c r="T337" t="s">
        <v>544</v>
      </c>
      <c r="U337" t="s">
        <v>196</v>
      </c>
      <c r="V337" t="s">
        <v>157</v>
      </c>
      <c r="W337">
        <v>77838500033</v>
      </c>
      <c r="X337">
        <v>10077838000035</v>
      </c>
      <c r="Y337" t="s">
        <v>1517</v>
      </c>
      <c r="Z337" t="s">
        <v>1048</v>
      </c>
      <c r="AA337" t="s">
        <v>1845</v>
      </c>
      <c r="AB337" t="s">
        <v>1913</v>
      </c>
      <c r="AC337" t="s">
        <v>775</v>
      </c>
      <c r="AD337" t="s">
        <v>204</v>
      </c>
      <c r="AE337" t="s">
        <v>302</v>
      </c>
      <c r="AF337" t="s">
        <v>164</v>
      </c>
      <c r="AG337">
        <v>392410.2</v>
      </c>
      <c r="AH337">
        <v>125</v>
      </c>
      <c r="AL337" t="s">
        <v>665</v>
      </c>
      <c r="AN337" t="s">
        <v>379</v>
      </c>
    </row>
    <row r="338" spans="1:101" x14ac:dyDescent="0.25">
      <c r="A338" t="s">
        <v>2117</v>
      </c>
      <c r="B338" t="e">
        <f>_xlfn.XLOOKUP(C338,'[1]Image URL'!$E:$E,'[1]Image URL'!$A:$A)</f>
        <v>#N/A</v>
      </c>
      <c r="C338">
        <v>5300180</v>
      </c>
      <c r="D338" t="s">
        <v>2118</v>
      </c>
      <c r="E338" t="s">
        <v>2119</v>
      </c>
      <c r="F338" t="s">
        <v>188</v>
      </c>
      <c r="G338" t="s">
        <v>188</v>
      </c>
      <c r="H338" t="s">
        <v>201</v>
      </c>
      <c r="I338" t="s">
        <v>194</v>
      </c>
      <c r="J338" t="s">
        <v>195</v>
      </c>
      <c r="M338" t="s">
        <v>1711</v>
      </c>
      <c r="T338" t="s">
        <v>1717</v>
      </c>
      <c r="U338" t="s">
        <v>196</v>
      </c>
      <c r="V338" t="s">
        <v>157</v>
      </c>
      <c r="W338">
        <v>77838500446</v>
      </c>
      <c r="X338">
        <v>10077838000448</v>
      </c>
      <c r="Y338" t="s">
        <v>595</v>
      </c>
      <c r="Z338" t="s">
        <v>179</v>
      </c>
      <c r="AA338" t="s">
        <v>893</v>
      </c>
      <c r="AB338" t="s">
        <v>747</v>
      </c>
      <c r="AC338" t="s">
        <v>800</v>
      </c>
      <c r="AD338" t="s">
        <v>1562</v>
      </c>
      <c r="AE338" t="s">
        <v>184</v>
      </c>
      <c r="AF338" t="s">
        <v>268</v>
      </c>
      <c r="AG338">
        <v>392410.2</v>
      </c>
      <c r="AH338">
        <v>85</v>
      </c>
      <c r="AL338" t="s">
        <v>1533</v>
      </c>
      <c r="AN338" t="s">
        <v>188</v>
      </c>
    </row>
    <row r="339" spans="1:101" x14ac:dyDescent="0.25">
      <c r="A339" t="s">
        <v>2120</v>
      </c>
      <c r="B339" t="e">
        <f>_xlfn.XLOOKUP(C339,'[1]Image URL'!$E:$E,'[1]Image URL'!$A:$A)</f>
        <v>#N/A</v>
      </c>
      <c r="C339">
        <v>4330803</v>
      </c>
      <c r="D339" t="s">
        <v>2121</v>
      </c>
      <c r="E339" t="s">
        <v>1841</v>
      </c>
      <c r="F339" t="s">
        <v>192</v>
      </c>
      <c r="G339" t="s">
        <v>192</v>
      </c>
      <c r="H339" t="s">
        <v>1842</v>
      </c>
      <c r="J339" t="s">
        <v>195</v>
      </c>
      <c r="U339" t="s">
        <v>1459</v>
      </c>
      <c r="V339" t="s">
        <v>1385</v>
      </c>
      <c r="W339">
        <v>77838210031</v>
      </c>
      <c r="X339">
        <v>10077838110031</v>
      </c>
      <c r="Y339" t="s">
        <v>1843</v>
      </c>
      <c r="Z339" t="s">
        <v>1844</v>
      </c>
      <c r="AA339" t="s">
        <v>1845</v>
      </c>
      <c r="AB339" t="s">
        <v>1846</v>
      </c>
      <c r="AC339" t="s">
        <v>169</v>
      </c>
      <c r="AD339" t="s">
        <v>588</v>
      </c>
      <c r="AE339" t="s">
        <v>349</v>
      </c>
      <c r="AF339" t="s">
        <v>302</v>
      </c>
      <c r="AG339">
        <v>392410.2</v>
      </c>
      <c r="AH339">
        <v>70</v>
      </c>
      <c r="AL339" t="s">
        <v>1563</v>
      </c>
      <c r="AN339" t="s">
        <v>192</v>
      </c>
      <c r="AT339" t="s">
        <v>1842</v>
      </c>
    </row>
    <row r="340" spans="1:101" x14ac:dyDescent="0.25">
      <c r="A340" t="s">
        <v>2122</v>
      </c>
      <c r="B340" t="e">
        <f>_xlfn.XLOOKUP(C340,'[1]Image URL'!$E:$E,'[1]Image URL'!$A:$A)</f>
        <v>#N/A</v>
      </c>
      <c r="C340">
        <v>5400118</v>
      </c>
      <c r="D340" t="s">
        <v>2123</v>
      </c>
      <c r="E340" t="s">
        <v>1566</v>
      </c>
      <c r="H340" t="s">
        <v>1567</v>
      </c>
      <c r="J340" t="s">
        <v>195</v>
      </c>
      <c r="U340" t="s">
        <v>1459</v>
      </c>
      <c r="V340" t="s">
        <v>1385</v>
      </c>
      <c r="W340">
        <v>77838888841</v>
      </c>
      <c r="X340">
        <v>10077838888848</v>
      </c>
      <c r="Y340" t="s">
        <v>1568</v>
      </c>
      <c r="Z340" t="s">
        <v>1560</v>
      </c>
      <c r="AA340" t="s">
        <v>472</v>
      </c>
      <c r="AB340" t="s">
        <v>472</v>
      </c>
      <c r="AC340" t="s">
        <v>188</v>
      </c>
      <c r="AD340" t="s">
        <v>1569</v>
      </c>
      <c r="AE340" t="s">
        <v>507</v>
      </c>
      <c r="AF340" t="s">
        <v>268</v>
      </c>
      <c r="AG340">
        <v>392410.2</v>
      </c>
      <c r="AH340">
        <v>65</v>
      </c>
      <c r="AN340" t="s">
        <v>1570</v>
      </c>
      <c r="CW340" t="s">
        <v>1571</v>
      </c>
    </row>
    <row r="341" spans="1:101" x14ac:dyDescent="0.25">
      <c r="A341" t="s">
        <v>2124</v>
      </c>
      <c r="B341" t="e">
        <f>_xlfn.XLOOKUP(C341,'[1]Image URL'!$E:$E,'[1]Image URL'!$A:$A)</f>
        <v>#N/A</v>
      </c>
      <c r="C341">
        <v>4350035</v>
      </c>
      <c r="D341" t="s">
        <v>2126</v>
      </c>
      <c r="E341" t="s">
        <v>2127</v>
      </c>
      <c r="F341" t="s">
        <v>2128</v>
      </c>
      <c r="G341" t="s">
        <v>2128</v>
      </c>
      <c r="H341" t="s">
        <v>2129</v>
      </c>
      <c r="J341" t="s">
        <v>195</v>
      </c>
      <c r="U341" t="s">
        <v>1459</v>
      </c>
      <c r="V341" t="s">
        <v>1385</v>
      </c>
      <c r="W341">
        <v>77838235805</v>
      </c>
      <c r="X341">
        <v>10077838035808</v>
      </c>
      <c r="Y341" t="s">
        <v>2130</v>
      </c>
      <c r="Z341" t="s">
        <v>1701</v>
      </c>
      <c r="AA341" t="s">
        <v>1374</v>
      </c>
      <c r="AB341" t="s">
        <v>223</v>
      </c>
      <c r="AC341" t="s">
        <v>549</v>
      </c>
      <c r="AD341" t="s">
        <v>234</v>
      </c>
      <c r="AE341" t="s">
        <v>203</v>
      </c>
      <c r="AF341" t="s">
        <v>164</v>
      </c>
      <c r="AG341">
        <v>392410.2</v>
      </c>
      <c r="AH341">
        <v>60</v>
      </c>
      <c r="AL341" t="s">
        <v>681</v>
      </c>
      <c r="AM341" t="s">
        <v>2131</v>
      </c>
      <c r="AT341" t="s">
        <v>2129</v>
      </c>
    </row>
    <row r="342" spans="1:101" x14ac:dyDescent="0.25">
      <c r="A342" t="s">
        <v>2132</v>
      </c>
      <c r="B342" t="e">
        <f>_xlfn.XLOOKUP(C342,'[1]Image URL'!$E:$E,'[1]Image URL'!$A:$A)</f>
        <v>#N/A</v>
      </c>
      <c r="C342">
        <v>3303805</v>
      </c>
      <c r="D342" t="s">
        <v>2133</v>
      </c>
      <c r="E342" t="s">
        <v>1537</v>
      </c>
      <c r="F342" t="s">
        <v>1740</v>
      </c>
      <c r="G342" t="s">
        <v>1740</v>
      </c>
      <c r="H342" t="s">
        <v>1741</v>
      </c>
      <c r="U342" t="s">
        <v>1459</v>
      </c>
      <c r="V342" t="s">
        <v>1385</v>
      </c>
      <c r="W342">
        <v>77838887394</v>
      </c>
      <c r="X342">
        <v>10077838887391</v>
      </c>
      <c r="Y342" t="s">
        <v>1742</v>
      </c>
      <c r="Z342" t="s">
        <v>1743</v>
      </c>
      <c r="AA342" t="s">
        <v>169</v>
      </c>
      <c r="AB342" t="s">
        <v>169</v>
      </c>
      <c r="AC342" t="s">
        <v>242</v>
      </c>
      <c r="AD342" t="s">
        <v>301</v>
      </c>
      <c r="AE342" t="s">
        <v>184</v>
      </c>
      <c r="AF342" t="s">
        <v>164</v>
      </c>
      <c r="AG342">
        <v>392410.2</v>
      </c>
      <c r="AH342">
        <v>70</v>
      </c>
      <c r="AL342" t="s">
        <v>1744</v>
      </c>
      <c r="CC342" t="s">
        <v>1740</v>
      </c>
      <c r="CQ342" t="s">
        <v>1745</v>
      </c>
    </row>
    <row r="343" spans="1:101" x14ac:dyDescent="0.25">
      <c r="A343" t="s">
        <v>2134</v>
      </c>
      <c r="B343" t="e">
        <f>_xlfn.XLOOKUP(C343,'[1]Image URL'!$E:$E,'[1]Image URL'!$A:$A)</f>
        <v>#N/A</v>
      </c>
      <c r="C343">
        <v>5300080</v>
      </c>
      <c r="D343" t="s">
        <v>2135</v>
      </c>
      <c r="E343" t="s">
        <v>1537</v>
      </c>
      <c r="F343" t="s">
        <v>2013</v>
      </c>
      <c r="G343" t="s">
        <v>2014</v>
      </c>
      <c r="H343" t="s">
        <v>2015</v>
      </c>
      <c r="M343" t="s">
        <v>2016</v>
      </c>
      <c r="T343" t="s">
        <v>2017</v>
      </c>
      <c r="U343" t="s">
        <v>1459</v>
      </c>
      <c r="V343" t="s">
        <v>1385</v>
      </c>
      <c r="W343">
        <v>77838887165</v>
      </c>
      <c r="X343">
        <v>10077838887162</v>
      </c>
      <c r="Y343" t="s">
        <v>2018</v>
      </c>
      <c r="Z343" t="s">
        <v>1727</v>
      </c>
      <c r="AA343" t="s">
        <v>2019</v>
      </c>
      <c r="AB343" t="s">
        <v>2019</v>
      </c>
      <c r="AC343" t="s">
        <v>861</v>
      </c>
      <c r="AD343" t="s">
        <v>183</v>
      </c>
      <c r="AE343" t="s">
        <v>184</v>
      </c>
      <c r="AF343" t="s">
        <v>185</v>
      </c>
      <c r="AG343">
        <v>392410.2</v>
      </c>
      <c r="AH343">
        <v>65</v>
      </c>
      <c r="AL343" t="s">
        <v>2020</v>
      </c>
      <c r="CS343" t="s">
        <v>2021</v>
      </c>
      <c r="CT343" t="s">
        <v>2022</v>
      </c>
      <c r="CU343" t="s">
        <v>2013</v>
      </c>
      <c r="CV343" t="s">
        <v>2023</v>
      </c>
    </row>
    <row r="344" spans="1:101" x14ac:dyDescent="0.25">
      <c r="A344" t="s">
        <v>2136</v>
      </c>
      <c r="B344" t="e">
        <f>_xlfn.XLOOKUP(C344,'[1]Image URL'!$E:$E,'[1]Image URL'!$A:$A)</f>
        <v>#N/A</v>
      </c>
      <c r="C344">
        <v>3300242</v>
      </c>
      <c r="D344" t="s">
        <v>2137</v>
      </c>
      <c r="E344" t="s">
        <v>1537</v>
      </c>
      <c r="F344" t="s">
        <v>2138</v>
      </c>
      <c r="G344" t="s">
        <v>2139</v>
      </c>
      <c r="H344" t="s">
        <v>186</v>
      </c>
      <c r="M344" t="s">
        <v>1774</v>
      </c>
      <c r="T344" t="s">
        <v>2131</v>
      </c>
      <c r="U344" t="s">
        <v>1459</v>
      </c>
      <c r="V344" t="s">
        <v>1385</v>
      </c>
      <c r="W344">
        <v>77838887493</v>
      </c>
      <c r="X344">
        <v>10077838887490</v>
      </c>
      <c r="Y344" t="s">
        <v>2140</v>
      </c>
      <c r="Z344" t="s">
        <v>159</v>
      </c>
      <c r="AA344" t="s">
        <v>2141</v>
      </c>
      <c r="AB344" t="s">
        <v>2141</v>
      </c>
      <c r="AC344" t="s">
        <v>150</v>
      </c>
      <c r="AD344" t="s">
        <v>1390</v>
      </c>
      <c r="AE344" t="s">
        <v>184</v>
      </c>
      <c r="AF344" t="s">
        <v>315</v>
      </c>
      <c r="AG344">
        <v>392410.2</v>
      </c>
      <c r="AH344">
        <v>85</v>
      </c>
      <c r="AL344" t="s">
        <v>681</v>
      </c>
      <c r="CS344" t="s">
        <v>2142</v>
      </c>
      <c r="CT344" t="s">
        <v>2143</v>
      </c>
      <c r="CU344" t="s">
        <v>2144</v>
      </c>
      <c r="CV344" t="s">
        <v>2145</v>
      </c>
    </row>
    <row r="345" spans="1:101" x14ac:dyDescent="0.25">
      <c r="A345" t="s">
        <v>2146</v>
      </c>
      <c r="B345" t="e">
        <f>_xlfn.XLOOKUP(C345,'[1]Image URL'!$E:$E,'[1]Image URL'!$A:$A)</f>
        <v>#N/A</v>
      </c>
      <c r="C345" t="s">
        <v>2329</v>
      </c>
      <c r="D345" t="s">
        <v>2147</v>
      </c>
      <c r="E345" t="s">
        <v>1537</v>
      </c>
      <c r="F345" t="s">
        <v>1849</v>
      </c>
      <c r="G345" t="s">
        <v>1849</v>
      </c>
      <c r="H345" t="s">
        <v>330</v>
      </c>
      <c r="U345" t="s">
        <v>1459</v>
      </c>
      <c r="V345" t="s">
        <v>1385</v>
      </c>
      <c r="W345">
        <v>77838887332</v>
      </c>
      <c r="X345">
        <v>10077838887339</v>
      </c>
      <c r="Y345" t="s">
        <v>1850</v>
      </c>
      <c r="Z345" t="s">
        <v>219</v>
      </c>
      <c r="AA345" t="s">
        <v>1846</v>
      </c>
      <c r="AB345" t="s">
        <v>472</v>
      </c>
      <c r="AC345" t="s">
        <v>836</v>
      </c>
      <c r="AD345" t="s">
        <v>1851</v>
      </c>
      <c r="AE345" t="s">
        <v>507</v>
      </c>
      <c r="AF345" t="s">
        <v>185</v>
      </c>
      <c r="AG345">
        <v>392410.2</v>
      </c>
      <c r="AH345">
        <v>70</v>
      </c>
      <c r="AL345" t="s">
        <v>1852</v>
      </c>
      <c r="CC345" t="s">
        <v>1853</v>
      </c>
      <c r="CQ345" t="s">
        <v>1854</v>
      </c>
    </row>
    <row r="346" spans="1:101" x14ac:dyDescent="0.25">
      <c r="A346" t="s">
        <v>2148</v>
      </c>
      <c r="B346" t="e">
        <f>_xlfn.XLOOKUP(C346,'[1]Image URL'!$E:$E,'[1]Image URL'!$A:$A)</f>
        <v>#N/A</v>
      </c>
      <c r="C346">
        <v>5400718</v>
      </c>
      <c r="D346" t="s">
        <v>2149</v>
      </c>
      <c r="E346" t="s">
        <v>1537</v>
      </c>
      <c r="F346" t="s">
        <v>861</v>
      </c>
      <c r="G346" t="s">
        <v>861</v>
      </c>
      <c r="H346" t="s">
        <v>2150</v>
      </c>
      <c r="M346" t="s">
        <v>1527</v>
      </c>
      <c r="T346" t="s">
        <v>1880</v>
      </c>
      <c r="U346" t="s">
        <v>1459</v>
      </c>
      <c r="V346" t="s">
        <v>1385</v>
      </c>
      <c r="W346">
        <v>77838887431</v>
      </c>
      <c r="X346">
        <v>10077838887438</v>
      </c>
      <c r="Y346" t="s">
        <v>2151</v>
      </c>
      <c r="Z346" t="s">
        <v>1509</v>
      </c>
      <c r="AA346" t="s">
        <v>2152</v>
      </c>
      <c r="AB346" t="s">
        <v>1794</v>
      </c>
      <c r="AC346" t="s">
        <v>800</v>
      </c>
      <c r="AD346" t="s">
        <v>2153</v>
      </c>
      <c r="AE346" t="s">
        <v>303</v>
      </c>
      <c r="AF346" t="s">
        <v>315</v>
      </c>
      <c r="AG346">
        <v>392410.2</v>
      </c>
      <c r="AH346">
        <v>70</v>
      </c>
      <c r="AL346" t="s">
        <v>2154</v>
      </c>
      <c r="CS346" t="s">
        <v>2155</v>
      </c>
      <c r="CT346" t="s">
        <v>2156</v>
      </c>
      <c r="CU346" t="s">
        <v>2157</v>
      </c>
      <c r="CV346" t="s">
        <v>2158</v>
      </c>
    </row>
    <row r="347" spans="1:101" x14ac:dyDescent="0.25">
      <c r="A347" t="s">
        <v>2159</v>
      </c>
      <c r="B347" t="e">
        <f>_xlfn.XLOOKUP(C347,'[1]Image URL'!$E:$E,'[1]Image URL'!$A:$A)</f>
        <v>#N/A</v>
      </c>
      <c r="C347">
        <v>5310772</v>
      </c>
      <c r="D347" t="s">
        <v>2160</v>
      </c>
      <c r="E347" t="s">
        <v>2161</v>
      </c>
      <c r="H347" t="s">
        <v>901</v>
      </c>
      <c r="J347" t="s">
        <v>195</v>
      </c>
      <c r="U347" t="s">
        <v>1459</v>
      </c>
      <c r="V347" t="s">
        <v>1385</v>
      </c>
      <c r="W347">
        <v>77838823736</v>
      </c>
      <c r="X347">
        <v>10077838823733</v>
      </c>
      <c r="Y347" t="s">
        <v>2162</v>
      </c>
      <c r="Z347" t="s">
        <v>2163</v>
      </c>
      <c r="AA347" t="s">
        <v>645</v>
      </c>
      <c r="AB347" t="s">
        <v>160</v>
      </c>
      <c r="AC347" t="s">
        <v>1692</v>
      </c>
      <c r="AD347" t="s">
        <v>402</v>
      </c>
      <c r="AE347" t="s">
        <v>303</v>
      </c>
      <c r="AF347" t="s">
        <v>235</v>
      </c>
      <c r="AG347">
        <v>392410.2</v>
      </c>
      <c r="AH347">
        <v>65</v>
      </c>
      <c r="AM347" t="s">
        <v>2164</v>
      </c>
      <c r="AN347" t="s">
        <v>2165</v>
      </c>
      <c r="AT347" t="s">
        <v>901</v>
      </c>
    </row>
    <row r="348" spans="1:101" x14ac:dyDescent="0.25">
      <c r="A348" t="s">
        <v>2166</v>
      </c>
      <c r="B348" t="e">
        <f>_xlfn.XLOOKUP(C348,'[1]Image URL'!$E:$E,'[1]Image URL'!$A:$A)</f>
        <v>#N/A</v>
      </c>
      <c r="C348" t="s">
        <v>2336</v>
      </c>
      <c r="D348" t="s">
        <v>2167</v>
      </c>
      <c r="E348" t="s">
        <v>1748</v>
      </c>
      <c r="F348" t="s">
        <v>1815</v>
      </c>
      <c r="G348" t="s">
        <v>1816</v>
      </c>
      <c r="H348" t="s">
        <v>1817</v>
      </c>
      <c r="U348" t="s">
        <v>1459</v>
      </c>
      <c r="V348" t="s">
        <v>1385</v>
      </c>
      <c r="W348">
        <v>77838887288</v>
      </c>
      <c r="X348">
        <v>10077838887285</v>
      </c>
      <c r="Y348" t="s">
        <v>1818</v>
      </c>
      <c r="Z348" t="s">
        <v>1631</v>
      </c>
      <c r="AA348" t="s">
        <v>1819</v>
      </c>
      <c r="AB348" t="s">
        <v>1820</v>
      </c>
      <c r="AC348" t="s">
        <v>1107</v>
      </c>
      <c r="AD348" t="s">
        <v>669</v>
      </c>
      <c r="AE348" t="s">
        <v>507</v>
      </c>
      <c r="AF348" t="s">
        <v>315</v>
      </c>
      <c r="AG348">
        <v>392410.2</v>
      </c>
      <c r="AH348">
        <v>60</v>
      </c>
      <c r="AL348" t="s">
        <v>1821</v>
      </c>
      <c r="CS348" t="s">
        <v>1822</v>
      </c>
      <c r="CT348" t="s">
        <v>1823</v>
      </c>
      <c r="CU348" t="s">
        <v>1815</v>
      </c>
      <c r="CV348" t="s">
        <v>1824</v>
      </c>
    </row>
    <row r="349" spans="1:101" x14ac:dyDescent="0.25">
      <c r="A349" t="s">
        <v>2168</v>
      </c>
      <c r="B349" t="e">
        <f>_xlfn.XLOOKUP(C349,'[1]Image URL'!$E:$E,'[1]Image URL'!$A:$A)</f>
        <v>#N/A</v>
      </c>
      <c r="C349">
        <v>4350005</v>
      </c>
      <c r="D349" t="s">
        <v>2169</v>
      </c>
      <c r="E349" t="s">
        <v>2170</v>
      </c>
      <c r="F349" t="s">
        <v>2171</v>
      </c>
      <c r="G349" t="s">
        <v>2171</v>
      </c>
      <c r="H349" t="s">
        <v>330</v>
      </c>
      <c r="J349" t="s">
        <v>195</v>
      </c>
      <c r="U349" t="s">
        <v>1459</v>
      </c>
      <c r="V349" t="s">
        <v>1385</v>
      </c>
      <c r="W349">
        <v>77838295885</v>
      </c>
      <c r="X349">
        <v>10077838095888</v>
      </c>
      <c r="Y349" t="s">
        <v>2172</v>
      </c>
      <c r="Z349" t="s">
        <v>1266</v>
      </c>
      <c r="AA349" t="s">
        <v>1388</v>
      </c>
      <c r="AB349" t="s">
        <v>462</v>
      </c>
      <c r="AC349" t="s">
        <v>536</v>
      </c>
      <c r="AD349" t="s">
        <v>2173</v>
      </c>
      <c r="AE349" t="s">
        <v>204</v>
      </c>
      <c r="AF349" t="s">
        <v>185</v>
      </c>
      <c r="AG349">
        <v>392410.2</v>
      </c>
      <c r="AH349">
        <v>70</v>
      </c>
      <c r="AL349" t="s">
        <v>636</v>
      </c>
      <c r="AM349" t="s">
        <v>2174</v>
      </c>
      <c r="AN349" t="s">
        <v>2171</v>
      </c>
      <c r="AT349" t="s">
        <v>330</v>
      </c>
    </row>
    <row r="350" spans="1:101" x14ac:dyDescent="0.25">
      <c r="A350" t="s">
        <v>2175</v>
      </c>
      <c r="B350" t="e">
        <f>_xlfn.XLOOKUP(C350,'[1]Image URL'!$E:$E,'[1]Image URL'!$A:$A)</f>
        <v>#N/A</v>
      </c>
      <c r="C350">
        <v>5400518</v>
      </c>
      <c r="D350" t="s">
        <v>2176</v>
      </c>
      <c r="E350" t="s">
        <v>1472</v>
      </c>
      <c r="F350" t="s">
        <v>364</v>
      </c>
      <c r="G350" t="s">
        <v>364</v>
      </c>
      <c r="H350" t="s">
        <v>201</v>
      </c>
      <c r="J350" t="s">
        <v>212</v>
      </c>
      <c r="M350" t="s">
        <v>1473</v>
      </c>
      <c r="T350" t="s">
        <v>1474</v>
      </c>
      <c r="U350" t="s">
        <v>584</v>
      </c>
      <c r="V350" t="s">
        <v>157</v>
      </c>
      <c r="W350">
        <v>77838216286</v>
      </c>
      <c r="X350">
        <v>10077838116286</v>
      </c>
      <c r="Y350" t="s">
        <v>659</v>
      </c>
      <c r="Z350" t="s">
        <v>1475</v>
      </c>
      <c r="AA350" t="s">
        <v>1476</v>
      </c>
      <c r="AB350" t="s">
        <v>472</v>
      </c>
      <c r="AC350" t="s">
        <v>715</v>
      </c>
      <c r="AD350" t="s">
        <v>1142</v>
      </c>
      <c r="AE350" t="s">
        <v>184</v>
      </c>
      <c r="AF350" t="s">
        <v>349</v>
      </c>
      <c r="AG350">
        <v>392410.2</v>
      </c>
      <c r="AH350">
        <v>85</v>
      </c>
      <c r="AL350" t="s">
        <v>1477</v>
      </c>
      <c r="AN350" t="s">
        <v>364</v>
      </c>
      <c r="BD350" t="s">
        <v>361</v>
      </c>
      <c r="CQ350" t="s">
        <v>1478</v>
      </c>
    </row>
    <row r="351" spans="1:101" x14ac:dyDescent="0.25">
      <c r="A351" t="s">
        <v>2177</v>
      </c>
      <c r="B351" t="e">
        <f>_xlfn.XLOOKUP(C351,'[1]Image URL'!$E:$E,'[1]Image URL'!$A:$A)</f>
        <v>#N/A</v>
      </c>
      <c r="C351" t="s">
        <v>2344</v>
      </c>
      <c r="D351" t="s">
        <v>2178</v>
      </c>
      <c r="E351" t="s">
        <v>2179</v>
      </c>
      <c r="F351" t="s">
        <v>386</v>
      </c>
      <c r="G351" t="s">
        <v>386</v>
      </c>
      <c r="H351" t="s">
        <v>2150</v>
      </c>
      <c r="I351" t="s">
        <v>194</v>
      </c>
      <c r="J351" t="s">
        <v>195</v>
      </c>
      <c r="M351" t="s">
        <v>1269</v>
      </c>
      <c r="T351" t="s">
        <v>1202</v>
      </c>
      <c r="U351" t="s">
        <v>196</v>
      </c>
      <c r="V351" t="s">
        <v>157</v>
      </c>
      <c r="W351">
        <v>77838517192</v>
      </c>
      <c r="X351">
        <v>10077838017194</v>
      </c>
      <c r="Y351" t="s">
        <v>665</v>
      </c>
      <c r="Z351" t="s">
        <v>680</v>
      </c>
      <c r="AA351" t="s">
        <v>395</v>
      </c>
      <c r="AB351" t="s">
        <v>466</v>
      </c>
      <c r="AC351" t="s">
        <v>2180</v>
      </c>
      <c r="AD351" t="s">
        <v>975</v>
      </c>
      <c r="AE351" t="s">
        <v>349</v>
      </c>
      <c r="AF351" t="s">
        <v>268</v>
      </c>
      <c r="AG351">
        <v>392410.2</v>
      </c>
      <c r="AH351">
        <v>85</v>
      </c>
      <c r="AL351" t="s">
        <v>636</v>
      </c>
      <c r="AN351" t="s">
        <v>386</v>
      </c>
      <c r="CQ351" t="s">
        <v>2181</v>
      </c>
    </row>
    <row r="352" spans="1:101" x14ac:dyDescent="0.25">
      <c r="A352" t="s">
        <v>2182</v>
      </c>
      <c r="B352" t="e">
        <f>_xlfn.XLOOKUP(C352,'[1]Image URL'!$E:$E,'[1]Image URL'!$A:$A)</f>
        <v>#N/A</v>
      </c>
      <c r="C352">
        <v>4330602</v>
      </c>
      <c r="D352" t="s">
        <v>2183</v>
      </c>
      <c r="E352" t="s">
        <v>1872</v>
      </c>
      <c r="F352" t="s">
        <v>1873</v>
      </c>
      <c r="G352" t="s">
        <v>1874</v>
      </c>
      <c r="H352" t="s">
        <v>1875</v>
      </c>
      <c r="J352" t="s">
        <v>195</v>
      </c>
      <c r="U352" t="s">
        <v>1459</v>
      </c>
      <c r="V352" t="s">
        <v>1385</v>
      </c>
      <c r="W352">
        <v>77838296479</v>
      </c>
      <c r="X352">
        <v>10077838096472</v>
      </c>
      <c r="Y352" t="s">
        <v>387</v>
      </c>
      <c r="Z352" t="s">
        <v>1764</v>
      </c>
      <c r="AA352" t="s">
        <v>1018</v>
      </c>
      <c r="AB352" t="s">
        <v>893</v>
      </c>
      <c r="AC352" t="s">
        <v>345</v>
      </c>
      <c r="AD352" t="s">
        <v>997</v>
      </c>
      <c r="AE352" t="s">
        <v>268</v>
      </c>
      <c r="AF352" t="s">
        <v>268</v>
      </c>
      <c r="AG352">
        <v>392410.2</v>
      </c>
      <c r="AH352">
        <v>65</v>
      </c>
      <c r="AT352" t="s">
        <v>1875</v>
      </c>
    </row>
    <row r="353" spans="1:106" x14ac:dyDescent="0.25">
      <c r="A353" t="s">
        <v>2184</v>
      </c>
      <c r="B353" t="e">
        <f>_xlfn.XLOOKUP(C353,'[1]Image URL'!$E:$E,'[1]Image URL'!$A:$A)</f>
        <v>#N/A</v>
      </c>
      <c r="C353">
        <v>4350535</v>
      </c>
      <c r="D353" t="s">
        <v>2185</v>
      </c>
      <c r="E353" t="s">
        <v>1548</v>
      </c>
      <c r="H353" t="s">
        <v>1549</v>
      </c>
      <c r="J353" t="s">
        <v>195</v>
      </c>
      <c r="U353" t="s">
        <v>1459</v>
      </c>
      <c r="V353" t="s">
        <v>1385</v>
      </c>
      <c r="W353">
        <v>77838594919</v>
      </c>
      <c r="X353">
        <v>10077838094942</v>
      </c>
      <c r="Y353" t="s">
        <v>1550</v>
      </c>
      <c r="Z353" t="s">
        <v>1551</v>
      </c>
      <c r="AA353" t="s">
        <v>807</v>
      </c>
      <c r="AB353" t="s">
        <v>1178</v>
      </c>
      <c r="AC353" t="s">
        <v>549</v>
      </c>
      <c r="AD353" t="s">
        <v>1552</v>
      </c>
      <c r="AE353" t="s">
        <v>349</v>
      </c>
      <c r="AF353" t="s">
        <v>164</v>
      </c>
      <c r="AG353">
        <v>392410.2</v>
      </c>
      <c r="AH353">
        <v>65</v>
      </c>
      <c r="AN353" t="s">
        <v>1553</v>
      </c>
      <c r="AT353" t="s">
        <v>1549</v>
      </c>
    </row>
    <row r="354" spans="1:106" x14ac:dyDescent="0.25">
      <c r="A354" t="s">
        <v>2186</v>
      </c>
      <c r="B354" t="e">
        <f>_xlfn.XLOOKUP(C354,'[1]Image URL'!$E:$E,'[1]Image URL'!$A:$A)</f>
        <v>#N/A</v>
      </c>
      <c r="C354">
        <v>3302402</v>
      </c>
      <c r="D354" t="s">
        <v>2187</v>
      </c>
      <c r="E354" t="s">
        <v>2188</v>
      </c>
      <c r="F354" t="s">
        <v>332</v>
      </c>
      <c r="G354" t="s">
        <v>200</v>
      </c>
      <c r="H354" t="s">
        <v>193</v>
      </c>
      <c r="I354" t="s">
        <v>194</v>
      </c>
      <c r="J354" t="s">
        <v>195</v>
      </c>
      <c r="M354" t="s">
        <v>1774</v>
      </c>
      <c r="T354" t="s">
        <v>2131</v>
      </c>
      <c r="U354" t="s">
        <v>196</v>
      </c>
      <c r="V354" t="s">
        <v>157</v>
      </c>
      <c r="W354">
        <v>77838202845</v>
      </c>
      <c r="X354">
        <v>10077838202842</v>
      </c>
      <c r="Y354" t="s">
        <v>1865</v>
      </c>
      <c r="Z354" t="s">
        <v>1966</v>
      </c>
      <c r="AA354" t="s">
        <v>1510</v>
      </c>
      <c r="AB354" t="s">
        <v>1259</v>
      </c>
      <c r="AC354" t="s">
        <v>1275</v>
      </c>
      <c r="AD354" t="s">
        <v>1765</v>
      </c>
      <c r="AE354" t="s">
        <v>204</v>
      </c>
      <c r="AF354" t="s">
        <v>164</v>
      </c>
      <c r="AG354">
        <v>392410.2</v>
      </c>
      <c r="AH354">
        <v>85</v>
      </c>
      <c r="AL354" t="s">
        <v>2189</v>
      </c>
      <c r="DB354" t="s">
        <v>152</v>
      </c>
    </row>
    <row r="355" spans="1:106" x14ac:dyDescent="0.25">
      <c r="A355" t="s">
        <v>2190</v>
      </c>
      <c r="B355" t="e">
        <f>_xlfn.XLOOKUP(C355,'[1]Image URL'!$E:$E,'[1]Image URL'!$A:$A)</f>
        <v>#N/A</v>
      </c>
      <c r="C355">
        <v>5300380</v>
      </c>
      <c r="D355" t="s">
        <v>2191</v>
      </c>
      <c r="E355" t="s">
        <v>1537</v>
      </c>
      <c r="F355" t="s">
        <v>180</v>
      </c>
      <c r="G355" t="s">
        <v>1538</v>
      </c>
      <c r="H355" t="s">
        <v>1539</v>
      </c>
      <c r="U355" t="s">
        <v>1459</v>
      </c>
      <c r="V355" t="s">
        <v>1385</v>
      </c>
      <c r="W355">
        <v>77838887189</v>
      </c>
      <c r="X355">
        <v>10077838887186</v>
      </c>
      <c r="Y355" t="s">
        <v>1540</v>
      </c>
      <c r="Z355" t="s">
        <v>465</v>
      </c>
      <c r="AA355" t="s">
        <v>1541</v>
      </c>
      <c r="AB355" t="s">
        <v>532</v>
      </c>
      <c r="AC355" t="s">
        <v>333</v>
      </c>
      <c r="AD355" t="s">
        <v>1302</v>
      </c>
      <c r="AE355" t="s">
        <v>403</v>
      </c>
      <c r="AF355" t="s">
        <v>303</v>
      </c>
      <c r="AG355">
        <v>392410.2</v>
      </c>
      <c r="AH355">
        <v>65</v>
      </c>
      <c r="AL355" t="s">
        <v>1542</v>
      </c>
      <c r="CS355" t="s">
        <v>1543</v>
      </c>
      <c r="CT355" t="s">
        <v>1544</v>
      </c>
      <c r="CU355" t="s">
        <v>180</v>
      </c>
      <c r="CV355" t="s">
        <v>1545</v>
      </c>
    </row>
    <row r="356" spans="1:106" x14ac:dyDescent="0.25">
      <c r="A356" t="s">
        <v>2192</v>
      </c>
      <c r="B356" t="e">
        <f>_xlfn.XLOOKUP(C356,'[1]Image URL'!$E:$E,'[1]Image URL'!$A:$A)</f>
        <v>#N/A</v>
      </c>
      <c r="C356">
        <v>3303803</v>
      </c>
      <c r="D356" t="s">
        <v>2194</v>
      </c>
      <c r="E356" t="s">
        <v>1664</v>
      </c>
      <c r="F356" t="s">
        <v>466</v>
      </c>
      <c r="H356" t="s">
        <v>2064</v>
      </c>
      <c r="J356" t="s">
        <v>195</v>
      </c>
      <c r="M356" t="s">
        <v>1967</v>
      </c>
      <c r="T356" t="s">
        <v>1869</v>
      </c>
      <c r="U356" t="s">
        <v>1459</v>
      </c>
      <c r="V356" t="s">
        <v>1385</v>
      </c>
      <c r="W356">
        <v>77838870914</v>
      </c>
      <c r="X356">
        <v>10077838870911</v>
      </c>
      <c r="Y356" t="s">
        <v>2195</v>
      </c>
      <c r="Z356" t="s">
        <v>892</v>
      </c>
      <c r="AA356" t="s">
        <v>706</v>
      </c>
      <c r="AB356" t="s">
        <v>2196</v>
      </c>
      <c r="AC356" t="s">
        <v>182</v>
      </c>
      <c r="AD356" t="s">
        <v>1635</v>
      </c>
      <c r="AE356" t="s">
        <v>302</v>
      </c>
      <c r="AF356" t="s">
        <v>185</v>
      </c>
      <c r="AG356">
        <v>392410.2</v>
      </c>
      <c r="AH356">
        <v>70</v>
      </c>
    </row>
    <row r="357" spans="1:106" x14ac:dyDescent="0.25">
      <c r="A357" t="s">
        <v>2197</v>
      </c>
      <c r="B357" t="e">
        <f>_xlfn.XLOOKUP(C357,'[1]Image URL'!$E:$E,'[1]Image URL'!$A:$A)</f>
        <v>#N/A</v>
      </c>
      <c r="C357">
        <v>3303014</v>
      </c>
      <c r="D357" t="s">
        <v>2198</v>
      </c>
      <c r="E357" t="s">
        <v>1697</v>
      </c>
      <c r="H357" t="s">
        <v>1734</v>
      </c>
      <c r="J357" t="s">
        <v>195</v>
      </c>
      <c r="M357" t="s">
        <v>1269</v>
      </c>
      <c r="T357" t="s">
        <v>1735</v>
      </c>
      <c r="U357" t="s">
        <v>1459</v>
      </c>
      <c r="V357" t="s">
        <v>1385</v>
      </c>
      <c r="W357">
        <v>77838888896</v>
      </c>
      <c r="X357">
        <v>10077838888893</v>
      </c>
      <c r="Y357" t="s">
        <v>1736</v>
      </c>
      <c r="Z357" t="s">
        <v>1737</v>
      </c>
      <c r="AA357" t="s">
        <v>522</v>
      </c>
      <c r="AB357" t="s">
        <v>522</v>
      </c>
      <c r="AC357" t="s">
        <v>223</v>
      </c>
      <c r="AD357" t="s">
        <v>1142</v>
      </c>
      <c r="AE357" t="s">
        <v>184</v>
      </c>
      <c r="AF357" t="s">
        <v>349</v>
      </c>
      <c r="AG357">
        <v>392410.2</v>
      </c>
      <c r="AH357">
        <v>65</v>
      </c>
      <c r="AN357" t="s">
        <v>463</v>
      </c>
      <c r="CY357" t="s">
        <v>413</v>
      </c>
    </row>
    <row r="358" spans="1:106" x14ac:dyDescent="0.25">
      <c r="A358" t="s">
        <v>2199</v>
      </c>
      <c r="B358" t="e">
        <f>_xlfn.XLOOKUP(C358,'[1]Image URL'!$E:$E,'[1]Image URL'!$A:$A)</f>
        <v>#N/A</v>
      </c>
      <c r="C358">
        <v>453007</v>
      </c>
      <c r="D358" t="s">
        <v>2200</v>
      </c>
      <c r="E358" t="s">
        <v>1857</v>
      </c>
      <c r="H358" t="s">
        <v>1858</v>
      </c>
      <c r="J358" t="s">
        <v>195</v>
      </c>
      <c r="U358" t="s">
        <v>1459</v>
      </c>
      <c r="V358" t="s">
        <v>1385</v>
      </c>
      <c r="W358">
        <v>77838233788</v>
      </c>
      <c r="X358">
        <v>10077838133788</v>
      </c>
      <c r="Y358" t="s">
        <v>1859</v>
      </c>
      <c r="Z358" t="s">
        <v>1803</v>
      </c>
      <c r="AA358" t="s">
        <v>1860</v>
      </c>
      <c r="AB358" t="s">
        <v>324</v>
      </c>
      <c r="AC358" t="s">
        <v>1273</v>
      </c>
      <c r="AD358" t="s">
        <v>402</v>
      </c>
      <c r="AE358" t="s">
        <v>303</v>
      </c>
      <c r="AF358" t="s">
        <v>235</v>
      </c>
      <c r="AG358">
        <v>392410.2</v>
      </c>
      <c r="AH358">
        <v>60</v>
      </c>
      <c r="AN358" t="s">
        <v>1375</v>
      </c>
      <c r="AT358" t="s">
        <v>1858</v>
      </c>
    </row>
    <row r="359" spans="1:106" x14ac:dyDescent="0.25">
      <c r="A359" t="s">
        <v>2201</v>
      </c>
      <c r="B359" t="e">
        <f>_xlfn.XLOOKUP(C359,'[1]Image URL'!$E:$E,'[1]Image URL'!$A:$A)</f>
        <v>#N/A</v>
      </c>
      <c r="C359">
        <v>5301080</v>
      </c>
      <c r="D359" t="s">
        <v>2202</v>
      </c>
      <c r="E359" t="s">
        <v>2203</v>
      </c>
      <c r="H359" t="s">
        <v>2204</v>
      </c>
      <c r="J359" t="s">
        <v>195</v>
      </c>
      <c r="U359" t="s">
        <v>1459</v>
      </c>
      <c r="V359" t="s">
        <v>1385</v>
      </c>
      <c r="W359">
        <v>77838824023</v>
      </c>
      <c r="X359">
        <v>10077838824020</v>
      </c>
      <c r="Y359" t="s">
        <v>955</v>
      </c>
      <c r="Z359" t="s">
        <v>1612</v>
      </c>
      <c r="AA359" t="s">
        <v>1374</v>
      </c>
      <c r="AB359" t="s">
        <v>578</v>
      </c>
      <c r="AC359" t="s">
        <v>361</v>
      </c>
      <c r="AD359" t="s">
        <v>1851</v>
      </c>
      <c r="AE359" t="s">
        <v>507</v>
      </c>
      <c r="AF359" t="s">
        <v>185</v>
      </c>
      <c r="AG359">
        <v>392410.2</v>
      </c>
      <c r="AH359">
        <v>65</v>
      </c>
      <c r="AM359" t="s">
        <v>2205</v>
      </c>
      <c r="AN359" t="s">
        <v>2206</v>
      </c>
      <c r="AT359" t="s">
        <v>2204</v>
      </c>
    </row>
    <row r="360" spans="1:106" x14ac:dyDescent="0.25">
      <c r="A360" t="s">
        <v>2207</v>
      </c>
      <c r="B360" t="e">
        <f>_xlfn.XLOOKUP(C360,'[1]Image URL'!$E:$E,'[1]Image URL'!$A:$A)</f>
        <v>#N/A</v>
      </c>
      <c r="C360">
        <v>5400752</v>
      </c>
      <c r="D360" t="s">
        <v>2208</v>
      </c>
      <c r="E360" t="s">
        <v>1574</v>
      </c>
      <c r="H360" t="s">
        <v>186</v>
      </c>
      <c r="J360" t="s">
        <v>195</v>
      </c>
      <c r="M360" t="s">
        <v>1202</v>
      </c>
      <c r="T360" t="s">
        <v>2209</v>
      </c>
      <c r="U360" t="s">
        <v>1459</v>
      </c>
      <c r="V360" t="s">
        <v>1385</v>
      </c>
      <c r="W360">
        <v>77838886151</v>
      </c>
      <c r="X360">
        <v>10077838886158</v>
      </c>
      <c r="Y360" t="s">
        <v>2045</v>
      </c>
      <c r="Z360" t="s">
        <v>408</v>
      </c>
      <c r="AA360" t="s">
        <v>2210</v>
      </c>
      <c r="AB360" t="s">
        <v>549</v>
      </c>
      <c r="AC360" t="s">
        <v>757</v>
      </c>
      <c r="AD360" t="s">
        <v>2049</v>
      </c>
      <c r="AE360" t="s">
        <v>802</v>
      </c>
      <c r="AF360" t="s">
        <v>315</v>
      </c>
      <c r="AG360">
        <v>392410.4</v>
      </c>
      <c r="AH360">
        <v>60</v>
      </c>
      <c r="BH360" t="s">
        <v>386</v>
      </c>
      <c r="BI360" t="s">
        <v>2211</v>
      </c>
      <c r="CQ360" t="s">
        <v>201</v>
      </c>
    </row>
    <row r="361" spans="1:106" x14ac:dyDescent="0.25">
      <c r="A361" t="s">
        <v>2212</v>
      </c>
      <c r="B361" t="e">
        <f>_xlfn.XLOOKUP(C361,'[1]Image URL'!$E:$E,'[1]Image URL'!$A:$A)</f>
        <v>#N/A</v>
      </c>
      <c r="C361">
        <v>4350052</v>
      </c>
      <c r="D361" t="s">
        <v>2213</v>
      </c>
      <c r="E361" t="s">
        <v>1800</v>
      </c>
      <c r="H361" t="s">
        <v>1801</v>
      </c>
      <c r="J361" t="s">
        <v>195</v>
      </c>
      <c r="U361" t="s">
        <v>1459</v>
      </c>
      <c r="V361" t="s">
        <v>1385</v>
      </c>
      <c r="W361">
        <v>77838823798</v>
      </c>
      <c r="X361">
        <v>10077838823795</v>
      </c>
      <c r="Y361" t="s">
        <v>1802</v>
      </c>
      <c r="Z361" t="s">
        <v>1803</v>
      </c>
      <c r="AA361" t="s">
        <v>532</v>
      </c>
      <c r="AB361" t="s">
        <v>1367</v>
      </c>
      <c r="AC361" t="s">
        <v>1804</v>
      </c>
      <c r="AD361" t="s">
        <v>183</v>
      </c>
      <c r="AE361" t="s">
        <v>184</v>
      </c>
      <c r="AF361" t="s">
        <v>185</v>
      </c>
      <c r="AG361">
        <v>392410.2</v>
      </c>
      <c r="AH361">
        <v>70</v>
      </c>
      <c r="AM361" t="s">
        <v>1805</v>
      </c>
      <c r="AN361" t="s">
        <v>1806</v>
      </c>
      <c r="AT361" t="s">
        <v>1801</v>
      </c>
    </row>
    <row r="362" spans="1:106" x14ac:dyDescent="0.25">
      <c r="A362" t="s">
        <v>2214</v>
      </c>
      <c r="B362" t="e">
        <f>_xlfn.XLOOKUP(C362,'[1]Image URL'!$E:$E,'[1]Image URL'!$A:$A)</f>
        <v>#N/A</v>
      </c>
      <c r="C362">
        <v>199307</v>
      </c>
      <c r="D362" t="s">
        <v>2216</v>
      </c>
      <c r="E362" t="s">
        <v>1664</v>
      </c>
      <c r="F362" t="s">
        <v>421</v>
      </c>
      <c r="G362" t="s">
        <v>421</v>
      </c>
      <c r="H362" t="s">
        <v>1650</v>
      </c>
      <c r="J362" t="s">
        <v>195</v>
      </c>
      <c r="U362" t="s">
        <v>1459</v>
      </c>
      <c r="V362" t="s">
        <v>1385</v>
      </c>
      <c r="W362">
        <v>77838870990</v>
      </c>
      <c r="X362">
        <v>10077838870997</v>
      </c>
      <c r="Y362" t="s">
        <v>2217</v>
      </c>
      <c r="Z362" t="s">
        <v>1440</v>
      </c>
      <c r="AA362" t="s">
        <v>2218</v>
      </c>
      <c r="AB362" t="s">
        <v>2218</v>
      </c>
      <c r="AC362" t="s">
        <v>466</v>
      </c>
      <c r="AD362" t="s">
        <v>203</v>
      </c>
      <c r="AE362" t="s">
        <v>235</v>
      </c>
      <c r="AF362" t="s">
        <v>235</v>
      </c>
      <c r="AG362">
        <v>392410.2</v>
      </c>
      <c r="AH362">
        <v>70</v>
      </c>
    </row>
    <row r="363" spans="1:106" x14ac:dyDescent="0.25">
      <c r="A363" t="s">
        <v>2219</v>
      </c>
      <c r="B363" t="e">
        <f>_xlfn.XLOOKUP(C363,'[1]Image URL'!$E:$E,'[1]Image URL'!$A:$A)</f>
        <v>#N/A</v>
      </c>
      <c r="C363">
        <v>6400218</v>
      </c>
      <c r="D363" t="s">
        <v>1997</v>
      </c>
      <c r="E363" t="s">
        <v>1809</v>
      </c>
      <c r="F363" t="s">
        <v>1810</v>
      </c>
      <c r="G363" t="s">
        <v>1810</v>
      </c>
      <c r="H363" t="s">
        <v>1467</v>
      </c>
      <c r="J363" t="s">
        <v>195</v>
      </c>
      <c r="U363" t="s">
        <v>1459</v>
      </c>
      <c r="V363" t="s">
        <v>1385</v>
      </c>
      <c r="W363">
        <v>77838823255</v>
      </c>
      <c r="X363">
        <v>10077838823252</v>
      </c>
      <c r="Y363" t="s">
        <v>1811</v>
      </c>
      <c r="Z363" t="s">
        <v>1690</v>
      </c>
      <c r="AA363" t="s">
        <v>1812</v>
      </c>
      <c r="AB363" t="s">
        <v>445</v>
      </c>
      <c r="AC363" t="s">
        <v>942</v>
      </c>
      <c r="AD363" t="s">
        <v>555</v>
      </c>
      <c r="AE363" t="s">
        <v>184</v>
      </c>
      <c r="AF363" t="s">
        <v>235</v>
      </c>
      <c r="AG363">
        <v>392410.2</v>
      </c>
      <c r="AH363">
        <v>65</v>
      </c>
      <c r="AL363" t="s">
        <v>1669</v>
      </c>
      <c r="AN363" t="s">
        <v>1810</v>
      </c>
      <c r="AT363" t="s">
        <v>1467</v>
      </c>
    </row>
    <row r="364" spans="1:106" x14ac:dyDescent="0.25">
      <c r="A364" t="s">
        <v>2220</v>
      </c>
      <c r="B364" t="e">
        <f>_xlfn.XLOOKUP(C364,'[1]Image URL'!$E:$E,'[1]Image URL'!$A:$A)</f>
        <v>#N/A</v>
      </c>
      <c r="C364">
        <v>3300605</v>
      </c>
      <c r="D364" t="s">
        <v>2222</v>
      </c>
      <c r="E364" t="s">
        <v>2223</v>
      </c>
      <c r="I364" t="s">
        <v>194</v>
      </c>
      <c r="J364" t="s">
        <v>195</v>
      </c>
      <c r="U364" t="s">
        <v>196</v>
      </c>
      <c r="V364" t="s">
        <v>157</v>
      </c>
      <c r="W364">
        <v>77838224366</v>
      </c>
      <c r="X364">
        <v>10077838024369</v>
      </c>
      <c r="Y364" t="s">
        <v>1772</v>
      </c>
      <c r="Z364" t="s">
        <v>892</v>
      </c>
      <c r="AA364" t="s">
        <v>462</v>
      </c>
      <c r="AB364" t="s">
        <v>462</v>
      </c>
      <c r="AC364" t="s">
        <v>169</v>
      </c>
      <c r="AD364" t="s">
        <v>975</v>
      </c>
      <c r="AE364" t="s">
        <v>204</v>
      </c>
      <c r="AF364" t="s">
        <v>302</v>
      </c>
      <c r="AG364">
        <v>392410.2</v>
      </c>
      <c r="AH364">
        <v>65</v>
      </c>
      <c r="AN364" t="s">
        <v>192</v>
      </c>
      <c r="AT364" t="s">
        <v>1500</v>
      </c>
    </row>
    <row r="365" spans="1:106" x14ac:dyDescent="0.25">
      <c r="A365" t="s">
        <v>2224</v>
      </c>
      <c r="B365" t="e">
        <f>_xlfn.XLOOKUP(C365,'[1]Image URL'!$E:$E,'[1]Image URL'!$A:$A)</f>
        <v>#N/A</v>
      </c>
      <c r="C365">
        <v>3303602</v>
      </c>
      <c r="D365" t="s">
        <v>2225</v>
      </c>
      <c r="E365" t="s">
        <v>1649</v>
      </c>
      <c r="F365" t="s">
        <v>211</v>
      </c>
      <c r="G365" t="s">
        <v>211</v>
      </c>
      <c r="H365" t="s">
        <v>1650</v>
      </c>
      <c r="J365" t="s">
        <v>195</v>
      </c>
      <c r="U365" t="s">
        <v>1459</v>
      </c>
      <c r="V365" t="s">
        <v>1385</v>
      </c>
      <c r="W365">
        <v>77838822890</v>
      </c>
      <c r="X365">
        <v>10077838822897</v>
      </c>
      <c r="Y365" t="s">
        <v>1651</v>
      </c>
      <c r="Z365" t="s">
        <v>1652</v>
      </c>
      <c r="AA365" t="s">
        <v>542</v>
      </c>
      <c r="AB365" t="s">
        <v>329</v>
      </c>
      <c r="AC365" t="s">
        <v>192</v>
      </c>
      <c r="AD365" t="s">
        <v>183</v>
      </c>
      <c r="AE365" t="s">
        <v>184</v>
      </c>
      <c r="AF365" t="s">
        <v>185</v>
      </c>
      <c r="AG365">
        <v>392410.2</v>
      </c>
      <c r="AH365">
        <v>85</v>
      </c>
      <c r="AL365" t="s">
        <v>1653</v>
      </c>
      <c r="AN365" t="s">
        <v>594</v>
      </c>
      <c r="AT365" t="s">
        <v>1650</v>
      </c>
    </row>
    <row r="366" spans="1:106" x14ac:dyDescent="0.25">
      <c r="A366" t="s">
        <v>2226</v>
      </c>
      <c r="B366" t="e">
        <f>_xlfn.XLOOKUP(C366,'[1]Image URL'!$E:$E,'[1]Image URL'!$A:$A)</f>
        <v>#N/A</v>
      </c>
      <c r="C366" t="s">
        <v>2391</v>
      </c>
      <c r="D366" t="s">
        <v>2227</v>
      </c>
      <c r="E366" t="s">
        <v>1809</v>
      </c>
      <c r="F366" t="s">
        <v>1810</v>
      </c>
      <c r="G366" t="s">
        <v>1810</v>
      </c>
      <c r="H366" t="s">
        <v>1467</v>
      </c>
      <c r="J366" t="s">
        <v>195</v>
      </c>
      <c r="U366" t="s">
        <v>1459</v>
      </c>
      <c r="V366" t="s">
        <v>1385</v>
      </c>
      <c r="W366">
        <v>77838823286</v>
      </c>
      <c r="X366">
        <v>10077838823283</v>
      </c>
      <c r="Y366" t="s">
        <v>1811</v>
      </c>
      <c r="Z366" t="s">
        <v>1690</v>
      </c>
      <c r="AA366" t="s">
        <v>1812</v>
      </c>
      <c r="AB366" t="s">
        <v>445</v>
      </c>
      <c r="AC366" t="s">
        <v>942</v>
      </c>
      <c r="AD366" t="s">
        <v>555</v>
      </c>
      <c r="AE366" t="s">
        <v>184</v>
      </c>
      <c r="AF366" t="s">
        <v>235</v>
      </c>
      <c r="AG366">
        <v>392410.2</v>
      </c>
      <c r="AH366">
        <v>65</v>
      </c>
      <c r="AL366" t="s">
        <v>1669</v>
      </c>
      <c r="AN366" t="s">
        <v>1810</v>
      </c>
      <c r="AT366" t="s">
        <v>1467</v>
      </c>
    </row>
    <row r="367" spans="1:106" x14ac:dyDescent="0.25">
      <c r="A367" t="s">
        <v>2228</v>
      </c>
      <c r="B367" t="e">
        <f>_xlfn.XLOOKUP(C367,'[1]Image URL'!$E:$E,'[1]Image URL'!$A:$A)</f>
        <v>#N/A</v>
      </c>
      <c r="C367">
        <v>5310238</v>
      </c>
      <c r="D367" t="s">
        <v>2230</v>
      </c>
      <c r="E367" t="s">
        <v>1910</v>
      </c>
      <c r="H367" t="s">
        <v>1911</v>
      </c>
      <c r="J367" t="s">
        <v>195</v>
      </c>
      <c r="U367" t="s">
        <v>1459</v>
      </c>
      <c r="V367" t="s">
        <v>1385</v>
      </c>
      <c r="W367">
        <v>77838235485</v>
      </c>
      <c r="X367">
        <v>10077838035488</v>
      </c>
      <c r="Y367" t="s">
        <v>967</v>
      </c>
      <c r="Z367" t="s">
        <v>1912</v>
      </c>
      <c r="AA367" t="s">
        <v>1913</v>
      </c>
      <c r="AB367" t="s">
        <v>462</v>
      </c>
      <c r="AC367" t="s">
        <v>866</v>
      </c>
      <c r="AD367" t="s">
        <v>301</v>
      </c>
      <c r="AE367" t="s">
        <v>349</v>
      </c>
      <c r="AF367" t="s">
        <v>235</v>
      </c>
      <c r="AG367">
        <v>392410.2</v>
      </c>
      <c r="AH367">
        <v>70</v>
      </c>
      <c r="AN367" t="s">
        <v>1553</v>
      </c>
      <c r="AT367" t="s">
        <v>1911</v>
      </c>
      <c r="CW367" t="s">
        <v>193</v>
      </c>
    </row>
    <row r="368" spans="1:106" x14ac:dyDescent="0.25">
      <c r="A368" t="s">
        <v>2231</v>
      </c>
      <c r="B368" t="e">
        <f>_xlfn.XLOOKUP(C368,'[1]Image URL'!$E:$E,'[1]Image URL'!$A:$A)</f>
        <v>#N/A</v>
      </c>
      <c r="C368">
        <v>5400218</v>
      </c>
      <c r="D368" t="s">
        <v>2232</v>
      </c>
      <c r="E368" t="s">
        <v>1537</v>
      </c>
      <c r="F368" t="s">
        <v>2138</v>
      </c>
      <c r="G368" t="s">
        <v>2139</v>
      </c>
      <c r="H368" t="s">
        <v>186</v>
      </c>
      <c r="M368" t="s">
        <v>1774</v>
      </c>
      <c r="T368" t="s">
        <v>2131</v>
      </c>
      <c r="U368" t="s">
        <v>1459</v>
      </c>
      <c r="V368" t="s">
        <v>1385</v>
      </c>
      <c r="W368">
        <v>77838887523</v>
      </c>
      <c r="X368">
        <v>10077838887520</v>
      </c>
      <c r="Y368" t="s">
        <v>2140</v>
      </c>
      <c r="Z368" t="s">
        <v>159</v>
      </c>
      <c r="AA368" t="s">
        <v>2141</v>
      </c>
      <c r="AB368" t="s">
        <v>2141</v>
      </c>
      <c r="AC368" t="s">
        <v>150</v>
      </c>
      <c r="AD368" t="s">
        <v>1390</v>
      </c>
      <c r="AE368" t="s">
        <v>184</v>
      </c>
      <c r="AF368" t="s">
        <v>315</v>
      </c>
      <c r="AG368">
        <v>392410.2</v>
      </c>
      <c r="AH368">
        <v>85</v>
      </c>
      <c r="AL368" t="s">
        <v>681</v>
      </c>
      <c r="CS368" t="s">
        <v>2142</v>
      </c>
      <c r="CT368" t="s">
        <v>2143</v>
      </c>
      <c r="CU368" t="s">
        <v>2144</v>
      </c>
      <c r="CV368" t="s">
        <v>2145</v>
      </c>
    </row>
    <row r="369" spans="1:107" x14ac:dyDescent="0.25">
      <c r="A369" t="s">
        <v>2233</v>
      </c>
      <c r="B369" t="e">
        <f>_xlfn.XLOOKUP(C369,'[1]Image URL'!$E:$E,'[1]Image URL'!$A:$A)</f>
        <v>#N/A</v>
      </c>
      <c r="C369" t="s">
        <v>2398</v>
      </c>
      <c r="D369" t="s">
        <v>2234</v>
      </c>
      <c r="E369" t="s">
        <v>1697</v>
      </c>
      <c r="H369" t="s">
        <v>412</v>
      </c>
      <c r="J369" t="s">
        <v>195</v>
      </c>
      <c r="M369" t="s">
        <v>2235</v>
      </c>
      <c r="T369" t="s">
        <v>2236</v>
      </c>
      <c r="U369" t="s">
        <v>1459</v>
      </c>
      <c r="V369" t="s">
        <v>1385</v>
      </c>
      <c r="W369">
        <v>77838888865</v>
      </c>
      <c r="X369">
        <v>10077838888862</v>
      </c>
      <c r="Y369" t="s">
        <v>2237</v>
      </c>
      <c r="Z369" t="s">
        <v>1803</v>
      </c>
      <c r="AA369" t="s">
        <v>2238</v>
      </c>
      <c r="AB369" t="s">
        <v>549</v>
      </c>
      <c r="AC369" t="s">
        <v>266</v>
      </c>
      <c r="AD369" t="s">
        <v>1562</v>
      </c>
      <c r="AE369" t="s">
        <v>184</v>
      </c>
      <c r="AF369" t="s">
        <v>268</v>
      </c>
      <c r="AG369">
        <v>392410.2</v>
      </c>
      <c r="AH369">
        <v>70</v>
      </c>
      <c r="AN369" t="s">
        <v>329</v>
      </c>
    </row>
    <row r="370" spans="1:107" x14ac:dyDescent="0.25">
      <c r="A370" t="s">
        <v>2239</v>
      </c>
      <c r="B370" t="e">
        <f>_xlfn.XLOOKUP(C370,'[1]Image URL'!$E:$E,'[1]Image URL'!$A:$A)</f>
        <v>#N/A</v>
      </c>
      <c r="C370">
        <v>6402315</v>
      </c>
      <c r="D370" t="s">
        <v>2240</v>
      </c>
      <c r="E370" t="s">
        <v>1574</v>
      </c>
      <c r="F370" t="s">
        <v>578</v>
      </c>
      <c r="G370" t="s">
        <v>578</v>
      </c>
      <c r="H370" t="s">
        <v>1575</v>
      </c>
      <c r="J370" t="s">
        <v>195</v>
      </c>
      <c r="M370" t="s">
        <v>1576</v>
      </c>
      <c r="T370" t="s">
        <v>1577</v>
      </c>
      <c r="U370" t="s">
        <v>1459</v>
      </c>
      <c r="V370" t="s">
        <v>1385</v>
      </c>
      <c r="W370">
        <v>77838885635</v>
      </c>
      <c r="X370">
        <v>10077838885632</v>
      </c>
      <c r="Y370" t="s">
        <v>1578</v>
      </c>
      <c r="Z370" t="s">
        <v>1579</v>
      </c>
      <c r="AA370" t="s">
        <v>475</v>
      </c>
      <c r="AB370" t="s">
        <v>859</v>
      </c>
      <c r="AC370" t="s">
        <v>1580</v>
      </c>
      <c r="AD370" t="s">
        <v>301</v>
      </c>
      <c r="AE370" t="s">
        <v>184</v>
      </c>
      <c r="AF370" t="s">
        <v>164</v>
      </c>
      <c r="AG370">
        <v>392410.2</v>
      </c>
      <c r="AH370">
        <v>65</v>
      </c>
      <c r="AL370" t="s">
        <v>1581</v>
      </c>
      <c r="BH370" t="s">
        <v>578</v>
      </c>
      <c r="BI370" t="s">
        <v>242</v>
      </c>
      <c r="CQ370" t="s">
        <v>965</v>
      </c>
    </row>
    <row r="371" spans="1:107" x14ac:dyDescent="0.25">
      <c r="A371" t="s">
        <v>2241</v>
      </c>
      <c r="B371" t="e">
        <f>_xlfn.XLOOKUP(C371,'[1]Image URL'!$E:$E,'[1]Image URL'!$A:$A)</f>
        <v>#N/A</v>
      </c>
      <c r="C371" t="s">
        <v>2407</v>
      </c>
      <c r="D371" t="s">
        <v>2242</v>
      </c>
      <c r="E371" t="s">
        <v>1697</v>
      </c>
      <c r="H371" t="s">
        <v>186</v>
      </c>
      <c r="J371" t="s">
        <v>195</v>
      </c>
      <c r="M371" t="s">
        <v>1698</v>
      </c>
      <c r="T371" t="s">
        <v>1699</v>
      </c>
      <c r="U371" t="s">
        <v>1459</v>
      </c>
      <c r="V371" t="s">
        <v>1385</v>
      </c>
      <c r="W371">
        <v>77838870037</v>
      </c>
      <c r="X371">
        <v>10077838870034</v>
      </c>
      <c r="Y371" t="s">
        <v>1700</v>
      </c>
      <c r="Z371" t="s">
        <v>1701</v>
      </c>
      <c r="AA371" t="s">
        <v>1702</v>
      </c>
      <c r="AB371" t="s">
        <v>1702</v>
      </c>
      <c r="AC371" t="s">
        <v>1301</v>
      </c>
      <c r="AD371" t="s">
        <v>669</v>
      </c>
      <c r="AE371" t="s">
        <v>184</v>
      </c>
      <c r="AF371" t="s">
        <v>184</v>
      </c>
      <c r="AG371">
        <v>392410.2</v>
      </c>
      <c r="AH371">
        <v>70</v>
      </c>
      <c r="AN371" t="s">
        <v>192</v>
      </c>
    </row>
    <row r="372" spans="1:107" x14ac:dyDescent="0.25">
      <c r="A372" t="s">
        <v>2243</v>
      </c>
      <c r="B372" t="e">
        <f>_xlfn.XLOOKUP(C372,'[1]Image URL'!$E:$E,'[1]Image URL'!$A:$A)</f>
        <v>#N/A</v>
      </c>
      <c r="C372">
        <v>5300480</v>
      </c>
      <c r="D372" t="s">
        <v>2244</v>
      </c>
      <c r="E372" t="s">
        <v>1748</v>
      </c>
      <c r="F372" t="s">
        <v>1749</v>
      </c>
      <c r="G372" t="s">
        <v>578</v>
      </c>
      <c r="H372" t="s">
        <v>1750</v>
      </c>
      <c r="U372" t="s">
        <v>1459</v>
      </c>
      <c r="V372" t="s">
        <v>1385</v>
      </c>
      <c r="W372">
        <v>77838887325</v>
      </c>
      <c r="X372">
        <v>10077838887322</v>
      </c>
      <c r="Y372" t="s">
        <v>1751</v>
      </c>
      <c r="Z372" t="s">
        <v>1752</v>
      </c>
      <c r="AA372" t="s">
        <v>1753</v>
      </c>
      <c r="AB372" t="s">
        <v>1753</v>
      </c>
      <c r="AC372" t="s">
        <v>1674</v>
      </c>
      <c r="AD372" t="s">
        <v>1562</v>
      </c>
      <c r="AE372" t="s">
        <v>184</v>
      </c>
      <c r="AF372" t="s">
        <v>268</v>
      </c>
      <c r="AG372">
        <v>392410.2</v>
      </c>
      <c r="AH372">
        <v>60</v>
      </c>
      <c r="AL372" t="s">
        <v>1754</v>
      </c>
      <c r="CS372" t="s">
        <v>1755</v>
      </c>
      <c r="CT372" t="s">
        <v>1756</v>
      </c>
      <c r="CU372" t="s">
        <v>1749</v>
      </c>
      <c r="CV372" t="s">
        <v>1757</v>
      </c>
    </row>
    <row r="373" spans="1:107" x14ac:dyDescent="0.25">
      <c r="A373" t="s">
        <v>2245</v>
      </c>
      <c r="B373" t="e">
        <f>_xlfn.XLOOKUP(C373,'[1]Image URL'!$E:$E,'[1]Image URL'!$A:$A)</f>
        <v>#N/A</v>
      </c>
      <c r="C373" t="s">
        <v>2423</v>
      </c>
      <c r="D373" t="s">
        <v>2247</v>
      </c>
      <c r="E373" t="s">
        <v>2094</v>
      </c>
      <c r="F373" t="s">
        <v>2095</v>
      </c>
      <c r="G373" t="s">
        <v>2095</v>
      </c>
      <c r="H373" t="s">
        <v>477</v>
      </c>
      <c r="J373" t="s">
        <v>195</v>
      </c>
      <c r="U373" t="s">
        <v>1459</v>
      </c>
      <c r="V373" t="s">
        <v>1385</v>
      </c>
      <c r="W373">
        <v>77838210987</v>
      </c>
      <c r="X373">
        <v>10077838110987</v>
      </c>
      <c r="Y373" t="s">
        <v>2060</v>
      </c>
      <c r="Z373" t="s">
        <v>1835</v>
      </c>
      <c r="AA373" t="s">
        <v>1531</v>
      </c>
      <c r="AB373" t="s">
        <v>421</v>
      </c>
      <c r="AC373" t="s">
        <v>2096</v>
      </c>
      <c r="AD373" t="s">
        <v>1765</v>
      </c>
      <c r="AE373" t="s">
        <v>349</v>
      </c>
      <c r="AF373" t="s">
        <v>349</v>
      </c>
      <c r="AG373">
        <v>392410.2</v>
      </c>
      <c r="AH373">
        <v>70</v>
      </c>
      <c r="AL373" t="s">
        <v>681</v>
      </c>
      <c r="AM373" t="s">
        <v>2097</v>
      </c>
    </row>
    <row r="374" spans="1:107" x14ac:dyDescent="0.25">
      <c r="A374" t="s">
        <v>2248</v>
      </c>
      <c r="B374" t="e">
        <f>_xlfn.XLOOKUP(C374,'[1]Image URL'!$E:$E,'[1]Image URL'!$A:$A)</f>
        <v>#N/A</v>
      </c>
      <c r="C374">
        <v>690807</v>
      </c>
      <c r="D374" t="s">
        <v>2249</v>
      </c>
      <c r="E374" t="s">
        <v>1748</v>
      </c>
      <c r="F374" t="s">
        <v>1815</v>
      </c>
      <c r="G374" t="s">
        <v>1816</v>
      </c>
      <c r="H374" t="s">
        <v>1817</v>
      </c>
      <c r="U374" t="s">
        <v>1459</v>
      </c>
      <c r="V374" t="s">
        <v>1385</v>
      </c>
      <c r="W374">
        <v>77838887264</v>
      </c>
      <c r="X374">
        <v>10077838887261</v>
      </c>
      <c r="Y374" t="s">
        <v>1818</v>
      </c>
      <c r="Z374" t="s">
        <v>1631</v>
      </c>
      <c r="AA374" t="s">
        <v>1819</v>
      </c>
      <c r="AB374" t="s">
        <v>1820</v>
      </c>
      <c r="AC374" t="s">
        <v>1107</v>
      </c>
      <c r="AD374" t="s">
        <v>669</v>
      </c>
      <c r="AE374" t="s">
        <v>507</v>
      </c>
      <c r="AF374" t="s">
        <v>315</v>
      </c>
      <c r="AG374">
        <v>392410.2</v>
      </c>
      <c r="AH374">
        <v>60</v>
      </c>
      <c r="AL374" t="s">
        <v>1821</v>
      </c>
      <c r="CS374" t="s">
        <v>1822</v>
      </c>
      <c r="CT374" t="s">
        <v>1823</v>
      </c>
      <c r="CU374" t="s">
        <v>1815</v>
      </c>
      <c r="CV374" t="s">
        <v>1824</v>
      </c>
    </row>
    <row r="375" spans="1:107" x14ac:dyDescent="0.25">
      <c r="A375" t="s">
        <v>2250</v>
      </c>
      <c r="B375" t="e">
        <f>_xlfn.XLOOKUP(C375,'[1]Image URL'!$E:$E,'[1]Image URL'!$A:$A)</f>
        <v>#N/A</v>
      </c>
      <c r="C375">
        <v>3300405</v>
      </c>
      <c r="D375" t="s">
        <v>2252</v>
      </c>
      <c r="E375" t="s">
        <v>1593</v>
      </c>
      <c r="H375" t="s">
        <v>1594</v>
      </c>
      <c r="J375" t="s">
        <v>195</v>
      </c>
      <c r="U375" t="s">
        <v>1459</v>
      </c>
      <c r="V375" t="s">
        <v>1385</v>
      </c>
      <c r="W375">
        <v>77838235386</v>
      </c>
      <c r="X375">
        <v>10077838035389</v>
      </c>
      <c r="Y375" t="s">
        <v>1595</v>
      </c>
      <c r="Z375" t="s">
        <v>1596</v>
      </c>
      <c r="AA375" t="s">
        <v>523</v>
      </c>
      <c r="AB375" t="s">
        <v>991</v>
      </c>
      <c r="AC375" t="s">
        <v>472</v>
      </c>
      <c r="AD375" t="s">
        <v>975</v>
      </c>
      <c r="AE375" t="s">
        <v>507</v>
      </c>
      <c r="AF375" t="s">
        <v>164</v>
      </c>
      <c r="AG375">
        <v>392410.2</v>
      </c>
      <c r="AH375">
        <v>70</v>
      </c>
      <c r="AM375" t="s">
        <v>1597</v>
      </c>
      <c r="AN375" t="s">
        <v>915</v>
      </c>
    </row>
    <row r="376" spans="1:107" x14ac:dyDescent="0.25">
      <c r="A376" t="s">
        <v>2253</v>
      </c>
      <c r="B376" t="e">
        <f>_xlfn.XLOOKUP(C376,'[1]Image URL'!$E:$E,'[1]Image URL'!$A:$A)</f>
        <v>#N/A</v>
      </c>
      <c r="C376">
        <v>5310672</v>
      </c>
      <c r="D376" t="s">
        <v>2254</v>
      </c>
      <c r="E376" t="s">
        <v>2255</v>
      </c>
      <c r="F376" t="s">
        <v>2256</v>
      </c>
      <c r="G376" t="s">
        <v>2256</v>
      </c>
      <c r="H376" t="s">
        <v>2000</v>
      </c>
      <c r="J376" t="s">
        <v>195</v>
      </c>
      <c r="U376" t="s">
        <v>1459</v>
      </c>
      <c r="V376" t="s">
        <v>1385</v>
      </c>
      <c r="W376">
        <v>77838297629</v>
      </c>
      <c r="X376">
        <v>10077838097622</v>
      </c>
      <c r="Y376" t="s">
        <v>1233</v>
      </c>
      <c r="Z376" t="s">
        <v>1835</v>
      </c>
      <c r="AA376" t="s">
        <v>421</v>
      </c>
      <c r="AB376" t="s">
        <v>2257</v>
      </c>
      <c r="AC376" t="s">
        <v>266</v>
      </c>
      <c r="AD376" t="s">
        <v>647</v>
      </c>
      <c r="AE376" t="s">
        <v>315</v>
      </c>
      <c r="AF376" t="s">
        <v>185</v>
      </c>
      <c r="AG376">
        <v>392410.2</v>
      </c>
      <c r="AH376">
        <v>65</v>
      </c>
      <c r="AL376" t="s">
        <v>896</v>
      </c>
      <c r="AT376" t="s">
        <v>2000</v>
      </c>
    </row>
    <row r="377" spans="1:107" x14ac:dyDescent="0.25">
      <c r="A377" t="s">
        <v>2258</v>
      </c>
      <c r="B377" t="e">
        <f>_xlfn.XLOOKUP(C377,'[1]Image URL'!$E:$E,'[1]Image URL'!$A:$A)</f>
        <v>#N/A</v>
      </c>
      <c r="C377" t="s">
        <v>2438</v>
      </c>
      <c r="D377" t="s">
        <v>2260</v>
      </c>
      <c r="E377" t="s">
        <v>2261</v>
      </c>
      <c r="I377" t="s">
        <v>194</v>
      </c>
      <c r="J377" t="s">
        <v>195</v>
      </c>
      <c r="U377" t="s">
        <v>196</v>
      </c>
      <c r="V377" t="s">
        <v>157</v>
      </c>
      <c r="W377">
        <v>77838224724</v>
      </c>
      <c r="X377">
        <v>10077838024727</v>
      </c>
      <c r="Y377" t="s">
        <v>955</v>
      </c>
      <c r="Z377" t="s">
        <v>1866</v>
      </c>
      <c r="AA377" t="s">
        <v>1420</v>
      </c>
      <c r="AB377" t="s">
        <v>329</v>
      </c>
      <c r="AC377" t="s">
        <v>329</v>
      </c>
      <c r="AD377" t="s">
        <v>2262</v>
      </c>
      <c r="AE377" t="s">
        <v>2263</v>
      </c>
      <c r="AF377" t="s">
        <v>185</v>
      </c>
      <c r="AG377">
        <v>392410.2</v>
      </c>
      <c r="AH377">
        <v>65</v>
      </c>
      <c r="AN377" t="s">
        <v>288</v>
      </c>
      <c r="AT377" t="s">
        <v>1500</v>
      </c>
    </row>
    <row r="378" spans="1:107" x14ac:dyDescent="0.25">
      <c r="A378" t="s">
        <v>2264</v>
      </c>
      <c r="B378" t="e">
        <f>_xlfn.XLOOKUP(C378,'[1]Image URL'!$E:$E,'[1]Image URL'!$A:$A)</f>
        <v>#N/A</v>
      </c>
      <c r="C378">
        <v>4350302</v>
      </c>
      <c r="D378" t="s">
        <v>2266</v>
      </c>
      <c r="E378" t="s">
        <v>2267</v>
      </c>
      <c r="H378" t="s">
        <v>2268</v>
      </c>
      <c r="J378" t="s">
        <v>195</v>
      </c>
      <c r="U378" t="s">
        <v>1459</v>
      </c>
      <c r="V378" t="s">
        <v>1385</v>
      </c>
      <c r="W378">
        <v>77838211281</v>
      </c>
      <c r="X378">
        <v>10077838111281</v>
      </c>
      <c r="Y378" t="s">
        <v>2269</v>
      </c>
      <c r="Z378" t="s">
        <v>993</v>
      </c>
      <c r="AA378" t="s">
        <v>1441</v>
      </c>
      <c r="AB378" t="s">
        <v>1441</v>
      </c>
      <c r="AC378" t="s">
        <v>2196</v>
      </c>
      <c r="AD378" t="s">
        <v>301</v>
      </c>
      <c r="AE378" t="s">
        <v>184</v>
      </c>
      <c r="AF378" t="s">
        <v>164</v>
      </c>
      <c r="AG378">
        <v>392410.2</v>
      </c>
      <c r="AH378">
        <v>70</v>
      </c>
      <c r="AM378" t="s">
        <v>2270</v>
      </c>
      <c r="AN378" t="s">
        <v>2271</v>
      </c>
      <c r="DC378" t="s">
        <v>340</v>
      </c>
    </row>
    <row r="379" spans="1:107" x14ac:dyDescent="0.25">
      <c r="A379" t="s">
        <v>2272</v>
      </c>
      <c r="B379" t="e">
        <f>_xlfn.XLOOKUP(C379,'[1]Image URL'!$E:$E,'[1]Image URL'!$A:$A)</f>
        <v>#N/A</v>
      </c>
      <c r="C379" t="s">
        <v>2443</v>
      </c>
      <c r="D379" t="s">
        <v>2274</v>
      </c>
      <c r="E379" t="s">
        <v>2275</v>
      </c>
      <c r="H379" t="s">
        <v>1858</v>
      </c>
      <c r="J379" t="s">
        <v>195</v>
      </c>
      <c r="U379" t="s">
        <v>1459</v>
      </c>
      <c r="V379" t="s">
        <v>1385</v>
      </c>
      <c r="W379">
        <v>77838610862</v>
      </c>
      <c r="X379">
        <v>10077838110864</v>
      </c>
      <c r="Y379" t="s">
        <v>2276</v>
      </c>
      <c r="Z379" t="s">
        <v>2277</v>
      </c>
      <c r="AA379" t="s">
        <v>645</v>
      </c>
      <c r="AB379" t="s">
        <v>599</v>
      </c>
      <c r="AC379" t="s">
        <v>1692</v>
      </c>
      <c r="AD379" t="s">
        <v>402</v>
      </c>
      <c r="AE379" t="s">
        <v>303</v>
      </c>
      <c r="AF379" t="s">
        <v>235</v>
      </c>
      <c r="AG379">
        <v>392410.2</v>
      </c>
      <c r="AH379">
        <v>70</v>
      </c>
      <c r="AN379" t="s">
        <v>2278</v>
      </c>
      <c r="AT379" t="s">
        <v>1858</v>
      </c>
    </row>
    <row r="380" spans="1:107" x14ac:dyDescent="0.25">
      <c r="A380" t="s">
        <v>2279</v>
      </c>
      <c r="B380" t="e">
        <f>_xlfn.XLOOKUP(C380,'[1]Image URL'!$E:$E,'[1]Image URL'!$A:$A)</f>
        <v>#N/A</v>
      </c>
      <c r="C380">
        <v>4373802</v>
      </c>
      <c r="D380" t="s">
        <v>2280</v>
      </c>
      <c r="E380" t="s">
        <v>1507</v>
      </c>
      <c r="F380" t="s">
        <v>1672</v>
      </c>
      <c r="G380" t="s">
        <v>1672</v>
      </c>
      <c r="H380" t="s">
        <v>1567</v>
      </c>
      <c r="J380" t="s">
        <v>195</v>
      </c>
      <c r="U380" t="s">
        <v>1459</v>
      </c>
      <c r="V380" t="s">
        <v>1385</v>
      </c>
      <c r="W380">
        <v>77838870402</v>
      </c>
      <c r="X380">
        <v>10077838870409</v>
      </c>
      <c r="Y380" t="s">
        <v>1568</v>
      </c>
      <c r="Z380" t="s">
        <v>1560</v>
      </c>
      <c r="AA380" t="s">
        <v>472</v>
      </c>
      <c r="AB380" t="s">
        <v>472</v>
      </c>
      <c r="AC380" t="s">
        <v>188</v>
      </c>
      <c r="AD380" t="s">
        <v>1569</v>
      </c>
      <c r="AE380" t="s">
        <v>507</v>
      </c>
      <c r="AF380" t="s">
        <v>268</v>
      </c>
      <c r="AG380">
        <v>392410.2</v>
      </c>
      <c r="AH380">
        <v>65</v>
      </c>
      <c r="AL380" t="s">
        <v>2281</v>
      </c>
      <c r="AN380" t="s">
        <v>1570</v>
      </c>
      <c r="CW380" t="s">
        <v>1571</v>
      </c>
    </row>
    <row r="381" spans="1:107" x14ac:dyDescent="0.25">
      <c r="A381" t="s">
        <v>2282</v>
      </c>
      <c r="B381" t="e">
        <f>_xlfn.XLOOKUP(C381,'[1]Image URL'!$E:$E,'[1]Image URL'!$A:$A)</f>
        <v>#N/A</v>
      </c>
      <c r="C381" t="s">
        <v>2453</v>
      </c>
      <c r="D381" t="s">
        <v>2283</v>
      </c>
      <c r="E381" t="s">
        <v>1537</v>
      </c>
      <c r="F381" t="s">
        <v>180</v>
      </c>
      <c r="G381" t="s">
        <v>1538</v>
      </c>
      <c r="H381" t="s">
        <v>1539</v>
      </c>
      <c r="U381" t="s">
        <v>1459</v>
      </c>
      <c r="V381" t="s">
        <v>1385</v>
      </c>
      <c r="W381">
        <v>77838887172</v>
      </c>
      <c r="X381">
        <v>10077838887179</v>
      </c>
      <c r="Y381" t="s">
        <v>1540</v>
      </c>
      <c r="Z381" t="s">
        <v>465</v>
      </c>
      <c r="AA381" t="s">
        <v>1541</v>
      </c>
      <c r="AB381" t="s">
        <v>532</v>
      </c>
      <c r="AC381" t="s">
        <v>333</v>
      </c>
      <c r="AD381" t="s">
        <v>1302</v>
      </c>
      <c r="AE381" t="s">
        <v>403</v>
      </c>
      <c r="AF381" t="s">
        <v>303</v>
      </c>
      <c r="AG381">
        <v>392410.2</v>
      </c>
      <c r="AH381">
        <v>65</v>
      </c>
      <c r="AL381" t="s">
        <v>1542</v>
      </c>
      <c r="CS381" t="s">
        <v>1543</v>
      </c>
      <c r="CT381" t="s">
        <v>1544</v>
      </c>
      <c r="CU381" t="s">
        <v>180</v>
      </c>
      <c r="CV381" t="s">
        <v>1545</v>
      </c>
    </row>
    <row r="382" spans="1:107" x14ac:dyDescent="0.25">
      <c r="A382" t="s">
        <v>2284</v>
      </c>
      <c r="B382" t="e">
        <f>_xlfn.XLOOKUP(C382,'[1]Image URL'!$E:$E,'[1]Image URL'!$A:$A)</f>
        <v>#N/A</v>
      </c>
      <c r="C382" t="s">
        <v>2459</v>
      </c>
      <c r="D382" t="s">
        <v>2285</v>
      </c>
      <c r="E382" t="s">
        <v>1697</v>
      </c>
      <c r="H382" t="s">
        <v>2064</v>
      </c>
      <c r="J382" t="s">
        <v>195</v>
      </c>
      <c r="M382" t="s">
        <v>1461</v>
      </c>
      <c r="T382" t="s">
        <v>2065</v>
      </c>
      <c r="U382" t="s">
        <v>1459</v>
      </c>
      <c r="V382" t="s">
        <v>1385</v>
      </c>
      <c r="W382">
        <v>77838870310</v>
      </c>
      <c r="X382">
        <v>10077838870317</v>
      </c>
      <c r="Y382" t="s">
        <v>2066</v>
      </c>
      <c r="Z382" t="s">
        <v>1579</v>
      </c>
      <c r="AA382" t="s">
        <v>2067</v>
      </c>
      <c r="AB382" t="s">
        <v>298</v>
      </c>
      <c r="AC382" t="s">
        <v>288</v>
      </c>
      <c r="AD382" t="s">
        <v>997</v>
      </c>
      <c r="AE382" t="s">
        <v>268</v>
      </c>
      <c r="AF382" t="s">
        <v>268</v>
      </c>
      <c r="AG382">
        <v>392410.2</v>
      </c>
      <c r="AH382">
        <v>70</v>
      </c>
      <c r="AN382" t="s">
        <v>466</v>
      </c>
    </row>
    <row r="383" spans="1:107" x14ac:dyDescent="0.25">
      <c r="A383" t="s">
        <v>2286</v>
      </c>
      <c r="B383" t="e">
        <f>_xlfn.XLOOKUP(C383,'[1]Image URL'!$E:$E,'[1]Image URL'!$A:$A)</f>
        <v>#N/A</v>
      </c>
      <c r="C383">
        <v>4356342</v>
      </c>
      <c r="D383" t="s">
        <v>2287</v>
      </c>
      <c r="E383" t="s">
        <v>1514</v>
      </c>
      <c r="F383" t="s">
        <v>1515</v>
      </c>
      <c r="G383" t="s">
        <v>1515</v>
      </c>
      <c r="H383" t="s">
        <v>1516</v>
      </c>
      <c r="J383" t="s">
        <v>195</v>
      </c>
      <c r="U383" t="s">
        <v>1459</v>
      </c>
      <c r="V383" t="s">
        <v>1385</v>
      </c>
      <c r="W383">
        <v>77838295434</v>
      </c>
      <c r="X383">
        <v>10077838095437</v>
      </c>
      <c r="Y383" t="s">
        <v>1517</v>
      </c>
      <c r="Z383" t="s">
        <v>1518</v>
      </c>
      <c r="AA383" t="s">
        <v>994</v>
      </c>
      <c r="AB383" t="s">
        <v>994</v>
      </c>
      <c r="AC383" t="s">
        <v>221</v>
      </c>
      <c r="AD383" t="s">
        <v>555</v>
      </c>
      <c r="AE383" t="s">
        <v>184</v>
      </c>
      <c r="AF383" t="s">
        <v>235</v>
      </c>
      <c r="AG383">
        <v>392410.2</v>
      </c>
      <c r="AH383">
        <v>70</v>
      </c>
      <c r="AL383" t="s">
        <v>1519</v>
      </c>
      <c r="AM383" t="s">
        <v>1520</v>
      </c>
      <c r="AN383" t="s">
        <v>1515</v>
      </c>
      <c r="AT383" t="s">
        <v>1516</v>
      </c>
    </row>
    <row r="384" spans="1:107" x14ac:dyDescent="0.25">
      <c r="A384" t="s">
        <v>2288</v>
      </c>
      <c r="B384" t="e">
        <f>_xlfn.XLOOKUP(C384,'[1]Image URL'!$E:$E,'[1]Image URL'!$A:$A)</f>
        <v>#N/A</v>
      </c>
      <c r="C384" t="s">
        <v>2467</v>
      </c>
      <c r="D384" t="s">
        <v>2289</v>
      </c>
      <c r="E384" t="s">
        <v>2170</v>
      </c>
      <c r="F384" t="s">
        <v>2171</v>
      </c>
      <c r="G384" t="s">
        <v>2171</v>
      </c>
      <c r="H384" t="s">
        <v>330</v>
      </c>
      <c r="J384" t="s">
        <v>195</v>
      </c>
      <c r="U384" t="s">
        <v>1459</v>
      </c>
      <c r="V384" t="s">
        <v>1385</v>
      </c>
      <c r="W384">
        <v>77838595855</v>
      </c>
      <c r="X384">
        <v>10077838095857</v>
      </c>
      <c r="Y384" t="s">
        <v>2172</v>
      </c>
      <c r="Z384" t="s">
        <v>1266</v>
      </c>
      <c r="AA384" t="s">
        <v>1388</v>
      </c>
      <c r="AB384" t="s">
        <v>462</v>
      </c>
      <c r="AC384" t="s">
        <v>536</v>
      </c>
      <c r="AD384" t="s">
        <v>2173</v>
      </c>
      <c r="AE384" t="s">
        <v>204</v>
      </c>
      <c r="AF384" t="s">
        <v>185</v>
      </c>
      <c r="AG384">
        <v>392410.2</v>
      </c>
      <c r="AH384">
        <v>70</v>
      </c>
      <c r="AL384" t="s">
        <v>636</v>
      </c>
      <c r="AM384" t="s">
        <v>2174</v>
      </c>
      <c r="AN384" t="s">
        <v>2171</v>
      </c>
      <c r="AT384" t="s">
        <v>330</v>
      </c>
    </row>
    <row r="385" spans="1:102" x14ac:dyDescent="0.25">
      <c r="A385" t="s">
        <v>2290</v>
      </c>
      <c r="B385" t="e">
        <f>_xlfn.XLOOKUP(C385,'[1]Image URL'!$E:$E,'[1]Image URL'!$A:$A)</f>
        <v>#N/A</v>
      </c>
      <c r="C385">
        <v>5310823</v>
      </c>
      <c r="D385" t="s">
        <v>2291</v>
      </c>
      <c r="E385" t="s">
        <v>2292</v>
      </c>
      <c r="F385" t="s">
        <v>2293</v>
      </c>
      <c r="G385" t="s">
        <v>2293</v>
      </c>
      <c r="H385" t="s">
        <v>2294</v>
      </c>
      <c r="J385" t="s">
        <v>195</v>
      </c>
      <c r="U385" t="s">
        <v>1459</v>
      </c>
      <c r="V385" t="s">
        <v>1385</v>
      </c>
      <c r="W385">
        <v>77838595688</v>
      </c>
      <c r="X385">
        <v>10077838095680</v>
      </c>
      <c r="Y385" t="s">
        <v>1559</v>
      </c>
      <c r="Z385" t="s">
        <v>1781</v>
      </c>
      <c r="AA385" t="s">
        <v>332</v>
      </c>
      <c r="AB385" t="s">
        <v>1374</v>
      </c>
      <c r="AC385" t="s">
        <v>1561</v>
      </c>
      <c r="AD385" t="s">
        <v>1562</v>
      </c>
      <c r="AE385" t="s">
        <v>507</v>
      </c>
      <c r="AF385" t="s">
        <v>235</v>
      </c>
      <c r="AG385">
        <v>392410.2</v>
      </c>
      <c r="AH385">
        <v>70</v>
      </c>
      <c r="AL385" t="s">
        <v>1078</v>
      </c>
      <c r="AM385" t="s">
        <v>1588</v>
      </c>
      <c r="AN385" t="s">
        <v>2293</v>
      </c>
      <c r="AT385" t="s">
        <v>2294</v>
      </c>
    </row>
    <row r="386" spans="1:102" x14ac:dyDescent="0.25">
      <c r="A386" t="s">
        <v>2295</v>
      </c>
      <c r="B386" t="e">
        <f>_xlfn.XLOOKUP(C386,'[1]Image URL'!$E:$E,'[1]Image URL'!$A:$A)</f>
        <v>#N/A</v>
      </c>
      <c r="C386">
        <v>5400715</v>
      </c>
      <c r="D386" t="s">
        <v>2296</v>
      </c>
      <c r="E386" t="s">
        <v>1472</v>
      </c>
      <c r="F386" t="s">
        <v>364</v>
      </c>
      <c r="G386" t="s">
        <v>364</v>
      </c>
      <c r="H386" t="s">
        <v>201</v>
      </c>
      <c r="J386" t="s">
        <v>212</v>
      </c>
      <c r="M386" t="s">
        <v>1473</v>
      </c>
      <c r="T386" t="s">
        <v>1474</v>
      </c>
      <c r="U386" t="s">
        <v>584</v>
      </c>
      <c r="V386" t="s">
        <v>157</v>
      </c>
      <c r="W386">
        <v>77838209578</v>
      </c>
      <c r="X386">
        <v>10077838009571</v>
      </c>
      <c r="Y386" t="s">
        <v>659</v>
      </c>
      <c r="Z386" t="s">
        <v>1475</v>
      </c>
      <c r="AA386" t="s">
        <v>1476</v>
      </c>
      <c r="AB386" t="s">
        <v>472</v>
      </c>
      <c r="AC386" t="s">
        <v>715</v>
      </c>
      <c r="AD386" t="s">
        <v>1142</v>
      </c>
      <c r="AE386" t="s">
        <v>184</v>
      </c>
      <c r="AF386" t="s">
        <v>349</v>
      </c>
      <c r="AG386">
        <v>392410.2</v>
      </c>
      <c r="AH386">
        <v>85</v>
      </c>
      <c r="AL386" t="s">
        <v>1477</v>
      </c>
      <c r="AN386" t="s">
        <v>364</v>
      </c>
      <c r="BD386" t="s">
        <v>361</v>
      </c>
      <c r="CQ386" t="s">
        <v>1478</v>
      </c>
    </row>
    <row r="387" spans="1:102" x14ac:dyDescent="0.25">
      <c r="A387" t="s">
        <v>2297</v>
      </c>
      <c r="B387" t="e">
        <f>_xlfn.XLOOKUP(C387,'[1]Image URL'!$E:$E,'[1]Image URL'!$A:$A)</f>
        <v>#N/A</v>
      </c>
      <c r="C387">
        <v>3301005</v>
      </c>
      <c r="D387" t="s">
        <v>1655</v>
      </c>
      <c r="E387" t="s">
        <v>1649</v>
      </c>
      <c r="F387" t="s">
        <v>211</v>
      </c>
      <c r="G387" t="s">
        <v>211</v>
      </c>
      <c r="H387" t="s">
        <v>1650</v>
      </c>
      <c r="J387" t="s">
        <v>195</v>
      </c>
      <c r="U387" t="s">
        <v>1459</v>
      </c>
      <c r="V387" t="s">
        <v>1385</v>
      </c>
      <c r="W387">
        <v>77838822937</v>
      </c>
      <c r="X387">
        <v>10077838822934</v>
      </c>
      <c r="Y387" t="s">
        <v>1651</v>
      </c>
      <c r="Z387" t="s">
        <v>1652</v>
      </c>
      <c r="AA387" t="s">
        <v>542</v>
      </c>
      <c r="AB387" t="s">
        <v>329</v>
      </c>
      <c r="AC387" t="s">
        <v>192</v>
      </c>
      <c r="AD387" t="s">
        <v>183</v>
      </c>
      <c r="AE387" t="s">
        <v>184</v>
      </c>
      <c r="AF387" t="s">
        <v>185</v>
      </c>
      <c r="AG387">
        <v>392410.2</v>
      </c>
      <c r="AH387">
        <v>60</v>
      </c>
      <c r="AL387" t="s">
        <v>1653</v>
      </c>
      <c r="AN387" t="s">
        <v>594</v>
      </c>
      <c r="AT387" t="s">
        <v>1650</v>
      </c>
    </row>
    <row r="388" spans="1:102" x14ac:dyDescent="0.25">
      <c r="A388" t="s">
        <v>2298</v>
      </c>
      <c r="B388" t="e">
        <f>_xlfn.XLOOKUP(C388,'[1]Image URL'!$E:$E,'[1]Image URL'!$A:$A)</f>
        <v>#N/A</v>
      </c>
      <c r="C388">
        <v>5400115</v>
      </c>
      <c r="D388" t="s">
        <v>2299</v>
      </c>
      <c r="E388" t="s">
        <v>1556</v>
      </c>
      <c r="F388" t="s">
        <v>1557</v>
      </c>
      <c r="G388" t="s">
        <v>1557</v>
      </c>
      <c r="H388" t="s">
        <v>1558</v>
      </c>
      <c r="J388" t="s">
        <v>195</v>
      </c>
      <c r="U388" t="s">
        <v>1459</v>
      </c>
      <c r="V388" t="s">
        <v>1385</v>
      </c>
      <c r="W388">
        <v>77838822654</v>
      </c>
      <c r="X388">
        <v>10077838822651</v>
      </c>
      <c r="Y388" t="s">
        <v>1559</v>
      </c>
      <c r="Z388" t="s">
        <v>1560</v>
      </c>
      <c r="AA388" t="s">
        <v>522</v>
      </c>
      <c r="AB388" t="s">
        <v>1561</v>
      </c>
      <c r="AC388" t="s">
        <v>953</v>
      </c>
      <c r="AD388" t="s">
        <v>1562</v>
      </c>
      <c r="AE388" t="s">
        <v>184</v>
      </c>
      <c r="AF388" t="s">
        <v>268</v>
      </c>
      <c r="AG388">
        <v>392410.2</v>
      </c>
      <c r="AH388">
        <v>65</v>
      </c>
      <c r="AL388" t="s">
        <v>1563</v>
      </c>
      <c r="AN388" t="s">
        <v>1557</v>
      </c>
      <c r="AT388" t="s">
        <v>1558</v>
      </c>
    </row>
    <row r="389" spans="1:102" x14ac:dyDescent="0.25">
      <c r="A389" t="s">
        <v>2300</v>
      </c>
      <c r="B389" t="e">
        <f>_xlfn.XLOOKUP(C389,'[1]Image URL'!$E:$E,'[1]Image URL'!$A:$A)</f>
        <v>#N/A</v>
      </c>
      <c r="C389">
        <v>199107</v>
      </c>
      <c r="D389" t="s">
        <v>2301</v>
      </c>
      <c r="E389" t="s">
        <v>1639</v>
      </c>
      <c r="F389" t="s">
        <v>1640</v>
      </c>
      <c r="G389" t="s">
        <v>1640</v>
      </c>
      <c r="H389" t="s">
        <v>1641</v>
      </c>
      <c r="J389" t="s">
        <v>195</v>
      </c>
      <c r="U389" t="s">
        <v>1459</v>
      </c>
      <c r="V389" t="s">
        <v>1385</v>
      </c>
      <c r="W389">
        <v>77838210703</v>
      </c>
      <c r="X389">
        <v>10077838110703</v>
      </c>
      <c r="Y389" t="s">
        <v>1642</v>
      </c>
      <c r="Z389" t="s">
        <v>1643</v>
      </c>
      <c r="AA389" t="s">
        <v>192</v>
      </c>
      <c r="AB389" t="s">
        <v>192</v>
      </c>
      <c r="AC389" t="s">
        <v>836</v>
      </c>
      <c r="AD389" t="s">
        <v>1644</v>
      </c>
      <c r="AE389" t="s">
        <v>204</v>
      </c>
      <c r="AF389" t="s">
        <v>268</v>
      </c>
      <c r="AG389">
        <v>392410.2</v>
      </c>
      <c r="AH389">
        <v>70</v>
      </c>
      <c r="AL389" t="s">
        <v>1645</v>
      </c>
      <c r="AM389" t="s">
        <v>1646</v>
      </c>
      <c r="AN389" t="s">
        <v>1640</v>
      </c>
      <c r="AT389" t="s">
        <v>1641</v>
      </c>
    </row>
    <row r="390" spans="1:102" x14ac:dyDescent="0.25">
      <c r="A390" t="s">
        <v>2302</v>
      </c>
      <c r="B390" t="e">
        <f>_xlfn.XLOOKUP(C390,'[1]Image URL'!$E:$E,'[1]Image URL'!$A:$A)</f>
        <v>#N/A</v>
      </c>
      <c r="C390">
        <v>3304014</v>
      </c>
      <c r="D390" t="s">
        <v>2303</v>
      </c>
      <c r="E390" t="s">
        <v>1678</v>
      </c>
      <c r="F390" t="s">
        <v>1679</v>
      </c>
      <c r="G390" t="s">
        <v>1679</v>
      </c>
      <c r="H390" t="s">
        <v>1423</v>
      </c>
      <c r="J390" t="s">
        <v>195</v>
      </c>
      <c r="U390" t="s">
        <v>1459</v>
      </c>
      <c r="V390" t="s">
        <v>1385</v>
      </c>
      <c r="W390">
        <v>77838606032</v>
      </c>
      <c r="X390">
        <v>10077838106034</v>
      </c>
      <c r="Y390" t="s">
        <v>1680</v>
      </c>
      <c r="Z390" t="s">
        <v>408</v>
      </c>
      <c r="AA390" t="s">
        <v>161</v>
      </c>
      <c r="AB390" t="s">
        <v>766</v>
      </c>
      <c r="AC390" t="s">
        <v>549</v>
      </c>
      <c r="AD390" t="s">
        <v>1681</v>
      </c>
      <c r="AE390" t="s">
        <v>204</v>
      </c>
      <c r="AF390" t="s">
        <v>403</v>
      </c>
      <c r="AG390">
        <v>392410.2</v>
      </c>
      <c r="AH390">
        <v>65</v>
      </c>
      <c r="AL390" t="s">
        <v>1682</v>
      </c>
      <c r="AM390" t="s">
        <v>1683</v>
      </c>
      <c r="AN390" t="s">
        <v>1679</v>
      </c>
      <c r="AT390" t="s">
        <v>1423</v>
      </c>
    </row>
    <row r="391" spans="1:102" x14ac:dyDescent="0.25">
      <c r="A391" t="s">
        <v>2304</v>
      </c>
      <c r="B391" t="e">
        <f>_xlfn.XLOOKUP(C391,'[1]Image URL'!$E:$E,'[1]Image URL'!$A:$A)</f>
        <v>#N/A</v>
      </c>
      <c r="C391">
        <v>6400706</v>
      </c>
      <c r="D391" t="s">
        <v>2305</v>
      </c>
      <c r="E391" t="s">
        <v>1574</v>
      </c>
      <c r="F391" t="s">
        <v>1487</v>
      </c>
      <c r="G391" t="s">
        <v>1487</v>
      </c>
      <c r="H391" t="s">
        <v>1650</v>
      </c>
      <c r="J391" t="s">
        <v>195</v>
      </c>
      <c r="U391" t="s">
        <v>1459</v>
      </c>
      <c r="V391" t="s">
        <v>1385</v>
      </c>
      <c r="W391">
        <v>77838888001</v>
      </c>
      <c r="X391">
        <v>10077838888008</v>
      </c>
      <c r="Y391" t="s">
        <v>1191</v>
      </c>
      <c r="Z391" t="s">
        <v>1560</v>
      </c>
      <c r="AA391" t="s">
        <v>1371</v>
      </c>
      <c r="AB391" t="s">
        <v>1371</v>
      </c>
      <c r="AC391" t="s">
        <v>1367</v>
      </c>
      <c r="AD391" t="s">
        <v>1851</v>
      </c>
      <c r="AE391" t="s">
        <v>507</v>
      </c>
      <c r="AF391" t="s">
        <v>185</v>
      </c>
      <c r="AG391">
        <v>392410.2</v>
      </c>
      <c r="AH391">
        <v>60</v>
      </c>
      <c r="AL391" t="s">
        <v>2306</v>
      </c>
      <c r="AN391" t="s">
        <v>2307</v>
      </c>
      <c r="CX391" t="s">
        <v>466</v>
      </c>
    </row>
    <row r="392" spans="1:102" x14ac:dyDescent="0.25">
      <c r="A392" t="s">
        <v>2308</v>
      </c>
      <c r="B392" t="e">
        <f>_xlfn.XLOOKUP(C392,'[1]Image URL'!$E:$E,'[1]Image URL'!$A:$A)</f>
        <v>#N/A</v>
      </c>
      <c r="C392">
        <v>5400546</v>
      </c>
      <c r="D392" t="s">
        <v>2309</v>
      </c>
      <c r="E392" t="s">
        <v>2310</v>
      </c>
      <c r="F392" t="s">
        <v>324</v>
      </c>
      <c r="G392" t="s">
        <v>324</v>
      </c>
      <c r="H392" t="s">
        <v>319</v>
      </c>
      <c r="J392" t="s">
        <v>195</v>
      </c>
      <c r="O392" t="s">
        <v>463</v>
      </c>
      <c r="P392" t="s">
        <v>463</v>
      </c>
      <c r="U392" t="s">
        <v>1459</v>
      </c>
      <c r="V392" t="s">
        <v>1385</v>
      </c>
      <c r="W392">
        <v>77838200216</v>
      </c>
      <c r="X392">
        <v>10077838200213</v>
      </c>
      <c r="Y392" t="s">
        <v>2311</v>
      </c>
      <c r="Z392" t="s">
        <v>1912</v>
      </c>
      <c r="AA392" t="s">
        <v>2312</v>
      </c>
      <c r="AB392" t="s">
        <v>2196</v>
      </c>
      <c r="AC392" t="s">
        <v>942</v>
      </c>
      <c r="AD392" t="s">
        <v>1552</v>
      </c>
      <c r="AE392" t="s">
        <v>349</v>
      </c>
      <c r="AF392" t="s">
        <v>164</v>
      </c>
      <c r="AG392">
        <v>392410.2</v>
      </c>
      <c r="AH392">
        <v>65</v>
      </c>
      <c r="AL392" t="s">
        <v>2313</v>
      </c>
    </row>
    <row r="393" spans="1:102" x14ac:dyDescent="0.25">
      <c r="A393" t="s">
        <v>2314</v>
      </c>
      <c r="B393" t="e">
        <f>_xlfn.XLOOKUP(C393,'[1]Image URL'!$E:$E,'[1]Image URL'!$A:$A)</f>
        <v>#N/A</v>
      </c>
      <c r="C393">
        <v>4374525</v>
      </c>
      <c r="D393" t="s">
        <v>2315</v>
      </c>
      <c r="E393" t="s">
        <v>1566</v>
      </c>
      <c r="H393" t="s">
        <v>1567</v>
      </c>
      <c r="J393" t="s">
        <v>195</v>
      </c>
      <c r="U393" t="s">
        <v>1459</v>
      </c>
      <c r="V393" t="s">
        <v>1385</v>
      </c>
      <c r="W393">
        <v>77838869895</v>
      </c>
      <c r="X393">
        <v>10077838869892</v>
      </c>
      <c r="Y393" t="s">
        <v>1780</v>
      </c>
      <c r="Z393" t="s">
        <v>1781</v>
      </c>
      <c r="AA393" t="s">
        <v>421</v>
      </c>
      <c r="AB393" t="s">
        <v>421</v>
      </c>
      <c r="AC393" t="s">
        <v>152</v>
      </c>
      <c r="AD393" t="s">
        <v>1424</v>
      </c>
      <c r="AE393" t="s">
        <v>315</v>
      </c>
      <c r="AF393" t="s">
        <v>315</v>
      </c>
      <c r="AG393">
        <v>392410.2</v>
      </c>
      <c r="AH393">
        <v>65</v>
      </c>
      <c r="AN393" t="s">
        <v>451</v>
      </c>
      <c r="CW393" t="s">
        <v>1571</v>
      </c>
    </row>
    <row r="394" spans="1:102" x14ac:dyDescent="0.25">
      <c r="A394" t="s">
        <v>2316</v>
      </c>
      <c r="B394" t="e">
        <f>_xlfn.XLOOKUP(C394,'[1]Image URL'!$E:$E,'[1]Image URL'!$A:$A)</f>
        <v>#N/A</v>
      </c>
      <c r="C394">
        <v>5310538</v>
      </c>
      <c r="D394" t="s">
        <v>2317</v>
      </c>
      <c r="E394" t="s">
        <v>2318</v>
      </c>
      <c r="H394" t="s">
        <v>1726</v>
      </c>
      <c r="J394" t="s">
        <v>195</v>
      </c>
      <c r="U394" t="s">
        <v>1459</v>
      </c>
      <c r="V394" t="s">
        <v>1385</v>
      </c>
      <c r="W394">
        <v>77838601884</v>
      </c>
      <c r="X394">
        <v>10077838101886</v>
      </c>
      <c r="Y394" t="s">
        <v>2319</v>
      </c>
      <c r="Z394" t="s">
        <v>2320</v>
      </c>
      <c r="AA394" t="s">
        <v>385</v>
      </c>
      <c r="AB394" t="s">
        <v>2321</v>
      </c>
      <c r="AC394" t="s">
        <v>868</v>
      </c>
      <c r="AD394" t="s">
        <v>426</v>
      </c>
      <c r="AE394" t="s">
        <v>302</v>
      </c>
      <c r="AF394" t="s">
        <v>268</v>
      </c>
      <c r="AG394">
        <v>392410.2</v>
      </c>
      <c r="AH394">
        <v>65</v>
      </c>
      <c r="AN394" t="s">
        <v>859</v>
      </c>
      <c r="AT394" t="s">
        <v>1726</v>
      </c>
    </row>
    <row r="395" spans="1:102" x14ac:dyDescent="0.25">
      <c r="A395" t="s">
        <v>2322</v>
      </c>
      <c r="B395" t="e">
        <f>_xlfn.XLOOKUP(C395,'[1]Image URL'!$E:$E,'[1]Image URL'!$A:$A)</f>
        <v>#N/A</v>
      </c>
      <c r="C395">
        <v>3308205</v>
      </c>
      <c r="D395" t="s">
        <v>2323</v>
      </c>
      <c r="E395" t="s">
        <v>1800</v>
      </c>
      <c r="H395" t="s">
        <v>1801</v>
      </c>
      <c r="J395" t="s">
        <v>195</v>
      </c>
      <c r="U395" t="s">
        <v>1459</v>
      </c>
      <c r="V395" t="s">
        <v>1385</v>
      </c>
      <c r="W395">
        <v>77838823866</v>
      </c>
      <c r="X395">
        <v>10077838823863</v>
      </c>
      <c r="Y395" t="s">
        <v>1802</v>
      </c>
      <c r="Z395" t="s">
        <v>1803</v>
      </c>
      <c r="AA395" t="s">
        <v>532</v>
      </c>
      <c r="AB395" t="s">
        <v>1367</v>
      </c>
      <c r="AC395" t="s">
        <v>1804</v>
      </c>
      <c r="AD395" t="s">
        <v>183</v>
      </c>
      <c r="AE395" t="s">
        <v>184</v>
      </c>
      <c r="AF395" t="s">
        <v>185</v>
      </c>
      <c r="AG395">
        <v>392410.2</v>
      </c>
      <c r="AH395">
        <v>70</v>
      </c>
      <c r="AM395" t="s">
        <v>1805</v>
      </c>
      <c r="AN395" t="s">
        <v>1806</v>
      </c>
      <c r="AT395" t="s">
        <v>1801</v>
      </c>
    </row>
    <row r="396" spans="1:102" x14ac:dyDescent="0.25">
      <c r="A396" t="s">
        <v>2324</v>
      </c>
      <c r="B396" t="e">
        <f>_xlfn.XLOOKUP(C396,'[1]Image URL'!$E:$E,'[1]Image URL'!$A:$A)</f>
        <v>#N/A</v>
      </c>
      <c r="C396">
        <v>4300409</v>
      </c>
      <c r="D396" t="s">
        <v>2325</v>
      </c>
      <c r="E396" t="s">
        <v>1574</v>
      </c>
      <c r="F396" t="s">
        <v>2075</v>
      </c>
      <c r="G396" t="s">
        <v>2075</v>
      </c>
      <c r="H396" t="s">
        <v>1650</v>
      </c>
      <c r="J396" t="s">
        <v>195</v>
      </c>
      <c r="U396" t="s">
        <v>1459</v>
      </c>
      <c r="V396" t="s">
        <v>1385</v>
      </c>
      <c r="W396">
        <v>77838887998</v>
      </c>
      <c r="X396">
        <v>10077838887995</v>
      </c>
      <c r="Y396" t="s">
        <v>2076</v>
      </c>
      <c r="Z396" t="s">
        <v>1781</v>
      </c>
      <c r="AA396" t="s">
        <v>1753</v>
      </c>
      <c r="AB396" t="s">
        <v>1753</v>
      </c>
      <c r="AC396" t="s">
        <v>1239</v>
      </c>
      <c r="AD396" t="s">
        <v>183</v>
      </c>
      <c r="AE396" t="s">
        <v>184</v>
      </c>
      <c r="AF396" t="s">
        <v>185</v>
      </c>
      <c r="AG396">
        <v>392410.2</v>
      </c>
      <c r="AH396">
        <v>85</v>
      </c>
      <c r="AL396" t="s">
        <v>1675</v>
      </c>
      <c r="AN396" t="s">
        <v>1702</v>
      </c>
      <c r="CX396" t="s">
        <v>242</v>
      </c>
    </row>
    <row r="397" spans="1:102" x14ac:dyDescent="0.25">
      <c r="A397" t="s">
        <v>2326</v>
      </c>
      <c r="B397" t="e">
        <f>_xlfn.XLOOKUP(C397,'[1]Image URL'!$E:$E,'[1]Image URL'!$A:$A)</f>
        <v>#N/A</v>
      </c>
      <c r="C397">
        <v>4354035</v>
      </c>
      <c r="D397" t="s">
        <v>2327</v>
      </c>
      <c r="E397" t="s">
        <v>1556</v>
      </c>
      <c r="F397" t="s">
        <v>1557</v>
      </c>
      <c r="G397" t="s">
        <v>1557</v>
      </c>
      <c r="H397" t="s">
        <v>1558</v>
      </c>
      <c r="J397" t="s">
        <v>195</v>
      </c>
      <c r="U397" t="s">
        <v>1459</v>
      </c>
      <c r="V397" t="s">
        <v>1385</v>
      </c>
      <c r="W397">
        <v>77838822692</v>
      </c>
      <c r="X397">
        <v>10077838822699</v>
      </c>
      <c r="Y397" t="s">
        <v>1559</v>
      </c>
      <c r="Z397" t="s">
        <v>1560</v>
      </c>
      <c r="AA397" t="s">
        <v>522</v>
      </c>
      <c r="AB397" t="s">
        <v>1561</v>
      </c>
      <c r="AC397" t="s">
        <v>953</v>
      </c>
      <c r="AD397" t="s">
        <v>1562</v>
      </c>
      <c r="AE397" t="s">
        <v>184</v>
      </c>
      <c r="AF397" t="s">
        <v>268</v>
      </c>
      <c r="AG397">
        <v>392410.2</v>
      </c>
      <c r="AH397">
        <v>65</v>
      </c>
      <c r="AL397" t="s">
        <v>1563</v>
      </c>
      <c r="AN397" t="s">
        <v>1557</v>
      </c>
      <c r="AT397" t="s">
        <v>1558</v>
      </c>
    </row>
    <row r="398" spans="1:102" x14ac:dyDescent="0.25">
      <c r="A398" t="s">
        <v>2328</v>
      </c>
      <c r="B398" t="e">
        <f>_xlfn.XLOOKUP(C398,'[1]Image URL'!$E:$E,'[1]Image URL'!$A:$A)</f>
        <v>#N/A</v>
      </c>
      <c r="C398">
        <v>5310423</v>
      </c>
      <c r="D398" t="s">
        <v>2330</v>
      </c>
      <c r="E398" t="s">
        <v>1902</v>
      </c>
      <c r="H398" t="s">
        <v>1903</v>
      </c>
      <c r="J398" t="s">
        <v>195</v>
      </c>
      <c r="U398" t="s">
        <v>1459</v>
      </c>
      <c r="V398" t="s">
        <v>1385</v>
      </c>
      <c r="W398">
        <v>77838211380</v>
      </c>
      <c r="X398">
        <v>10077838111380</v>
      </c>
      <c r="Y398" t="s">
        <v>1233</v>
      </c>
      <c r="Z398" t="s">
        <v>1904</v>
      </c>
      <c r="AA398" t="s">
        <v>1420</v>
      </c>
      <c r="AB398" t="s">
        <v>1905</v>
      </c>
      <c r="AC398" t="s">
        <v>152</v>
      </c>
      <c r="AD398" t="s">
        <v>1390</v>
      </c>
      <c r="AE398" t="s">
        <v>184</v>
      </c>
      <c r="AF398" t="s">
        <v>315</v>
      </c>
      <c r="AG398">
        <v>392410.2</v>
      </c>
      <c r="AH398">
        <v>70</v>
      </c>
      <c r="AM398" t="s">
        <v>1805</v>
      </c>
      <c r="AN398" t="s">
        <v>1906</v>
      </c>
    </row>
    <row r="399" spans="1:102" x14ac:dyDescent="0.25">
      <c r="A399" t="s">
        <v>2331</v>
      </c>
      <c r="B399" t="e">
        <f>_xlfn.XLOOKUP(C399,'[1]Image URL'!$E:$E,'[1]Image URL'!$A:$A)</f>
        <v>#N/A</v>
      </c>
      <c r="C399" t="s">
        <v>2512</v>
      </c>
      <c r="D399" t="s">
        <v>2332</v>
      </c>
      <c r="E399" t="s">
        <v>1566</v>
      </c>
      <c r="H399" t="s">
        <v>1600</v>
      </c>
      <c r="J399" t="s">
        <v>195</v>
      </c>
      <c r="U399" t="s">
        <v>1459</v>
      </c>
      <c r="V399" t="s">
        <v>1385</v>
      </c>
      <c r="W399">
        <v>77838873083</v>
      </c>
      <c r="X399">
        <v>10077838873080</v>
      </c>
      <c r="Y399" t="s">
        <v>1601</v>
      </c>
      <c r="Z399" t="s">
        <v>680</v>
      </c>
      <c r="AA399" t="s">
        <v>1602</v>
      </c>
      <c r="AB399" t="s">
        <v>1602</v>
      </c>
      <c r="AC399" t="s">
        <v>346</v>
      </c>
      <c r="AD399" t="s">
        <v>234</v>
      </c>
      <c r="AE399" t="s">
        <v>204</v>
      </c>
      <c r="AF399" t="s">
        <v>315</v>
      </c>
      <c r="AG399">
        <v>392410.2</v>
      </c>
      <c r="AH399">
        <v>65</v>
      </c>
      <c r="AN399" t="s">
        <v>329</v>
      </c>
    </row>
    <row r="400" spans="1:102" x14ac:dyDescent="0.25">
      <c r="A400" t="s">
        <v>2333</v>
      </c>
      <c r="B400" t="e">
        <f>_xlfn.XLOOKUP(C400,'[1]Image URL'!$E:$E,'[1]Image URL'!$A:$A)</f>
        <v>#N/A</v>
      </c>
      <c r="C400">
        <v>198907</v>
      </c>
      <c r="D400" t="s">
        <v>2334</v>
      </c>
      <c r="E400" t="s">
        <v>1537</v>
      </c>
      <c r="F400" t="s">
        <v>1740</v>
      </c>
      <c r="G400" t="s">
        <v>1740</v>
      </c>
      <c r="H400" t="s">
        <v>1741</v>
      </c>
      <c r="U400" t="s">
        <v>1459</v>
      </c>
      <c r="V400" t="s">
        <v>1385</v>
      </c>
      <c r="W400">
        <v>77838887400</v>
      </c>
      <c r="X400">
        <v>10077838887407</v>
      </c>
      <c r="Y400" t="s">
        <v>1742</v>
      </c>
      <c r="Z400" t="s">
        <v>1743</v>
      </c>
      <c r="AA400" t="s">
        <v>169</v>
      </c>
      <c r="AB400" t="s">
        <v>169</v>
      </c>
      <c r="AC400" t="s">
        <v>242</v>
      </c>
      <c r="AD400" t="s">
        <v>301</v>
      </c>
      <c r="AE400" t="s">
        <v>184</v>
      </c>
      <c r="AF400" t="s">
        <v>164</v>
      </c>
      <c r="AG400">
        <v>392410.2</v>
      </c>
      <c r="AH400">
        <v>70</v>
      </c>
      <c r="AL400" t="s">
        <v>1744</v>
      </c>
      <c r="CC400" t="s">
        <v>1740</v>
      </c>
      <c r="CQ400" t="s">
        <v>1745</v>
      </c>
    </row>
    <row r="401" spans="1:102" x14ac:dyDescent="0.25">
      <c r="A401" t="s">
        <v>2335</v>
      </c>
      <c r="B401" t="e">
        <f>_xlfn.XLOOKUP(C401,'[1]Image URL'!$E:$E,'[1]Image URL'!$A:$A)</f>
        <v>#N/A</v>
      </c>
      <c r="C401">
        <v>4384002</v>
      </c>
      <c r="D401" t="s">
        <v>2337</v>
      </c>
      <c r="E401" t="s">
        <v>2338</v>
      </c>
      <c r="I401" t="s">
        <v>194</v>
      </c>
      <c r="J401" t="s">
        <v>195</v>
      </c>
      <c r="U401" t="s">
        <v>196</v>
      </c>
      <c r="V401" t="s">
        <v>157</v>
      </c>
      <c r="W401">
        <v>77838222171</v>
      </c>
      <c r="X401">
        <v>10077838022174</v>
      </c>
      <c r="Y401" t="s">
        <v>1789</v>
      </c>
      <c r="Z401" t="s">
        <v>1509</v>
      </c>
      <c r="AA401" t="s">
        <v>1371</v>
      </c>
      <c r="AB401" t="s">
        <v>1371</v>
      </c>
      <c r="AC401" t="s">
        <v>1062</v>
      </c>
      <c r="AD401" t="s">
        <v>1644</v>
      </c>
      <c r="AE401" t="s">
        <v>204</v>
      </c>
      <c r="AF401" t="s">
        <v>268</v>
      </c>
      <c r="AG401">
        <v>392410.2</v>
      </c>
      <c r="AH401">
        <v>70</v>
      </c>
      <c r="AM401" t="s">
        <v>2131</v>
      </c>
      <c r="AN401" t="s">
        <v>664</v>
      </c>
      <c r="AT401" t="s">
        <v>413</v>
      </c>
    </row>
    <row r="402" spans="1:102" x14ac:dyDescent="0.25">
      <c r="A402" t="s">
        <v>2339</v>
      </c>
      <c r="B402" t="e">
        <f>_xlfn.XLOOKUP(C402,'[1]Image URL'!$E:$E,'[1]Image URL'!$A:$A)</f>
        <v>#N/A</v>
      </c>
      <c r="C402">
        <v>4352802</v>
      </c>
      <c r="D402" t="s">
        <v>2340</v>
      </c>
      <c r="E402" t="s">
        <v>2318</v>
      </c>
      <c r="H402" t="s">
        <v>1726</v>
      </c>
      <c r="J402" t="s">
        <v>195</v>
      </c>
      <c r="U402" t="s">
        <v>1459</v>
      </c>
      <c r="V402" t="s">
        <v>1385</v>
      </c>
      <c r="W402">
        <v>77838210437</v>
      </c>
      <c r="X402">
        <v>10077838110437</v>
      </c>
      <c r="Y402" t="s">
        <v>2319</v>
      </c>
      <c r="Z402" t="s">
        <v>2320</v>
      </c>
      <c r="AA402" t="s">
        <v>385</v>
      </c>
      <c r="AB402" t="s">
        <v>2321</v>
      </c>
      <c r="AC402" t="s">
        <v>868</v>
      </c>
      <c r="AD402" t="s">
        <v>426</v>
      </c>
      <c r="AE402" t="s">
        <v>302</v>
      </c>
      <c r="AF402" t="s">
        <v>268</v>
      </c>
      <c r="AG402">
        <v>392410.2</v>
      </c>
      <c r="AH402">
        <v>65</v>
      </c>
      <c r="AN402" t="s">
        <v>859</v>
      </c>
      <c r="AT402" t="s">
        <v>1726</v>
      </c>
    </row>
    <row r="403" spans="1:102" x14ac:dyDescent="0.25">
      <c r="A403" t="s">
        <v>2341</v>
      </c>
      <c r="B403" t="e">
        <f>_xlfn.XLOOKUP(C403,'[1]Image URL'!$E:$E,'[1]Image URL'!$A:$A)</f>
        <v>#N/A</v>
      </c>
      <c r="C403" t="s">
        <v>2530</v>
      </c>
      <c r="D403" t="s">
        <v>2342</v>
      </c>
      <c r="E403" t="s">
        <v>1697</v>
      </c>
      <c r="H403" t="s">
        <v>575</v>
      </c>
      <c r="J403" t="s">
        <v>195</v>
      </c>
      <c r="M403" t="s">
        <v>1711</v>
      </c>
      <c r="T403" t="s">
        <v>1880</v>
      </c>
      <c r="U403" t="s">
        <v>1459</v>
      </c>
      <c r="V403" t="s">
        <v>1385</v>
      </c>
      <c r="W403">
        <v>77838872963</v>
      </c>
      <c r="X403">
        <v>10077838872960</v>
      </c>
      <c r="Y403" t="s">
        <v>1881</v>
      </c>
      <c r="Z403" t="s">
        <v>1475</v>
      </c>
      <c r="AA403" t="s">
        <v>1882</v>
      </c>
      <c r="AB403" t="s">
        <v>1882</v>
      </c>
      <c r="AC403" t="s">
        <v>1883</v>
      </c>
      <c r="AD403" t="s">
        <v>1884</v>
      </c>
      <c r="AE403" t="s">
        <v>315</v>
      </c>
      <c r="AF403" t="s">
        <v>403</v>
      </c>
      <c r="AG403">
        <v>392410.2</v>
      </c>
      <c r="AH403">
        <v>85</v>
      </c>
      <c r="AN403" t="s">
        <v>188</v>
      </c>
    </row>
    <row r="404" spans="1:102" x14ac:dyDescent="0.25">
      <c r="A404" t="s">
        <v>2343</v>
      </c>
      <c r="B404" t="e">
        <f>_xlfn.XLOOKUP(C404,'[1]Image URL'!$E:$E,'[1]Image URL'!$A:$A)</f>
        <v>#N/A</v>
      </c>
      <c r="C404" t="s">
        <v>2533</v>
      </c>
      <c r="D404" t="s">
        <v>2345</v>
      </c>
      <c r="E404" t="s">
        <v>2346</v>
      </c>
      <c r="F404" t="s">
        <v>329</v>
      </c>
      <c r="G404" t="s">
        <v>329</v>
      </c>
      <c r="H404" t="s">
        <v>1650</v>
      </c>
      <c r="J404" t="s">
        <v>195</v>
      </c>
      <c r="U404" t="s">
        <v>1459</v>
      </c>
      <c r="V404" t="s">
        <v>1385</v>
      </c>
      <c r="W404">
        <v>77838873045</v>
      </c>
      <c r="X404">
        <v>10077838873042</v>
      </c>
      <c r="Y404" t="s">
        <v>1601</v>
      </c>
      <c r="Z404" t="s">
        <v>680</v>
      </c>
      <c r="AA404" t="s">
        <v>1602</v>
      </c>
      <c r="AB404" t="s">
        <v>1602</v>
      </c>
      <c r="AC404" t="s">
        <v>346</v>
      </c>
      <c r="AD404" t="s">
        <v>234</v>
      </c>
      <c r="AE404" t="s">
        <v>204</v>
      </c>
      <c r="AF404" t="s">
        <v>315</v>
      </c>
      <c r="AG404">
        <v>392410.2</v>
      </c>
      <c r="AH404">
        <v>70</v>
      </c>
      <c r="AL404" t="s">
        <v>1603</v>
      </c>
    </row>
    <row r="405" spans="1:102" x14ac:dyDescent="0.25">
      <c r="A405" t="s">
        <v>2347</v>
      </c>
      <c r="B405" t="e">
        <f>_xlfn.XLOOKUP(C405,'[1]Image URL'!$E:$E,'[1]Image URL'!$A:$A)</f>
        <v>#N/A</v>
      </c>
      <c r="C405">
        <v>3308242</v>
      </c>
      <c r="D405" t="s">
        <v>2348</v>
      </c>
      <c r="E405" t="s">
        <v>2349</v>
      </c>
      <c r="F405" t="s">
        <v>462</v>
      </c>
      <c r="G405" t="s">
        <v>462</v>
      </c>
      <c r="H405" t="s">
        <v>1650</v>
      </c>
      <c r="J405" t="s">
        <v>195</v>
      </c>
      <c r="O405" t="s">
        <v>145</v>
      </c>
      <c r="P405" t="s">
        <v>145</v>
      </c>
      <c r="U405" t="s">
        <v>1459</v>
      </c>
      <c r="V405" t="s">
        <v>1385</v>
      </c>
      <c r="W405">
        <v>77838200223</v>
      </c>
      <c r="X405">
        <v>10077838200220</v>
      </c>
      <c r="Y405" t="s">
        <v>263</v>
      </c>
      <c r="Z405" t="s">
        <v>2350</v>
      </c>
      <c r="AA405" t="s">
        <v>531</v>
      </c>
      <c r="AB405" t="s">
        <v>1702</v>
      </c>
      <c r="AC405" t="s">
        <v>1178</v>
      </c>
      <c r="AD405" t="s">
        <v>1113</v>
      </c>
      <c r="AE405" t="s">
        <v>235</v>
      </c>
      <c r="AF405" t="s">
        <v>302</v>
      </c>
      <c r="AG405">
        <v>392410.2</v>
      </c>
      <c r="AH405">
        <v>65</v>
      </c>
      <c r="AL405" t="s">
        <v>2351</v>
      </c>
    </row>
    <row r="406" spans="1:102" x14ac:dyDescent="0.25">
      <c r="A406" t="s">
        <v>2352</v>
      </c>
      <c r="B406" t="e">
        <f>_xlfn.XLOOKUP(C406,'[1]Image URL'!$E:$E,'[1]Image URL'!$A:$A)</f>
        <v>#N/A</v>
      </c>
      <c r="C406">
        <v>4350102</v>
      </c>
      <c r="D406" t="s">
        <v>2353</v>
      </c>
      <c r="E406" t="s">
        <v>1498</v>
      </c>
      <c r="F406" t="s">
        <v>1499</v>
      </c>
      <c r="G406" t="s">
        <v>1499</v>
      </c>
      <c r="H406" t="s">
        <v>1500</v>
      </c>
      <c r="J406" t="s">
        <v>195</v>
      </c>
      <c r="U406" t="s">
        <v>1459</v>
      </c>
      <c r="V406" t="s">
        <v>1385</v>
      </c>
      <c r="W406">
        <v>77838500071</v>
      </c>
      <c r="X406">
        <v>10077838101923</v>
      </c>
      <c r="Y406" t="s">
        <v>1501</v>
      </c>
      <c r="Z406" t="s">
        <v>1266</v>
      </c>
      <c r="AA406" t="s">
        <v>994</v>
      </c>
      <c r="AB406" t="s">
        <v>836</v>
      </c>
      <c r="AC406" t="s">
        <v>332</v>
      </c>
      <c r="AD406" t="s">
        <v>669</v>
      </c>
      <c r="AE406" t="s">
        <v>1113</v>
      </c>
      <c r="AF406" t="s">
        <v>235</v>
      </c>
      <c r="AG406">
        <v>392410.2</v>
      </c>
      <c r="AH406">
        <v>60</v>
      </c>
      <c r="AL406" t="s">
        <v>1078</v>
      </c>
      <c r="AN406" t="s">
        <v>1499</v>
      </c>
      <c r="AT406" t="s">
        <v>1500</v>
      </c>
    </row>
    <row r="407" spans="1:102" x14ac:dyDescent="0.25">
      <c r="A407" t="s">
        <v>2354</v>
      </c>
      <c r="B407" t="e">
        <f>_xlfn.XLOOKUP(C407,'[1]Image URL'!$E:$E,'[1]Image URL'!$A:$A)</f>
        <v>#N/A</v>
      </c>
      <c r="C407">
        <v>3300602</v>
      </c>
      <c r="D407" t="s">
        <v>2355</v>
      </c>
      <c r="E407" t="s">
        <v>2356</v>
      </c>
      <c r="F407" t="s">
        <v>457</v>
      </c>
      <c r="G407" t="s">
        <v>457</v>
      </c>
      <c r="H407" t="s">
        <v>2357</v>
      </c>
      <c r="J407" t="s">
        <v>195</v>
      </c>
      <c r="U407" t="s">
        <v>1459</v>
      </c>
      <c r="V407" t="s">
        <v>1385</v>
      </c>
      <c r="W407">
        <v>77838823378</v>
      </c>
      <c r="X407">
        <v>10077838823375</v>
      </c>
      <c r="Y407" t="s">
        <v>2358</v>
      </c>
      <c r="Z407" t="s">
        <v>1652</v>
      </c>
      <c r="AA407" t="s">
        <v>421</v>
      </c>
      <c r="AB407" t="s">
        <v>747</v>
      </c>
      <c r="AC407" t="s">
        <v>696</v>
      </c>
      <c r="AD407" t="s">
        <v>183</v>
      </c>
      <c r="AE407" t="s">
        <v>184</v>
      </c>
      <c r="AF407" t="s">
        <v>185</v>
      </c>
      <c r="AG407">
        <v>392410.2</v>
      </c>
      <c r="AH407">
        <v>65</v>
      </c>
      <c r="AL407" t="s">
        <v>2359</v>
      </c>
      <c r="AN407" t="s">
        <v>457</v>
      </c>
    </row>
    <row r="408" spans="1:102" x14ac:dyDescent="0.25">
      <c r="A408" t="s">
        <v>2360</v>
      </c>
      <c r="B408" t="e">
        <f>_xlfn.XLOOKUP(C408,'[1]Image URL'!$E:$E,'[1]Image URL'!$A:$A)</f>
        <v>#N/A</v>
      </c>
      <c r="C408">
        <v>5300402</v>
      </c>
      <c r="D408" t="s">
        <v>2361</v>
      </c>
      <c r="E408" t="s">
        <v>1574</v>
      </c>
      <c r="F408" t="s">
        <v>2058</v>
      </c>
      <c r="G408" t="s">
        <v>2058</v>
      </c>
      <c r="H408" t="s">
        <v>2059</v>
      </c>
      <c r="J408" t="s">
        <v>195</v>
      </c>
      <c r="U408" t="s">
        <v>1459</v>
      </c>
      <c r="V408" t="s">
        <v>1385</v>
      </c>
      <c r="W408">
        <v>77838888025</v>
      </c>
      <c r="X408">
        <v>10077838888022</v>
      </c>
      <c r="Y408" t="s">
        <v>2060</v>
      </c>
      <c r="Z408" t="s">
        <v>1612</v>
      </c>
      <c r="AA408" t="s">
        <v>1846</v>
      </c>
      <c r="AB408" t="s">
        <v>1259</v>
      </c>
      <c r="AC408" t="s">
        <v>222</v>
      </c>
      <c r="AD408" t="s">
        <v>1765</v>
      </c>
      <c r="AE408" t="s">
        <v>204</v>
      </c>
      <c r="AF408" t="s">
        <v>164</v>
      </c>
      <c r="AG408">
        <v>392410.2</v>
      </c>
      <c r="AH408">
        <v>70</v>
      </c>
      <c r="AL408" t="s">
        <v>2061</v>
      </c>
      <c r="BH408" t="s">
        <v>1570</v>
      </c>
      <c r="BI408" t="s">
        <v>332</v>
      </c>
      <c r="CX408" t="s">
        <v>345</v>
      </c>
    </row>
    <row r="409" spans="1:102" x14ac:dyDescent="0.25">
      <c r="A409" t="s">
        <v>2362</v>
      </c>
      <c r="B409" t="e">
        <f>_xlfn.XLOOKUP(C409,'[1]Image URL'!$E:$E,'[1]Image URL'!$A:$A)</f>
        <v>#N/A</v>
      </c>
      <c r="C409" t="s">
        <v>2542</v>
      </c>
      <c r="D409" t="s">
        <v>2363</v>
      </c>
      <c r="E409" t="s">
        <v>1800</v>
      </c>
      <c r="H409" t="s">
        <v>1801</v>
      </c>
      <c r="J409" t="s">
        <v>195</v>
      </c>
      <c r="U409" t="s">
        <v>1459</v>
      </c>
      <c r="V409" t="s">
        <v>1385</v>
      </c>
      <c r="W409">
        <v>77838823859</v>
      </c>
      <c r="X409">
        <v>10077838823856</v>
      </c>
      <c r="Y409" t="s">
        <v>1802</v>
      </c>
      <c r="Z409" t="s">
        <v>1803</v>
      </c>
      <c r="AA409" t="s">
        <v>532</v>
      </c>
      <c r="AB409" t="s">
        <v>1367</v>
      </c>
      <c r="AC409" t="s">
        <v>1804</v>
      </c>
      <c r="AD409" t="s">
        <v>183</v>
      </c>
      <c r="AE409" t="s">
        <v>184</v>
      </c>
      <c r="AF409" t="s">
        <v>185</v>
      </c>
      <c r="AG409">
        <v>392410.2</v>
      </c>
      <c r="AH409">
        <v>70</v>
      </c>
      <c r="AM409" t="s">
        <v>1805</v>
      </c>
      <c r="AN409" t="s">
        <v>1806</v>
      </c>
      <c r="AT409" t="s">
        <v>1801</v>
      </c>
    </row>
    <row r="410" spans="1:102" x14ac:dyDescent="0.25">
      <c r="A410" t="s">
        <v>2364</v>
      </c>
      <c r="B410" t="e">
        <f>_xlfn.XLOOKUP(C410,'[1]Image URL'!$E:$E,'[1]Image URL'!$A:$A)</f>
        <v>#N/A</v>
      </c>
      <c r="C410" t="s">
        <v>2545</v>
      </c>
      <c r="D410" t="s">
        <v>2365</v>
      </c>
      <c r="E410" t="s">
        <v>1834</v>
      </c>
      <c r="H410" t="s">
        <v>1204</v>
      </c>
      <c r="J410" t="s">
        <v>195</v>
      </c>
      <c r="U410" t="s">
        <v>1459</v>
      </c>
      <c r="V410" t="s">
        <v>1385</v>
      </c>
      <c r="W410">
        <v>77838823491</v>
      </c>
      <c r="X410">
        <v>10077838823498</v>
      </c>
      <c r="Y410" t="s">
        <v>773</v>
      </c>
      <c r="Z410" t="s">
        <v>1835</v>
      </c>
      <c r="AA410" t="s">
        <v>1836</v>
      </c>
      <c r="AB410" t="s">
        <v>421</v>
      </c>
      <c r="AC410" t="s">
        <v>1720</v>
      </c>
      <c r="AD410" t="s">
        <v>555</v>
      </c>
      <c r="AE410" t="s">
        <v>184</v>
      </c>
      <c r="AF410" t="s">
        <v>235</v>
      </c>
      <c r="AG410">
        <v>392410.2</v>
      </c>
      <c r="AH410">
        <v>70</v>
      </c>
      <c r="AM410" t="s">
        <v>1837</v>
      </c>
      <c r="AN410" t="s">
        <v>1838</v>
      </c>
      <c r="AT410" t="s">
        <v>1204</v>
      </c>
    </row>
    <row r="411" spans="1:102" x14ac:dyDescent="0.25">
      <c r="A411" t="s">
        <v>2366</v>
      </c>
      <c r="B411" t="e">
        <f>_xlfn.XLOOKUP(C411,'[1]Image URL'!$E:$E,'[1]Image URL'!$A:$A)</f>
        <v>#N/A</v>
      </c>
      <c r="C411">
        <v>4356002</v>
      </c>
      <c r="D411" t="s">
        <v>2367</v>
      </c>
      <c r="E411" t="s">
        <v>2368</v>
      </c>
      <c r="F411" t="s">
        <v>2369</v>
      </c>
      <c r="G411" t="s">
        <v>2369</v>
      </c>
      <c r="H411" t="s">
        <v>374</v>
      </c>
      <c r="J411" t="s">
        <v>212</v>
      </c>
      <c r="M411" t="s">
        <v>2370</v>
      </c>
      <c r="T411" t="s">
        <v>1202</v>
      </c>
      <c r="U411" t="s">
        <v>584</v>
      </c>
      <c r="V411" t="s">
        <v>157</v>
      </c>
      <c r="W411">
        <v>77838500736</v>
      </c>
      <c r="X411">
        <v>10077838000738</v>
      </c>
      <c r="Y411" t="s">
        <v>232</v>
      </c>
      <c r="Z411" t="s">
        <v>1386</v>
      </c>
      <c r="AA411" t="s">
        <v>466</v>
      </c>
      <c r="AB411" t="s">
        <v>599</v>
      </c>
      <c r="AC411" t="s">
        <v>1388</v>
      </c>
      <c r="AD411" t="s">
        <v>2371</v>
      </c>
      <c r="AE411" t="s">
        <v>163</v>
      </c>
      <c r="AF411" t="s">
        <v>315</v>
      </c>
      <c r="AG411">
        <v>392410.2</v>
      </c>
      <c r="AH411">
        <v>92.5</v>
      </c>
      <c r="AL411" t="s">
        <v>205</v>
      </c>
      <c r="AN411" t="s">
        <v>2369</v>
      </c>
      <c r="CQ411" t="s">
        <v>2181</v>
      </c>
    </row>
    <row r="412" spans="1:102" x14ac:dyDescent="0.25">
      <c r="A412" t="s">
        <v>2372</v>
      </c>
      <c r="B412" t="e">
        <f>_xlfn.XLOOKUP(C412,'[1]Image URL'!$E:$E,'[1]Image URL'!$A:$A)</f>
        <v>#N/A</v>
      </c>
      <c r="C412">
        <v>690907</v>
      </c>
      <c r="D412" t="s">
        <v>2373</v>
      </c>
      <c r="E412" t="s">
        <v>1574</v>
      </c>
      <c r="H412" t="s">
        <v>186</v>
      </c>
      <c r="J412" t="s">
        <v>195</v>
      </c>
      <c r="M412" t="s">
        <v>1202</v>
      </c>
      <c r="T412" t="s">
        <v>2209</v>
      </c>
      <c r="U412" t="s">
        <v>1459</v>
      </c>
      <c r="V412" t="s">
        <v>1385</v>
      </c>
      <c r="W412">
        <v>77838888094</v>
      </c>
      <c r="X412">
        <v>10077838888091</v>
      </c>
      <c r="Y412" t="s">
        <v>2045</v>
      </c>
      <c r="Z412" t="s">
        <v>408</v>
      </c>
      <c r="AA412" t="s">
        <v>2210</v>
      </c>
      <c r="AB412" t="s">
        <v>549</v>
      </c>
      <c r="AC412" t="s">
        <v>757</v>
      </c>
      <c r="AD412" t="s">
        <v>2049</v>
      </c>
      <c r="AE412" t="s">
        <v>802</v>
      </c>
      <c r="AF412" t="s">
        <v>315</v>
      </c>
      <c r="AG412">
        <v>392410.4</v>
      </c>
      <c r="AH412">
        <v>60</v>
      </c>
      <c r="BH412" t="s">
        <v>386</v>
      </c>
      <c r="BI412" t="s">
        <v>2211</v>
      </c>
      <c r="CQ412" t="s">
        <v>201</v>
      </c>
    </row>
    <row r="413" spans="1:102" x14ac:dyDescent="0.25">
      <c r="A413" t="s">
        <v>2374</v>
      </c>
      <c r="B413" t="e">
        <f>_xlfn.XLOOKUP(C413,'[1]Image URL'!$E:$E,'[1]Image URL'!$A:$A)</f>
        <v>#N/A</v>
      </c>
      <c r="C413">
        <v>5400152</v>
      </c>
      <c r="D413" t="s">
        <v>2375</v>
      </c>
      <c r="E413" t="s">
        <v>1566</v>
      </c>
      <c r="H413" t="s">
        <v>1600</v>
      </c>
      <c r="J413" t="s">
        <v>195</v>
      </c>
      <c r="U413" t="s">
        <v>1459</v>
      </c>
      <c r="V413" t="s">
        <v>1385</v>
      </c>
      <c r="W413">
        <v>77838873106</v>
      </c>
      <c r="X413">
        <v>10077838873103</v>
      </c>
      <c r="Y413" t="s">
        <v>1601</v>
      </c>
      <c r="Z413" t="s">
        <v>680</v>
      </c>
      <c r="AA413" t="s">
        <v>1602</v>
      </c>
      <c r="AB413" t="s">
        <v>1602</v>
      </c>
      <c r="AC413" t="s">
        <v>346</v>
      </c>
      <c r="AD413" t="s">
        <v>234</v>
      </c>
      <c r="AE413" t="s">
        <v>204</v>
      </c>
      <c r="AF413" t="s">
        <v>315</v>
      </c>
      <c r="AG413">
        <v>392410.2</v>
      </c>
      <c r="AH413">
        <v>65</v>
      </c>
      <c r="AN413" t="s">
        <v>329</v>
      </c>
    </row>
    <row r="414" spans="1:102" x14ac:dyDescent="0.25">
      <c r="A414" t="s">
        <v>2376</v>
      </c>
      <c r="B414" t="e">
        <f>_xlfn.XLOOKUP(C414,'[1]Image URL'!$E:$E,'[1]Image URL'!$A:$A)</f>
        <v>#N/A</v>
      </c>
      <c r="C414" t="s">
        <v>2565</v>
      </c>
      <c r="D414" t="s">
        <v>2377</v>
      </c>
      <c r="E414" t="s">
        <v>2318</v>
      </c>
      <c r="H414" t="s">
        <v>1726</v>
      </c>
      <c r="J414" t="s">
        <v>195</v>
      </c>
      <c r="U414" t="s">
        <v>1459</v>
      </c>
      <c r="V414" t="s">
        <v>1385</v>
      </c>
      <c r="W414">
        <v>77838233719</v>
      </c>
      <c r="X414">
        <v>10077838133719</v>
      </c>
      <c r="Y414" t="s">
        <v>2319</v>
      </c>
      <c r="Z414" t="s">
        <v>2320</v>
      </c>
      <c r="AA414" t="s">
        <v>385</v>
      </c>
      <c r="AB414" t="s">
        <v>2321</v>
      </c>
      <c r="AC414" t="s">
        <v>868</v>
      </c>
      <c r="AD414" t="s">
        <v>426</v>
      </c>
      <c r="AE414" t="s">
        <v>302</v>
      </c>
      <c r="AF414" t="s">
        <v>268</v>
      </c>
      <c r="AG414">
        <v>392410.2</v>
      </c>
      <c r="AH414">
        <v>65</v>
      </c>
      <c r="AN414" t="s">
        <v>859</v>
      </c>
      <c r="AT414" t="s">
        <v>1726</v>
      </c>
    </row>
    <row r="415" spans="1:102" x14ac:dyDescent="0.25">
      <c r="A415" t="s">
        <v>2378</v>
      </c>
      <c r="B415" t="e">
        <f>_xlfn.XLOOKUP(C415,'[1]Image URL'!$E:$E,'[1]Image URL'!$A:$A)</f>
        <v>#N/A</v>
      </c>
      <c r="C415">
        <v>5400315</v>
      </c>
      <c r="D415" t="s">
        <v>2379</v>
      </c>
      <c r="E415" t="s">
        <v>2380</v>
      </c>
      <c r="F415" t="s">
        <v>2381</v>
      </c>
      <c r="G415" t="s">
        <v>1753</v>
      </c>
      <c r="H415" t="s">
        <v>374</v>
      </c>
      <c r="I415" t="s">
        <v>194</v>
      </c>
      <c r="J415" t="s">
        <v>195</v>
      </c>
      <c r="U415" t="s">
        <v>196</v>
      </c>
      <c r="V415" t="s">
        <v>1385</v>
      </c>
      <c r="W415">
        <v>77838806067</v>
      </c>
      <c r="X415">
        <v>10077838806064</v>
      </c>
      <c r="Y415" t="s">
        <v>2382</v>
      </c>
      <c r="Z415" t="s">
        <v>1440</v>
      </c>
      <c r="AA415" t="s">
        <v>1374</v>
      </c>
      <c r="AB415" t="s">
        <v>421</v>
      </c>
      <c r="AC415" t="s">
        <v>2383</v>
      </c>
      <c r="AD415" t="s">
        <v>347</v>
      </c>
      <c r="AE415" t="s">
        <v>348</v>
      </c>
      <c r="AF415" t="s">
        <v>349</v>
      </c>
      <c r="AG415">
        <v>392350</v>
      </c>
      <c r="AH415">
        <v>100</v>
      </c>
      <c r="AL415" t="s">
        <v>2384</v>
      </c>
      <c r="AN415" t="s">
        <v>2381</v>
      </c>
      <c r="AO415" t="s">
        <v>2385</v>
      </c>
      <c r="CR415" t="s">
        <v>472</v>
      </c>
    </row>
    <row r="416" spans="1:102" x14ac:dyDescent="0.25">
      <c r="A416" t="s">
        <v>2386</v>
      </c>
      <c r="B416" t="e">
        <f>_xlfn.XLOOKUP(C416,'[1]Image URL'!$E:$E,'[1]Image URL'!$A:$A)</f>
        <v>#N/A</v>
      </c>
      <c r="C416" t="s">
        <v>2570</v>
      </c>
      <c r="D416" t="s">
        <v>2387</v>
      </c>
      <c r="E416" t="s">
        <v>1507</v>
      </c>
      <c r="F416" t="s">
        <v>1672</v>
      </c>
      <c r="G416" t="s">
        <v>1672</v>
      </c>
      <c r="H416" t="s">
        <v>1567</v>
      </c>
      <c r="J416" t="s">
        <v>195</v>
      </c>
      <c r="U416" t="s">
        <v>1459</v>
      </c>
      <c r="V416" t="s">
        <v>1385</v>
      </c>
      <c r="W416">
        <v>77838870419</v>
      </c>
      <c r="X416">
        <v>10077838870416</v>
      </c>
      <c r="Y416" t="s">
        <v>1568</v>
      </c>
      <c r="Z416" t="s">
        <v>1560</v>
      </c>
      <c r="AA416" t="s">
        <v>472</v>
      </c>
      <c r="AB416" t="s">
        <v>472</v>
      </c>
      <c r="AC416" t="s">
        <v>188</v>
      </c>
      <c r="AD416" t="s">
        <v>1569</v>
      </c>
      <c r="AE416" t="s">
        <v>507</v>
      </c>
      <c r="AF416" t="s">
        <v>268</v>
      </c>
      <c r="AG416">
        <v>392410.2</v>
      </c>
      <c r="AH416">
        <v>65</v>
      </c>
      <c r="AL416" t="s">
        <v>2281</v>
      </c>
      <c r="AN416" t="s">
        <v>1570</v>
      </c>
      <c r="CW416" t="s">
        <v>1571</v>
      </c>
    </row>
    <row r="417" spans="1:102" x14ac:dyDescent="0.25">
      <c r="A417" t="s">
        <v>2388</v>
      </c>
      <c r="B417" t="e">
        <f>_xlfn.XLOOKUP(C417,'[1]Image URL'!$E:$E,'[1]Image URL'!$A:$A)</f>
        <v>#N/A</v>
      </c>
      <c r="C417">
        <v>4350003</v>
      </c>
      <c r="D417" t="s">
        <v>2202</v>
      </c>
      <c r="E417" t="s">
        <v>1688</v>
      </c>
      <c r="F417" t="s">
        <v>211</v>
      </c>
      <c r="G417" t="s">
        <v>211</v>
      </c>
      <c r="H417" t="s">
        <v>1650</v>
      </c>
      <c r="J417" t="s">
        <v>195</v>
      </c>
      <c r="U417" t="s">
        <v>1459</v>
      </c>
      <c r="V417" t="s">
        <v>1385</v>
      </c>
      <c r="W417">
        <v>77838822883</v>
      </c>
      <c r="X417">
        <v>10077838822880</v>
      </c>
      <c r="Y417" t="s">
        <v>1689</v>
      </c>
      <c r="Z417" t="s">
        <v>1690</v>
      </c>
      <c r="AA417" t="s">
        <v>1691</v>
      </c>
      <c r="AB417" t="s">
        <v>1692</v>
      </c>
      <c r="AC417" t="s">
        <v>866</v>
      </c>
      <c r="AD417" t="s">
        <v>402</v>
      </c>
      <c r="AE417" t="s">
        <v>303</v>
      </c>
      <c r="AF417" t="s">
        <v>235</v>
      </c>
      <c r="AG417">
        <v>392410.2</v>
      </c>
      <c r="AH417">
        <v>60</v>
      </c>
      <c r="AL417" t="s">
        <v>1320</v>
      </c>
      <c r="AN417" t="s">
        <v>211</v>
      </c>
      <c r="AT417" t="s">
        <v>1650</v>
      </c>
    </row>
    <row r="418" spans="1:102" x14ac:dyDescent="0.25">
      <c r="A418" t="s">
        <v>2389</v>
      </c>
      <c r="B418" t="e">
        <f>_xlfn.XLOOKUP(C418,'[1]Image URL'!$E:$E,'[1]Image URL'!$A:$A)</f>
        <v>#N/A</v>
      </c>
      <c r="C418">
        <v>3303002</v>
      </c>
      <c r="D418" t="s">
        <v>2202</v>
      </c>
      <c r="E418" t="s">
        <v>2161</v>
      </c>
      <c r="H418" t="s">
        <v>901</v>
      </c>
      <c r="J418" t="s">
        <v>195</v>
      </c>
      <c r="U418" t="s">
        <v>1459</v>
      </c>
      <c r="V418" t="s">
        <v>1385</v>
      </c>
      <c r="W418">
        <v>77838823712</v>
      </c>
      <c r="X418">
        <v>10077838823719</v>
      </c>
      <c r="Y418" t="s">
        <v>2162</v>
      </c>
      <c r="Z418" t="s">
        <v>2163</v>
      </c>
      <c r="AA418" t="s">
        <v>645</v>
      </c>
      <c r="AB418" t="s">
        <v>160</v>
      </c>
      <c r="AC418" t="s">
        <v>1692</v>
      </c>
      <c r="AD418" t="s">
        <v>402</v>
      </c>
      <c r="AE418" t="s">
        <v>303</v>
      </c>
      <c r="AF418" t="s">
        <v>235</v>
      </c>
      <c r="AG418">
        <v>392410.2</v>
      </c>
      <c r="AH418">
        <v>65</v>
      </c>
      <c r="AM418" t="s">
        <v>2164</v>
      </c>
      <c r="AN418" t="s">
        <v>2165</v>
      </c>
      <c r="AT418" t="s">
        <v>901</v>
      </c>
    </row>
    <row r="419" spans="1:102" x14ac:dyDescent="0.25">
      <c r="A419" t="s">
        <v>2390</v>
      </c>
      <c r="B419" t="e">
        <f>_xlfn.XLOOKUP(C419,'[1]Image URL'!$E:$E,'[1]Image URL'!$A:$A)</f>
        <v>#N/A</v>
      </c>
      <c r="C419">
        <v>6402306</v>
      </c>
      <c r="D419" t="s">
        <v>2392</v>
      </c>
      <c r="E419" t="s">
        <v>2094</v>
      </c>
      <c r="F419" t="s">
        <v>2095</v>
      </c>
      <c r="G419" t="s">
        <v>2095</v>
      </c>
      <c r="H419" t="s">
        <v>477</v>
      </c>
      <c r="J419" t="s">
        <v>195</v>
      </c>
      <c r="U419" t="s">
        <v>1459</v>
      </c>
      <c r="V419" t="s">
        <v>1385</v>
      </c>
      <c r="W419">
        <v>77838208502</v>
      </c>
      <c r="X419">
        <v>10077838008505</v>
      </c>
      <c r="Y419" t="s">
        <v>2060</v>
      </c>
      <c r="Z419" t="s">
        <v>1835</v>
      </c>
      <c r="AA419" t="s">
        <v>1531</v>
      </c>
      <c r="AB419" t="s">
        <v>421</v>
      </c>
      <c r="AC419" t="s">
        <v>2096</v>
      </c>
      <c r="AD419" t="s">
        <v>1765</v>
      </c>
      <c r="AE419" t="s">
        <v>349</v>
      </c>
      <c r="AF419" t="s">
        <v>349</v>
      </c>
      <c r="AG419">
        <v>392410.2</v>
      </c>
      <c r="AH419">
        <v>70</v>
      </c>
      <c r="AL419" t="s">
        <v>681</v>
      </c>
      <c r="AM419" t="s">
        <v>2097</v>
      </c>
    </row>
    <row r="420" spans="1:102" x14ac:dyDescent="0.25">
      <c r="A420" t="s">
        <v>2393</v>
      </c>
      <c r="B420" t="e">
        <f>_xlfn.XLOOKUP(C420,'[1]Image URL'!$E:$E,'[1]Image URL'!$A:$A)</f>
        <v>#N/A</v>
      </c>
      <c r="C420">
        <v>5300580</v>
      </c>
      <c r="D420" t="s">
        <v>2394</v>
      </c>
      <c r="E420" t="s">
        <v>1537</v>
      </c>
      <c r="F420" t="s">
        <v>180</v>
      </c>
      <c r="G420" t="s">
        <v>1538</v>
      </c>
      <c r="H420" t="s">
        <v>1539</v>
      </c>
      <c r="U420" t="s">
        <v>1459</v>
      </c>
      <c r="V420" t="s">
        <v>1385</v>
      </c>
      <c r="W420">
        <v>77838887196</v>
      </c>
      <c r="X420">
        <v>10077838887193</v>
      </c>
      <c r="Y420" t="s">
        <v>1540</v>
      </c>
      <c r="Z420" t="s">
        <v>465</v>
      </c>
      <c r="AA420" t="s">
        <v>1541</v>
      </c>
      <c r="AB420" t="s">
        <v>532</v>
      </c>
      <c r="AC420" t="s">
        <v>333</v>
      </c>
      <c r="AD420" t="s">
        <v>1302</v>
      </c>
      <c r="AE420" t="s">
        <v>403</v>
      </c>
      <c r="AF420" t="s">
        <v>303</v>
      </c>
      <c r="AG420">
        <v>392410.2</v>
      </c>
      <c r="AH420">
        <v>65</v>
      </c>
      <c r="AL420" t="s">
        <v>1542</v>
      </c>
      <c r="CS420" t="s">
        <v>1543</v>
      </c>
      <c r="CT420" t="s">
        <v>1544</v>
      </c>
      <c r="CU420" t="s">
        <v>180</v>
      </c>
      <c r="CV420" t="s">
        <v>1545</v>
      </c>
    </row>
    <row r="421" spans="1:102" x14ac:dyDescent="0.25">
      <c r="A421" t="s">
        <v>2395</v>
      </c>
      <c r="B421" t="e">
        <f>_xlfn.XLOOKUP(C421,'[1]Image URL'!$E:$E,'[1]Image URL'!$A:$A)</f>
        <v>#N/A</v>
      </c>
      <c r="C421">
        <v>5310137</v>
      </c>
      <c r="D421" t="s">
        <v>2396</v>
      </c>
      <c r="E421" t="s">
        <v>1566</v>
      </c>
      <c r="H421" t="s">
        <v>1567</v>
      </c>
      <c r="J421" t="s">
        <v>195</v>
      </c>
      <c r="U421" t="s">
        <v>1459</v>
      </c>
      <c r="V421" t="s">
        <v>1385</v>
      </c>
      <c r="W421">
        <v>77838869956</v>
      </c>
      <c r="X421">
        <v>10077838869953</v>
      </c>
      <c r="Y421" t="s">
        <v>1568</v>
      </c>
      <c r="Z421" t="s">
        <v>1560</v>
      </c>
      <c r="AA421" t="s">
        <v>472</v>
      </c>
      <c r="AB421" t="s">
        <v>472</v>
      </c>
      <c r="AC421" t="s">
        <v>188</v>
      </c>
      <c r="AD421" t="s">
        <v>1569</v>
      </c>
      <c r="AE421" t="s">
        <v>507</v>
      </c>
      <c r="AF421" t="s">
        <v>268</v>
      </c>
      <c r="AG421">
        <v>392410.2</v>
      </c>
      <c r="AH421">
        <v>65</v>
      </c>
      <c r="AN421" t="s">
        <v>1570</v>
      </c>
      <c r="CW421" t="s">
        <v>1571</v>
      </c>
    </row>
    <row r="422" spans="1:102" x14ac:dyDescent="0.25">
      <c r="A422" t="s">
        <v>2397</v>
      </c>
      <c r="B422" t="e">
        <f>_xlfn.XLOOKUP(C422,'[1]Image URL'!$E:$E,'[1]Image URL'!$A:$A)</f>
        <v>#N/A</v>
      </c>
      <c r="C422">
        <v>5310938</v>
      </c>
      <c r="D422" t="s">
        <v>2399</v>
      </c>
      <c r="E422" t="s">
        <v>2400</v>
      </c>
      <c r="F422" t="s">
        <v>542</v>
      </c>
      <c r="G422" t="s">
        <v>536</v>
      </c>
      <c r="H422" t="s">
        <v>2401</v>
      </c>
      <c r="J422" t="s">
        <v>195</v>
      </c>
      <c r="U422" t="s">
        <v>1459</v>
      </c>
      <c r="V422" t="s">
        <v>1385</v>
      </c>
      <c r="W422">
        <v>77838235447</v>
      </c>
      <c r="X422">
        <v>10077838035440</v>
      </c>
      <c r="Y422" t="s">
        <v>902</v>
      </c>
      <c r="Z422" t="s">
        <v>2163</v>
      </c>
      <c r="AA422" t="s">
        <v>643</v>
      </c>
      <c r="AB422" t="s">
        <v>882</v>
      </c>
      <c r="AC422" t="s">
        <v>288</v>
      </c>
      <c r="AD422" t="s">
        <v>2402</v>
      </c>
      <c r="AE422" t="s">
        <v>303</v>
      </c>
      <c r="AF422" t="s">
        <v>185</v>
      </c>
      <c r="AG422">
        <v>392410.2</v>
      </c>
      <c r="AH422">
        <v>70</v>
      </c>
    </row>
    <row r="423" spans="1:102" x14ac:dyDescent="0.25">
      <c r="A423" t="s">
        <v>2403</v>
      </c>
      <c r="B423" t="e">
        <f>_xlfn.XLOOKUP(C423,'[1]Image URL'!$E:$E,'[1]Image URL'!$A:$A)</f>
        <v>#N/A</v>
      </c>
      <c r="C423" t="s">
        <v>2590</v>
      </c>
      <c r="D423" t="s">
        <v>2404</v>
      </c>
      <c r="E423" t="s">
        <v>1507</v>
      </c>
      <c r="F423" t="s">
        <v>549</v>
      </c>
      <c r="G423" t="s">
        <v>549</v>
      </c>
      <c r="H423" t="s">
        <v>2044</v>
      </c>
      <c r="J423" t="s">
        <v>195</v>
      </c>
      <c r="U423" t="s">
        <v>1459</v>
      </c>
      <c r="V423" t="s">
        <v>1385</v>
      </c>
      <c r="W423">
        <v>77838870853</v>
      </c>
      <c r="X423">
        <v>10077838870850</v>
      </c>
      <c r="Y423" t="s">
        <v>1568</v>
      </c>
      <c r="Z423" t="s">
        <v>1266</v>
      </c>
      <c r="AA423" t="s">
        <v>2405</v>
      </c>
      <c r="AB423" t="s">
        <v>2405</v>
      </c>
      <c r="AC423" t="s">
        <v>346</v>
      </c>
      <c r="AD423" t="s">
        <v>1390</v>
      </c>
      <c r="AE423" t="s">
        <v>184</v>
      </c>
      <c r="AF423" t="s">
        <v>315</v>
      </c>
      <c r="AG423">
        <v>392410.2</v>
      </c>
      <c r="AH423">
        <v>65</v>
      </c>
      <c r="AL423" t="s">
        <v>2281</v>
      </c>
    </row>
    <row r="424" spans="1:102" x14ac:dyDescent="0.25">
      <c r="A424" t="s">
        <v>2406</v>
      </c>
      <c r="B424" t="e">
        <f>_xlfn.XLOOKUP(C424,'[1]Image URL'!$E:$E,'[1]Image URL'!$A:$A)</f>
        <v>#N/A</v>
      </c>
      <c r="C424">
        <v>3308202</v>
      </c>
      <c r="D424" t="s">
        <v>2408</v>
      </c>
      <c r="E424" t="s">
        <v>2409</v>
      </c>
      <c r="I424" t="s">
        <v>194</v>
      </c>
      <c r="J424" t="s">
        <v>195</v>
      </c>
      <c r="U424" t="s">
        <v>196</v>
      </c>
      <c r="V424" t="s">
        <v>157</v>
      </c>
      <c r="W424">
        <v>77838223956</v>
      </c>
      <c r="X424">
        <v>10077838023959</v>
      </c>
      <c r="Y424" t="s">
        <v>2410</v>
      </c>
      <c r="Z424" t="s">
        <v>2411</v>
      </c>
      <c r="AA424" t="s">
        <v>2412</v>
      </c>
      <c r="AB424" t="s">
        <v>706</v>
      </c>
      <c r="AC424" t="s">
        <v>660</v>
      </c>
      <c r="AD424" t="s">
        <v>203</v>
      </c>
      <c r="AE424" t="s">
        <v>235</v>
      </c>
      <c r="AF424" t="s">
        <v>235</v>
      </c>
      <c r="AG424">
        <v>392410.4</v>
      </c>
      <c r="AH424">
        <v>125</v>
      </c>
      <c r="AM424" t="s">
        <v>1805</v>
      </c>
      <c r="AO424" t="s">
        <v>1864</v>
      </c>
      <c r="AT424" t="s">
        <v>2413</v>
      </c>
    </row>
    <row r="425" spans="1:102" x14ac:dyDescent="0.25">
      <c r="A425" t="s">
        <v>2414</v>
      </c>
      <c r="B425" t="e">
        <f>_xlfn.XLOOKUP(C425,'[1]Image URL'!$E:$E,'[1]Image URL'!$A:$A)</f>
        <v>#N/A</v>
      </c>
      <c r="C425">
        <v>5400553</v>
      </c>
      <c r="D425" t="s">
        <v>2415</v>
      </c>
      <c r="E425" t="s">
        <v>1574</v>
      </c>
      <c r="F425" t="s">
        <v>462</v>
      </c>
      <c r="G425" t="s">
        <v>462</v>
      </c>
      <c r="H425" t="s">
        <v>2064</v>
      </c>
      <c r="J425" t="s">
        <v>195</v>
      </c>
      <c r="U425" t="s">
        <v>1459</v>
      </c>
      <c r="V425" t="s">
        <v>1385</v>
      </c>
      <c r="W425">
        <v>77838888032</v>
      </c>
      <c r="X425">
        <v>10077838888039</v>
      </c>
      <c r="Y425" t="s">
        <v>2416</v>
      </c>
      <c r="Z425" t="s">
        <v>884</v>
      </c>
      <c r="AA425" t="s">
        <v>2417</v>
      </c>
      <c r="AB425" t="s">
        <v>2418</v>
      </c>
      <c r="AC425" t="s">
        <v>2419</v>
      </c>
      <c r="AD425" t="s">
        <v>2420</v>
      </c>
      <c r="AE425" t="s">
        <v>1297</v>
      </c>
      <c r="AF425" t="s">
        <v>235</v>
      </c>
      <c r="AG425">
        <v>392410.2</v>
      </c>
      <c r="AH425">
        <v>65</v>
      </c>
      <c r="AL425" t="s">
        <v>2421</v>
      </c>
      <c r="BH425" t="s">
        <v>462</v>
      </c>
      <c r="BI425" t="s">
        <v>1457</v>
      </c>
      <c r="CX425" t="s">
        <v>223</v>
      </c>
    </row>
    <row r="426" spans="1:102" x14ac:dyDescent="0.25">
      <c r="A426" t="s">
        <v>2422</v>
      </c>
      <c r="B426" t="e">
        <f>_xlfn.XLOOKUP(C426,'[1]Image URL'!$E:$E,'[1]Image URL'!$A:$A)</f>
        <v>#N/A</v>
      </c>
      <c r="C426" t="s">
        <v>2597</v>
      </c>
      <c r="D426" t="s">
        <v>2424</v>
      </c>
      <c r="E426" t="s">
        <v>2127</v>
      </c>
      <c r="F426" t="s">
        <v>2128</v>
      </c>
      <c r="G426" t="s">
        <v>2128</v>
      </c>
      <c r="H426" t="s">
        <v>2129</v>
      </c>
      <c r="J426" t="s">
        <v>195</v>
      </c>
      <c r="U426" t="s">
        <v>1459</v>
      </c>
      <c r="V426" t="s">
        <v>1385</v>
      </c>
      <c r="W426">
        <v>77838210949</v>
      </c>
      <c r="X426">
        <v>10077838110949</v>
      </c>
      <c r="Y426" t="s">
        <v>2130</v>
      </c>
      <c r="Z426" t="s">
        <v>1701</v>
      </c>
      <c r="AA426" t="s">
        <v>1374</v>
      </c>
      <c r="AB426" t="s">
        <v>223</v>
      </c>
      <c r="AC426" t="s">
        <v>549</v>
      </c>
      <c r="AD426" t="s">
        <v>234</v>
      </c>
      <c r="AE426" t="s">
        <v>203</v>
      </c>
      <c r="AF426" t="s">
        <v>164</v>
      </c>
      <c r="AG426">
        <v>392410.2</v>
      </c>
      <c r="AH426">
        <v>60</v>
      </c>
      <c r="AL426" t="s">
        <v>681</v>
      </c>
      <c r="AM426" t="s">
        <v>2131</v>
      </c>
      <c r="AT426" t="s">
        <v>2129</v>
      </c>
    </row>
    <row r="427" spans="1:102" x14ac:dyDescent="0.25">
      <c r="A427" t="s">
        <v>2425</v>
      </c>
      <c r="B427" t="e">
        <f>_xlfn.XLOOKUP(C427,'[1]Image URL'!$E:$E,'[1]Image URL'!$A:$A)</f>
        <v>#N/A</v>
      </c>
      <c r="C427">
        <v>4330402</v>
      </c>
      <c r="D427" t="s">
        <v>2426</v>
      </c>
      <c r="E427" t="s">
        <v>2427</v>
      </c>
      <c r="F427" t="s">
        <v>2428</v>
      </c>
      <c r="G427" t="s">
        <v>2428</v>
      </c>
      <c r="H427" t="s">
        <v>2429</v>
      </c>
      <c r="I427" t="s">
        <v>194</v>
      </c>
      <c r="J427" t="s">
        <v>195</v>
      </c>
      <c r="M427" t="s">
        <v>151</v>
      </c>
      <c r="T427" t="s">
        <v>155</v>
      </c>
      <c r="U427" t="s">
        <v>196</v>
      </c>
      <c r="V427" t="s">
        <v>157</v>
      </c>
      <c r="W427">
        <v>77838501689</v>
      </c>
      <c r="X427">
        <v>10077838001681</v>
      </c>
      <c r="Y427" t="s">
        <v>2430</v>
      </c>
      <c r="Z427" t="s">
        <v>2431</v>
      </c>
      <c r="AA427" t="s">
        <v>1532</v>
      </c>
      <c r="AB427" t="s">
        <v>519</v>
      </c>
      <c r="AC427" t="s">
        <v>221</v>
      </c>
      <c r="AD427" t="s">
        <v>203</v>
      </c>
      <c r="AE427" t="s">
        <v>235</v>
      </c>
      <c r="AF427" t="s">
        <v>235</v>
      </c>
      <c r="AG427">
        <v>392410.2</v>
      </c>
      <c r="AH427">
        <v>92.5</v>
      </c>
      <c r="AL427" t="s">
        <v>2432</v>
      </c>
      <c r="AN427" t="s">
        <v>2428</v>
      </c>
    </row>
    <row r="428" spans="1:102" x14ac:dyDescent="0.25">
      <c r="A428" t="s">
        <v>2433</v>
      </c>
      <c r="B428" t="e">
        <f>_xlfn.XLOOKUP(C428,'[1]Image URL'!$E:$E,'[1]Image URL'!$A:$A)</f>
        <v>#N/A</v>
      </c>
      <c r="C428" s="1">
        <v>1.989E+16</v>
      </c>
      <c r="D428" t="s">
        <v>2434</v>
      </c>
      <c r="E428" t="s">
        <v>1656</v>
      </c>
      <c r="F428" t="s">
        <v>1657</v>
      </c>
      <c r="G428" t="s">
        <v>1657</v>
      </c>
      <c r="H428" t="s">
        <v>1658</v>
      </c>
      <c r="J428" t="s">
        <v>195</v>
      </c>
      <c r="U428" t="s">
        <v>1459</v>
      </c>
      <c r="V428" t="s">
        <v>1385</v>
      </c>
      <c r="W428">
        <v>77838822807</v>
      </c>
      <c r="X428">
        <v>10077838822804</v>
      </c>
      <c r="Y428" t="s">
        <v>1659</v>
      </c>
      <c r="Z428" t="s">
        <v>241</v>
      </c>
      <c r="AA428" t="s">
        <v>657</v>
      </c>
      <c r="AB428" t="s">
        <v>1371</v>
      </c>
      <c r="AC428" t="s">
        <v>836</v>
      </c>
      <c r="AD428" t="s">
        <v>301</v>
      </c>
      <c r="AE428" t="s">
        <v>349</v>
      </c>
      <c r="AF428" t="s">
        <v>235</v>
      </c>
      <c r="AG428">
        <v>392410.2</v>
      </c>
      <c r="AH428">
        <v>65</v>
      </c>
      <c r="AL428" t="s">
        <v>1660</v>
      </c>
      <c r="AN428" t="s">
        <v>1657</v>
      </c>
      <c r="AT428" t="s">
        <v>1658</v>
      </c>
    </row>
    <row r="429" spans="1:102" x14ac:dyDescent="0.25">
      <c r="A429" t="s">
        <v>2435</v>
      </c>
      <c r="B429" t="e">
        <f>_xlfn.XLOOKUP(C429,'[1]Image URL'!$E:$E,'[1]Image URL'!$A:$A)</f>
        <v>#N/A</v>
      </c>
      <c r="C429">
        <v>5311038</v>
      </c>
      <c r="D429" t="s">
        <v>2436</v>
      </c>
      <c r="E429" t="s">
        <v>1537</v>
      </c>
      <c r="F429" t="s">
        <v>1849</v>
      </c>
      <c r="G429" t="s">
        <v>1849</v>
      </c>
      <c r="H429" t="s">
        <v>330</v>
      </c>
      <c r="U429" t="s">
        <v>1459</v>
      </c>
      <c r="V429" t="s">
        <v>1385</v>
      </c>
      <c r="W429">
        <v>77838887363</v>
      </c>
      <c r="X429">
        <v>10077838887360</v>
      </c>
      <c r="Y429" t="s">
        <v>1850</v>
      </c>
      <c r="Z429" t="s">
        <v>219</v>
      </c>
      <c r="AA429" t="s">
        <v>1846</v>
      </c>
      <c r="AB429" t="s">
        <v>472</v>
      </c>
      <c r="AC429" t="s">
        <v>836</v>
      </c>
      <c r="AD429" t="s">
        <v>1851</v>
      </c>
      <c r="AE429" t="s">
        <v>507</v>
      </c>
      <c r="AF429" t="s">
        <v>185</v>
      </c>
      <c r="AG429">
        <v>392410.2</v>
      </c>
      <c r="AH429">
        <v>70</v>
      </c>
      <c r="AL429" t="s">
        <v>1852</v>
      </c>
      <c r="CC429" t="s">
        <v>1853</v>
      </c>
      <c r="CQ429" t="s">
        <v>1854</v>
      </c>
    </row>
    <row r="430" spans="1:102" x14ac:dyDescent="0.25">
      <c r="A430" t="s">
        <v>2437</v>
      </c>
      <c r="B430" t="e">
        <f>_xlfn.XLOOKUP(C430,'[1]Image URL'!$E:$E,'[1]Image URL'!$A:$A)</f>
        <v>#N/A</v>
      </c>
      <c r="C430">
        <v>4350303</v>
      </c>
      <c r="D430" t="s">
        <v>2439</v>
      </c>
      <c r="E430" t="s">
        <v>1593</v>
      </c>
      <c r="H430" t="s">
        <v>1594</v>
      </c>
      <c r="J430" t="s">
        <v>195</v>
      </c>
      <c r="U430" t="s">
        <v>1459</v>
      </c>
      <c r="V430" t="s">
        <v>1385</v>
      </c>
      <c r="W430">
        <v>77838812860</v>
      </c>
      <c r="X430">
        <v>10077838812867</v>
      </c>
      <c r="Y430" t="s">
        <v>1595</v>
      </c>
      <c r="Z430" t="s">
        <v>1596</v>
      </c>
      <c r="AA430" t="s">
        <v>523</v>
      </c>
      <c r="AB430" t="s">
        <v>991</v>
      </c>
      <c r="AC430" t="s">
        <v>472</v>
      </c>
      <c r="AD430" t="s">
        <v>975</v>
      </c>
      <c r="AE430" t="s">
        <v>507</v>
      </c>
      <c r="AF430" t="s">
        <v>164</v>
      </c>
      <c r="AG430">
        <v>392410.2</v>
      </c>
      <c r="AH430">
        <v>70</v>
      </c>
      <c r="AM430" t="s">
        <v>1597</v>
      </c>
      <c r="AN430" t="s">
        <v>915</v>
      </c>
    </row>
    <row r="431" spans="1:102" x14ac:dyDescent="0.25">
      <c r="A431" t="s">
        <v>2440</v>
      </c>
      <c r="B431" t="e">
        <f>_xlfn.XLOOKUP(C431,'[1]Image URL'!$E:$E,'[1]Image URL'!$A:$A)</f>
        <v>#N/A</v>
      </c>
      <c r="C431" t="s">
        <v>2615</v>
      </c>
      <c r="D431" t="s">
        <v>2441</v>
      </c>
      <c r="E431" t="s">
        <v>1857</v>
      </c>
      <c r="H431" t="s">
        <v>1858</v>
      </c>
      <c r="J431" t="s">
        <v>195</v>
      </c>
      <c r="U431" t="s">
        <v>1459</v>
      </c>
      <c r="V431" t="s">
        <v>1385</v>
      </c>
      <c r="W431">
        <v>77838595015</v>
      </c>
      <c r="X431">
        <v>10077838095017</v>
      </c>
      <c r="Y431" t="s">
        <v>1859</v>
      </c>
      <c r="Z431" t="s">
        <v>1803</v>
      </c>
      <c r="AA431" t="s">
        <v>1860</v>
      </c>
      <c r="AB431" t="s">
        <v>324</v>
      </c>
      <c r="AC431" t="s">
        <v>1273</v>
      </c>
      <c r="AD431" t="s">
        <v>402</v>
      </c>
      <c r="AE431" t="s">
        <v>303</v>
      </c>
      <c r="AF431" t="s">
        <v>235</v>
      </c>
      <c r="AG431">
        <v>392410.2</v>
      </c>
      <c r="AH431">
        <v>60</v>
      </c>
      <c r="AN431" t="s">
        <v>1375</v>
      </c>
      <c r="AT431" t="s">
        <v>1858</v>
      </c>
    </row>
    <row r="432" spans="1:102" x14ac:dyDescent="0.25">
      <c r="A432" t="s">
        <v>2442</v>
      </c>
      <c r="B432" t="e">
        <f>_xlfn.XLOOKUP(C432,'[1]Image URL'!$E:$E,'[1]Image URL'!$A:$A)</f>
        <v>#N/A</v>
      </c>
      <c r="C432">
        <v>5310837</v>
      </c>
      <c r="D432" t="s">
        <v>2444</v>
      </c>
      <c r="E432" t="s">
        <v>2445</v>
      </c>
      <c r="H432" t="s">
        <v>1571</v>
      </c>
      <c r="I432" t="s">
        <v>194</v>
      </c>
      <c r="J432" t="s">
        <v>195</v>
      </c>
      <c r="U432" t="s">
        <v>196</v>
      </c>
      <c r="V432" t="s">
        <v>157</v>
      </c>
      <c r="W432">
        <v>77838805657</v>
      </c>
      <c r="X432">
        <v>10077838805654</v>
      </c>
      <c r="Y432" t="s">
        <v>2446</v>
      </c>
      <c r="Z432" t="s">
        <v>1587</v>
      </c>
      <c r="AA432" t="s">
        <v>1846</v>
      </c>
      <c r="AB432" t="s">
        <v>462</v>
      </c>
      <c r="AC432" t="s">
        <v>518</v>
      </c>
      <c r="AD432" t="s">
        <v>301</v>
      </c>
      <c r="AE432" t="s">
        <v>204</v>
      </c>
      <c r="AF432" t="s">
        <v>456</v>
      </c>
      <c r="AG432">
        <v>392410.2</v>
      </c>
      <c r="AH432">
        <v>65</v>
      </c>
      <c r="AM432" t="s">
        <v>1717</v>
      </c>
      <c r="AN432" t="s">
        <v>192</v>
      </c>
    </row>
    <row r="433" spans="1:105" x14ac:dyDescent="0.25">
      <c r="A433" t="s">
        <v>2447</v>
      </c>
      <c r="B433" t="e">
        <f>_xlfn.XLOOKUP(C433,'[1]Image URL'!$E:$E,'[1]Image URL'!$A:$A)</f>
        <v>#N/A</v>
      </c>
      <c r="C433" t="s">
        <v>2620</v>
      </c>
      <c r="D433" t="s">
        <v>2448</v>
      </c>
      <c r="E433" t="s">
        <v>2449</v>
      </c>
      <c r="F433" t="s">
        <v>1451</v>
      </c>
      <c r="G433" t="s">
        <v>1451</v>
      </c>
      <c r="H433" t="s">
        <v>2450</v>
      </c>
      <c r="J433" t="s">
        <v>195</v>
      </c>
      <c r="U433" t="s">
        <v>1459</v>
      </c>
      <c r="V433" t="s">
        <v>1385</v>
      </c>
      <c r="W433">
        <v>77838243817</v>
      </c>
      <c r="X433">
        <v>10077838143817</v>
      </c>
      <c r="Y433" t="s">
        <v>2172</v>
      </c>
      <c r="Z433" t="s">
        <v>1966</v>
      </c>
      <c r="AA433" t="s">
        <v>1457</v>
      </c>
      <c r="AB433" t="s">
        <v>192</v>
      </c>
      <c r="AC433" t="s">
        <v>192</v>
      </c>
      <c r="AD433" t="s">
        <v>402</v>
      </c>
      <c r="AE433" t="s">
        <v>349</v>
      </c>
      <c r="AF433" t="s">
        <v>315</v>
      </c>
      <c r="AG433">
        <v>392410.2</v>
      </c>
      <c r="AH433">
        <v>70</v>
      </c>
      <c r="AL433" t="s">
        <v>343</v>
      </c>
      <c r="AM433" t="s">
        <v>2451</v>
      </c>
      <c r="AT433" t="s">
        <v>2450</v>
      </c>
      <c r="CZ433" t="s">
        <v>1734</v>
      </c>
      <c r="DA433" t="s">
        <v>1451</v>
      </c>
    </row>
    <row r="434" spans="1:105" x14ac:dyDescent="0.25">
      <c r="A434" t="s">
        <v>2452</v>
      </c>
      <c r="B434" t="e">
        <f>_xlfn.XLOOKUP(C434,'[1]Image URL'!$E:$E,'[1]Image URL'!$A:$A)</f>
        <v>#N/A</v>
      </c>
      <c r="C434" t="s">
        <v>2623</v>
      </c>
      <c r="D434" t="s">
        <v>2454</v>
      </c>
      <c r="E434" t="s">
        <v>2455</v>
      </c>
      <c r="F434" t="s">
        <v>1525</v>
      </c>
      <c r="G434" t="s">
        <v>1525</v>
      </c>
      <c r="H434" t="s">
        <v>1526</v>
      </c>
      <c r="J434" t="s">
        <v>195</v>
      </c>
      <c r="M434" t="s">
        <v>1527</v>
      </c>
      <c r="T434" t="s">
        <v>1869</v>
      </c>
      <c r="U434" t="s">
        <v>1459</v>
      </c>
      <c r="V434" t="s">
        <v>1385</v>
      </c>
      <c r="W434">
        <v>77838203439</v>
      </c>
      <c r="X434">
        <v>10077838003432</v>
      </c>
      <c r="Y434" t="s">
        <v>2456</v>
      </c>
      <c r="Z434" t="s">
        <v>2457</v>
      </c>
      <c r="AA434" t="s">
        <v>271</v>
      </c>
      <c r="AB434" t="s">
        <v>271</v>
      </c>
      <c r="AC434" t="s">
        <v>332</v>
      </c>
      <c r="AD434" t="s">
        <v>600</v>
      </c>
      <c r="AE434" t="s">
        <v>235</v>
      </c>
      <c r="AF434" t="s">
        <v>185</v>
      </c>
      <c r="AG434">
        <v>392410.2</v>
      </c>
      <c r="AH434">
        <v>100</v>
      </c>
      <c r="AL434" t="s">
        <v>1533</v>
      </c>
      <c r="CC434" t="s">
        <v>1525</v>
      </c>
      <c r="CQ434" t="s">
        <v>1534</v>
      </c>
    </row>
    <row r="435" spans="1:105" x14ac:dyDescent="0.25">
      <c r="A435" t="s">
        <v>2458</v>
      </c>
      <c r="B435" t="e">
        <f>_xlfn.XLOOKUP(C435,'[1]Image URL'!$E:$E,'[1]Image URL'!$A:$A)</f>
        <v>#N/A</v>
      </c>
      <c r="C435">
        <v>5301180</v>
      </c>
      <c r="D435" t="s">
        <v>2460</v>
      </c>
      <c r="E435" t="s">
        <v>1664</v>
      </c>
      <c r="F435" t="s">
        <v>1672</v>
      </c>
      <c r="G435" t="s">
        <v>1672</v>
      </c>
      <c r="H435" t="s">
        <v>1567</v>
      </c>
      <c r="J435" t="s">
        <v>195</v>
      </c>
      <c r="U435" t="s">
        <v>1459</v>
      </c>
      <c r="V435" t="s">
        <v>1385</v>
      </c>
      <c r="W435">
        <v>77838870891</v>
      </c>
      <c r="X435">
        <v>10077838870898</v>
      </c>
      <c r="Y435" t="s">
        <v>2461</v>
      </c>
      <c r="Z435" t="s">
        <v>2462</v>
      </c>
      <c r="AA435" t="s">
        <v>994</v>
      </c>
      <c r="AB435" t="s">
        <v>994</v>
      </c>
      <c r="AC435" t="s">
        <v>329</v>
      </c>
      <c r="AD435" t="s">
        <v>647</v>
      </c>
      <c r="AE435" t="s">
        <v>315</v>
      </c>
      <c r="AF435" t="s">
        <v>185</v>
      </c>
      <c r="AG435">
        <v>392410.2</v>
      </c>
      <c r="AH435">
        <v>70</v>
      </c>
      <c r="AL435" t="s">
        <v>464</v>
      </c>
      <c r="CW435" t="s">
        <v>1571</v>
      </c>
    </row>
    <row r="436" spans="1:105" x14ac:dyDescent="0.25">
      <c r="A436" t="s">
        <v>2463</v>
      </c>
      <c r="B436" t="e">
        <f>_xlfn.XLOOKUP(C436,'[1]Image URL'!$E:$E,'[1]Image URL'!$A:$A)</f>
        <v>#N/A</v>
      </c>
      <c r="C436">
        <v>5300980</v>
      </c>
      <c r="D436" t="s">
        <v>2464</v>
      </c>
      <c r="E436" t="s">
        <v>2465</v>
      </c>
      <c r="F436" t="s">
        <v>242</v>
      </c>
      <c r="G436" t="s">
        <v>145</v>
      </c>
      <c r="H436" t="s">
        <v>1585</v>
      </c>
      <c r="J436" t="s">
        <v>195</v>
      </c>
      <c r="U436" t="s">
        <v>1459</v>
      </c>
      <c r="V436" t="s">
        <v>1385</v>
      </c>
      <c r="W436">
        <v>77838210161</v>
      </c>
      <c r="X436">
        <v>10077838110161</v>
      </c>
      <c r="Y436" t="s">
        <v>1559</v>
      </c>
      <c r="Z436" t="s">
        <v>844</v>
      </c>
      <c r="AA436" t="s">
        <v>2307</v>
      </c>
      <c r="AB436" t="s">
        <v>536</v>
      </c>
      <c r="AC436" t="s">
        <v>345</v>
      </c>
      <c r="AD436" t="s">
        <v>162</v>
      </c>
      <c r="AE436" t="s">
        <v>303</v>
      </c>
      <c r="AF436" t="s">
        <v>349</v>
      </c>
      <c r="AG436">
        <v>392410.2</v>
      </c>
      <c r="AH436">
        <v>60</v>
      </c>
      <c r="AT436" t="s">
        <v>1585</v>
      </c>
    </row>
    <row r="437" spans="1:105" x14ac:dyDescent="0.25">
      <c r="A437" t="s">
        <v>2466</v>
      </c>
      <c r="B437" t="e">
        <f>_xlfn.XLOOKUP(C437,'[1]Image URL'!$E:$E,'[1]Image URL'!$A:$A)</f>
        <v>#N/A</v>
      </c>
      <c r="C437">
        <v>3304202</v>
      </c>
      <c r="D437" t="s">
        <v>2468</v>
      </c>
      <c r="E437" t="s">
        <v>1607</v>
      </c>
      <c r="F437" t="s">
        <v>1608</v>
      </c>
      <c r="G437" t="s">
        <v>1609</v>
      </c>
      <c r="H437" t="s">
        <v>1610</v>
      </c>
      <c r="J437" t="s">
        <v>195</v>
      </c>
      <c r="U437" t="s">
        <v>1459</v>
      </c>
      <c r="V437" t="s">
        <v>1385</v>
      </c>
      <c r="W437">
        <v>77838209882</v>
      </c>
      <c r="X437">
        <v>10077838109882</v>
      </c>
      <c r="Y437" t="s">
        <v>1611</v>
      </c>
      <c r="Z437" t="s">
        <v>1612</v>
      </c>
      <c r="AA437" t="s">
        <v>421</v>
      </c>
      <c r="AB437" t="s">
        <v>990</v>
      </c>
      <c r="AC437" t="s">
        <v>188</v>
      </c>
      <c r="AD437" t="s">
        <v>1613</v>
      </c>
      <c r="AE437" t="s">
        <v>1319</v>
      </c>
      <c r="AF437" t="s">
        <v>185</v>
      </c>
      <c r="AG437">
        <v>392410.2</v>
      </c>
      <c r="AH437">
        <v>70</v>
      </c>
    </row>
    <row r="438" spans="1:105" x14ac:dyDescent="0.25">
      <c r="A438" t="s">
        <v>2469</v>
      </c>
      <c r="B438" t="e">
        <f>_xlfn.XLOOKUP(C438,'[1]Image URL'!$E:$E,'[1]Image URL'!$A:$A)</f>
        <v>#N/A</v>
      </c>
      <c r="C438">
        <v>5300102</v>
      </c>
      <c r="D438" t="s">
        <v>2470</v>
      </c>
      <c r="E438" t="s">
        <v>1537</v>
      </c>
      <c r="F438" t="s">
        <v>861</v>
      </c>
      <c r="G438" t="s">
        <v>861</v>
      </c>
      <c r="H438" t="s">
        <v>2150</v>
      </c>
      <c r="M438" t="s">
        <v>1527</v>
      </c>
      <c r="T438" t="s">
        <v>1880</v>
      </c>
      <c r="U438" t="s">
        <v>1459</v>
      </c>
      <c r="V438" t="s">
        <v>1385</v>
      </c>
      <c r="W438">
        <v>77838887417</v>
      </c>
      <c r="X438">
        <v>10077838887414</v>
      </c>
      <c r="Y438" t="s">
        <v>2151</v>
      </c>
      <c r="Z438" t="s">
        <v>1509</v>
      </c>
      <c r="AA438" t="s">
        <v>2152</v>
      </c>
      <c r="AB438" t="s">
        <v>1794</v>
      </c>
      <c r="AC438" t="s">
        <v>800</v>
      </c>
      <c r="AD438" t="s">
        <v>2153</v>
      </c>
      <c r="AE438" t="s">
        <v>303</v>
      </c>
      <c r="AF438" t="s">
        <v>315</v>
      </c>
      <c r="AG438">
        <v>392410.2</v>
      </c>
      <c r="AH438">
        <v>70</v>
      </c>
      <c r="AL438" t="s">
        <v>2154</v>
      </c>
      <c r="CS438" t="s">
        <v>2155</v>
      </c>
      <c r="CT438" t="s">
        <v>2156</v>
      </c>
      <c r="CU438" t="s">
        <v>2157</v>
      </c>
      <c r="CV438" t="s">
        <v>2158</v>
      </c>
    </row>
    <row r="439" spans="1:105" x14ac:dyDescent="0.25">
      <c r="A439" t="s">
        <v>2471</v>
      </c>
      <c r="B439" t="e">
        <f>_xlfn.XLOOKUP(C439,'[1]Image URL'!$E:$E,'[1]Image URL'!$A:$A)</f>
        <v>#N/A</v>
      </c>
      <c r="C439">
        <v>5310872</v>
      </c>
      <c r="D439" t="s">
        <v>2472</v>
      </c>
      <c r="E439" t="s">
        <v>1566</v>
      </c>
      <c r="H439" t="s">
        <v>1600</v>
      </c>
      <c r="J439" t="s">
        <v>195</v>
      </c>
      <c r="U439" t="s">
        <v>1459</v>
      </c>
      <c r="V439" t="s">
        <v>1385</v>
      </c>
      <c r="W439">
        <v>77838873069</v>
      </c>
      <c r="X439">
        <v>10077838873066</v>
      </c>
      <c r="Y439" t="s">
        <v>1601</v>
      </c>
      <c r="Z439" t="s">
        <v>680</v>
      </c>
      <c r="AA439" t="s">
        <v>1602</v>
      </c>
      <c r="AB439" t="s">
        <v>1602</v>
      </c>
      <c r="AC439" t="s">
        <v>346</v>
      </c>
      <c r="AD439" t="s">
        <v>234</v>
      </c>
      <c r="AE439" t="s">
        <v>204</v>
      </c>
      <c r="AF439" t="s">
        <v>315</v>
      </c>
      <c r="AG439">
        <v>392410.2</v>
      </c>
      <c r="AH439">
        <v>65</v>
      </c>
      <c r="AN439" t="s">
        <v>329</v>
      </c>
    </row>
    <row r="440" spans="1:105" x14ac:dyDescent="0.25">
      <c r="A440" t="s">
        <v>2473</v>
      </c>
      <c r="B440" t="e">
        <f>_xlfn.XLOOKUP(C440,'[1]Image URL'!$E:$E,'[1]Image URL'!$A:$A)</f>
        <v>#N/A</v>
      </c>
      <c r="C440">
        <v>4356303</v>
      </c>
      <c r="D440" t="s">
        <v>2202</v>
      </c>
      <c r="E440" t="s">
        <v>1998</v>
      </c>
      <c r="F440" t="s">
        <v>1999</v>
      </c>
      <c r="G440" t="s">
        <v>1999</v>
      </c>
      <c r="H440" t="s">
        <v>2000</v>
      </c>
      <c r="J440" t="s">
        <v>195</v>
      </c>
      <c r="U440" t="s">
        <v>1459</v>
      </c>
      <c r="V440" t="s">
        <v>1385</v>
      </c>
      <c r="W440">
        <v>77838823040</v>
      </c>
      <c r="X440">
        <v>10077838823047</v>
      </c>
      <c r="Y440" t="s">
        <v>539</v>
      </c>
      <c r="Z440" t="s">
        <v>1141</v>
      </c>
      <c r="AA440" t="s">
        <v>587</v>
      </c>
      <c r="AB440" t="s">
        <v>523</v>
      </c>
      <c r="AC440" t="s">
        <v>696</v>
      </c>
      <c r="AD440" t="s">
        <v>1390</v>
      </c>
      <c r="AE440" t="s">
        <v>184</v>
      </c>
      <c r="AF440" t="s">
        <v>315</v>
      </c>
      <c r="AG440">
        <v>392410.2</v>
      </c>
      <c r="AH440">
        <v>65</v>
      </c>
      <c r="AL440" t="s">
        <v>2001</v>
      </c>
      <c r="AN440" t="s">
        <v>1999</v>
      </c>
      <c r="AT440" t="s">
        <v>2000</v>
      </c>
    </row>
    <row r="441" spans="1:105" x14ac:dyDescent="0.25">
      <c r="A441" t="s">
        <v>2474</v>
      </c>
      <c r="B441" t="e">
        <f>_xlfn.XLOOKUP(C441,'[1]Image URL'!$E:$E,'[1]Image URL'!$A:$A)</f>
        <v>#N/A</v>
      </c>
      <c r="C441">
        <v>3304242</v>
      </c>
      <c r="D441" t="s">
        <v>2475</v>
      </c>
      <c r="E441" t="s">
        <v>1566</v>
      </c>
      <c r="H441" t="s">
        <v>1567</v>
      </c>
      <c r="J441" t="s">
        <v>195</v>
      </c>
      <c r="U441" t="s">
        <v>1459</v>
      </c>
      <c r="V441" t="s">
        <v>1385</v>
      </c>
      <c r="W441">
        <v>77838869871</v>
      </c>
      <c r="X441">
        <v>10077838869878</v>
      </c>
      <c r="Y441" t="s">
        <v>1780</v>
      </c>
      <c r="Z441" t="s">
        <v>1781</v>
      </c>
      <c r="AA441" t="s">
        <v>421</v>
      </c>
      <c r="AB441" t="s">
        <v>421</v>
      </c>
      <c r="AC441" t="s">
        <v>152</v>
      </c>
      <c r="AD441" t="s">
        <v>1424</v>
      </c>
      <c r="AE441" t="s">
        <v>315</v>
      </c>
      <c r="AF441" t="s">
        <v>315</v>
      </c>
      <c r="AG441">
        <v>392410.2</v>
      </c>
      <c r="AH441">
        <v>65</v>
      </c>
      <c r="AN441" t="s">
        <v>451</v>
      </c>
      <c r="CW441" t="s">
        <v>1571</v>
      </c>
    </row>
    <row r="442" spans="1:105" x14ac:dyDescent="0.25">
      <c r="A442" t="s">
        <v>2476</v>
      </c>
      <c r="B442" t="e">
        <f>_xlfn.XLOOKUP(C442,'[1]Image URL'!$E:$E,'[1]Image URL'!$A:$A)</f>
        <v>#N/A</v>
      </c>
      <c r="C442">
        <v>5400753</v>
      </c>
      <c r="D442" t="s">
        <v>2477</v>
      </c>
      <c r="E442" t="s">
        <v>2478</v>
      </c>
      <c r="F442" t="s">
        <v>2479</v>
      </c>
      <c r="G442" t="s">
        <v>523</v>
      </c>
      <c r="H442" t="s">
        <v>2480</v>
      </c>
      <c r="I442" t="s">
        <v>194</v>
      </c>
      <c r="J442" t="s">
        <v>195</v>
      </c>
      <c r="U442" t="s">
        <v>196</v>
      </c>
      <c r="V442" t="s">
        <v>157</v>
      </c>
      <c r="W442">
        <v>77838214916</v>
      </c>
      <c r="X442">
        <v>10077838114916</v>
      </c>
      <c r="Y442" t="s">
        <v>1125</v>
      </c>
      <c r="Z442" t="s">
        <v>2481</v>
      </c>
      <c r="AA442" t="s">
        <v>2482</v>
      </c>
      <c r="AB442" t="s">
        <v>1836</v>
      </c>
      <c r="AC442" t="s">
        <v>1692</v>
      </c>
      <c r="AD442" t="s">
        <v>184</v>
      </c>
      <c r="AE442" t="s">
        <v>456</v>
      </c>
      <c r="AF442" t="s">
        <v>302</v>
      </c>
      <c r="AG442">
        <v>392350</v>
      </c>
      <c r="AH442">
        <v>100</v>
      </c>
      <c r="AL442" t="s">
        <v>2001</v>
      </c>
      <c r="AN442" t="s">
        <v>2479</v>
      </c>
      <c r="AO442" t="s">
        <v>2483</v>
      </c>
      <c r="CR442" t="s">
        <v>192</v>
      </c>
    </row>
    <row r="443" spans="1:105" x14ac:dyDescent="0.25">
      <c r="A443" t="s">
        <v>2484</v>
      </c>
      <c r="B443" t="e">
        <f>_xlfn.XLOOKUP(C443,'[1]Image URL'!$E:$E,'[1]Image URL'!$A:$A)</f>
        <v>#N/A</v>
      </c>
      <c r="C443">
        <v>5400515</v>
      </c>
      <c r="D443" t="s">
        <v>2485</v>
      </c>
      <c r="E443" t="s">
        <v>1770</v>
      </c>
      <c r="H443" t="s">
        <v>1771</v>
      </c>
      <c r="J443" t="s">
        <v>195</v>
      </c>
      <c r="M443" t="s">
        <v>1666</v>
      </c>
      <c r="U443" t="s">
        <v>1459</v>
      </c>
      <c r="V443" t="s">
        <v>1385</v>
      </c>
      <c r="W443">
        <v>77838823897</v>
      </c>
      <c r="X443">
        <v>10077838823894</v>
      </c>
      <c r="Y443" t="s">
        <v>1772</v>
      </c>
      <c r="Z443" t="s">
        <v>1773</v>
      </c>
      <c r="AA443" t="s">
        <v>311</v>
      </c>
      <c r="AB443" t="s">
        <v>311</v>
      </c>
      <c r="AC443" t="s">
        <v>182</v>
      </c>
      <c r="AD443" t="s">
        <v>647</v>
      </c>
      <c r="AE443" t="s">
        <v>315</v>
      </c>
      <c r="AF443" t="s">
        <v>185</v>
      </c>
      <c r="AG443">
        <v>392410.2</v>
      </c>
      <c r="AH443">
        <v>65</v>
      </c>
      <c r="AM443" t="s">
        <v>1774</v>
      </c>
      <c r="AN443" t="s">
        <v>1775</v>
      </c>
      <c r="AT443" t="s">
        <v>1771</v>
      </c>
    </row>
    <row r="444" spans="1:105" x14ac:dyDescent="0.25">
      <c r="A444" t="s">
        <v>2486</v>
      </c>
      <c r="B444" t="e">
        <f>_xlfn.XLOOKUP(C444,'[1]Image URL'!$E:$E,'[1]Image URL'!$A:$A)</f>
        <v>#N/A</v>
      </c>
      <c r="C444">
        <v>6400118</v>
      </c>
      <c r="D444" t="s">
        <v>2487</v>
      </c>
      <c r="E444" t="s">
        <v>1507</v>
      </c>
      <c r="F444" t="s">
        <v>188</v>
      </c>
      <c r="G444" t="s">
        <v>188</v>
      </c>
      <c r="H444" t="s">
        <v>1600</v>
      </c>
      <c r="J444" t="s">
        <v>195</v>
      </c>
      <c r="U444" t="s">
        <v>1459</v>
      </c>
      <c r="V444" t="s">
        <v>1385</v>
      </c>
      <c r="W444">
        <v>77838873113</v>
      </c>
      <c r="X444">
        <v>10077838873110</v>
      </c>
      <c r="Y444" t="s">
        <v>1601</v>
      </c>
      <c r="Z444" t="s">
        <v>680</v>
      </c>
      <c r="AA444" t="s">
        <v>1602</v>
      </c>
      <c r="AB444" t="s">
        <v>1602</v>
      </c>
      <c r="AC444" t="s">
        <v>346</v>
      </c>
      <c r="AD444" t="s">
        <v>234</v>
      </c>
      <c r="AE444" t="s">
        <v>204</v>
      </c>
      <c r="AF444" t="s">
        <v>315</v>
      </c>
      <c r="AG444">
        <v>392410.2</v>
      </c>
      <c r="AH444">
        <v>65</v>
      </c>
      <c r="AL444" t="s">
        <v>1603</v>
      </c>
      <c r="AN444" t="s">
        <v>329</v>
      </c>
    </row>
    <row r="445" spans="1:105" x14ac:dyDescent="0.25">
      <c r="A445" t="s">
        <v>2488</v>
      </c>
      <c r="B445" t="e">
        <f>_xlfn.XLOOKUP(C445,'[1]Image URL'!$E:$E,'[1]Image URL'!$A:$A)</f>
        <v>#N/A</v>
      </c>
      <c r="C445">
        <v>3301214</v>
      </c>
      <c r="D445" t="s">
        <v>2489</v>
      </c>
      <c r="E445" t="s">
        <v>1697</v>
      </c>
      <c r="H445" t="s">
        <v>575</v>
      </c>
      <c r="J445" t="s">
        <v>195</v>
      </c>
      <c r="M445" t="s">
        <v>1711</v>
      </c>
      <c r="T445" t="s">
        <v>1880</v>
      </c>
      <c r="U445" t="s">
        <v>1459</v>
      </c>
      <c r="V445" t="s">
        <v>1385</v>
      </c>
      <c r="W445">
        <v>77838872970</v>
      </c>
      <c r="X445">
        <v>10077838872977</v>
      </c>
      <c r="Y445" t="s">
        <v>1881</v>
      </c>
      <c r="Z445" t="s">
        <v>1475</v>
      </c>
      <c r="AA445" t="s">
        <v>1882</v>
      </c>
      <c r="AB445" t="s">
        <v>1882</v>
      </c>
      <c r="AC445" t="s">
        <v>1883</v>
      </c>
      <c r="AD445" t="s">
        <v>1884</v>
      </c>
      <c r="AE445" t="s">
        <v>315</v>
      </c>
      <c r="AF445" t="s">
        <v>403</v>
      </c>
      <c r="AG445">
        <v>392410.2</v>
      </c>
      <c r="AH445">
        <v>85</v>
      </c>
      <c r="AN445" t="s">
        <v>188</v>
      </c>
    </row>
    <row r="446" spans="1:105" x14ac:dyDescent="0.25">
      <c r="A446" t="s">
        <v>2490</v>
      </c>
      <c r="B446" t="e">
        <f>_xlfn.XLOOKUP(C446,'[1]Image URL'!$E:$E,'[1]Image URL'!$A:$A)</f>
        <v>#N/A</v>
      </c>
      <c r="C446">
        <v>6402015</v>
      </c>
      <c r="D446" t="s">
        <v>2491</v>
      </c>
      <c r="E446" t="s">
        <v>2492</v>
      </c>
      <c r="F446" t="s">
        <v>2493</v>
      </c>
      <c r="G446" t="s">
        <v>332</v>
      </c>
      <c r="H446" t="s">
        <v>201</v>
      </c>
      <c r="J446" t="s">
        <v>195</v>
      </c>
      <c r="U446" t="s">
        <v>1459</v>
      </c>
      <c r="V446" t="s">
        <v>1385</v>
      </c>
      <c r="W446">
        <v>77838297094</v>
      </c>
      <c r="X446">
        <v>10077838097097</v>
      </c>
      <c r="Y446" t="s">
        <v>452</v>
      </c>
      <c r="Z446" t="s">
        <v>1737</v>
      </c>
      <c r="AA446" t="s">
        <v>1375</v>
      </c>
      <c r="AB446" t="s">
        <v>1570</v>
      </c>
      <c r="AC446" t="s">
        <v>1374</v>
      </c>
      <c r="AD446" t="s">
        <v>867</v>
      </c>
      <c r="AE446" t="s">
        <v>314</v>
      </c>
      <c r="AF446" t="s">
        <v>185</v>
      </c>
      <c r="AG446">
        <v>392410.2</v>
      </c>
      <c r="AH446">
        <v>70</v>
      </c>
      <c r="AL446" t="s">
        <v>2494</v>
      </c>
      <c r="AM446" t="s">
        <v>2235</v>
      </c>
      <c r="AT446" t="s">
        <v>201</v>
      </c>
    </row>
    <row r="447" spans="1:105" x14ac:dyDescent="0.25">
      <c r="A447" t="s">
        <v>2495</v>
      </c>
      <c r="B447" t="e">
        <f>_xlfn.XLOOKUP(C447,'[1]Image URL'!$E:$E,'[1]Image URL'!$A:$A)</f>
        <v>#N/A</v>
      </c>
      <c r="C447">
        <v>4380102</v>
      </c>
      <c r="D447" t="s">
        <v>2496</v>
      </c>
      <c r="E447" t="s">
        <v>1748</v>
      </c>
      <c r="F447" t="s">
        <v>1749</v>
      </c>
      <c r="G447" t="s">
        <v>578</v>
      </c>
      <c r="H447" t="s">
        <v>1750</v>
      </c>
      <c r="U447" t="s">
        <v>1459</v>
      </c>
      <c r="V447" t="s">
        <v>1385</v>
      </c>
      <c r="W447">
        <v>77838887318</v>
      </c>
      <c r="X447">
        <v>10077838887315</v>
      </c>
      <c r="Y447" t="s">
        <v>1751</v>
      </c>
      <c r="Z447" t="s">
        <v>1752</v>
      </c>
      <c r="AA447" t="s">
        <v>1753</v>
      </c>
      <c r="AB447" t="s">
        <v>1753</v>
      </c>
      <c r="AC447" t="s">
        <v>1674</v>
      </c>
      <c r="AD447" t="s">
        <v>1562</v>
      </c>
      <c r="AE447" t="s">
        <v>184</v>
      </c>
      <c r="AF447" t="s">
        <v>268</v>
      </c>
      <c r="AG447">
        <v>392410.2</v>
      </c>
      <c r="AH447">
        <v>60</v>
      </c>
      <c r="AL447" t="s">
        <v>1754</v>
      </c>
      <c r="CS447" t="s">
        <v>1755</v>
      </c>
      <c r="CT447" t="s">
        <v>1756</v>
      </c>
      <c r="CU447" t="s">
        <v>1749</v>
      </c>
      <c r="CV447" t="s">
        <v>1757</v>
      </c>
    </row>
    <row r="448" spans="1:105" x14ac:dyDescent="0.25">
      <c r="A448" t="s">
        <v>2497</v>
      </c>
      <c r="B448" t="e">
        <f>_xlfn.XLOOKUP(C448,'[1]Image URL'!$E:$E,'[1]Image URL'!$A:$A)</f>
        <v>#N/A</v>
      </c>
      <c r="C448">
        <v>4350103</v>
      </c>
      <c r="D448" t="s">
        <v>2498</v>
      </c>
      <c r="E448" t="s">
        <v>2499</v>
      </c>
      <c r="F448" t="s">
        <v>2500</v>
      </c>
      <c r="G448" t="s">
        <v>2501</v>
      </c>
      <c r="H448" t="s">
        <v>2000</v>
      </c>
      <c r="J448" t="s">
        <v>195</v>
      </c>
      <c r="U448" t="s">
        <v>1459</v>
      </c>
      <c r="V448" t="s">
        <v>1385</v>
      </c>
      <c r="W448">
        <v>77838824344</v>
      </c>
      <c r="X448">
        <v>10077838824341</v>
      </c>
      <c r="Y448" t="s">
        <v>1125</v>
      </c>
      <c r="Z448" t="s">
        <v>1737</v>
      </c>
      <c r="AA448" t="s">
        <v>421</v>
      </c>
      <c r="AB448" t="s">
        <v>298</v>
      </c>
      <c r="AC448" t="s">
        <v>152</v>
      </c>
      <c r="AD448" t="s">
        <v>1562</v>
      </c>
      <c r="AE448" t="s">
        <v>507</v>
      </c>
      <c r="AF448" t="s">
        <v>235</v>
      </c>
      <c r="AG448">
        <v>392410.2</v>
      </c>
      <c r="AH448">
        <v>65</v>
      </c>
      <c r="AT448" t="s">
        <v>2000</v>
      </c>
    </row>
    <row r="449" spans="1:102" x14ac:dyDescent="0.25">
      <c r="A449" t="s">
        <v>2502</v>
      </c>
      <c r="B449" t="e">
        <f>_xlfn.XLOOKUP(C449,'[1]Image URL'!$E:$E,'[1]Image URL'!$A:$A)</f>
        <v>#N/A</v>
      </c>
      <c r="C449">
        <v>3304214</v>
      </c>
      <c r="D449" t="s">
        <v>2503</v>
      </c>
      <c r="E449" t="s">
        <v>2504</v>
      </c>
      <c r="H449" t="s">
        <v>1658</v>
      </c>
      <c r="J449" t="s">
        <v>195</v>
      </c>
      <c r="U449" t="s">
        <v>1459</v>
      </c>
      <c r="V449" t="s">
        <v>1385</v>
      </c>
      <c r="W449">
        <v>77838292365</v>
      </c>
      <c r="X449">
        <v>10077838092368</v>
      </c>
      <c r="Y449" t="s">
        <v>1311</v>
      </c>
      <c r="Z449" t="s">
        <v>2505</v>
      </c>
      <c r="AA449" t="s">
        <v>2506</v>
      </c>
      <c r="AB449" t="s">
        <v>859</v>
      </c>
      <c r="AC449" t="s">
        <v>1275</v>
      </c>
      <c r="AD449" t="s">
        <v>301</v>
      </c>
      <c r="AE449" t="s">
        <v>349</v>
      </c>
      <c r="AF449" t="s">
        <v>235</v>
      </c>
      <c r="AG449">
        <v>392410.2</v>
      </c>
      <c r="AH449">
        <v>65</v>
      </c>
      <c r="AN449" t="s">
        <v>1657</v>
      </c>
      <c r="AT449" t="s">
        <v>1658</v>
      </c>
    </row>
    <row r="450" spans="1:102" x14ac:dyDescent="0.25">
      <c r="A450" t="s">
        <v>2507</v>
      </c>
      <c r="B450" t="e">
        <f>_xlfn.XLOOKUP(C450,'[1]Image URL'!$E:$E,'[1]Image URL'!$A:$A)</f>
        <v>#N/A</v>
      </c>
      <c r="C450">
        <v>5401915</v>
      </c>
      <c r="D450" t="s">
        <v>2508</v>
      </c>
      <c r="E450" t="s">
        <v>1678</v>
      </c>
      <c r="F450" t="s">
        <v>1679</v>
      </c>
      <c r="G450" t="s">
        <v>1679</v>
      </c>
      <c r="H450" t="s">
        <v>1423</v>
      </c>
      <c r="J450" t="s">
        <v>195</v>
      </c>
      <c r="U450" t="s">
        <v>1459</v>
      </c>
      <c r="V450" t="s">
        <v>1385</v>
      </c>
      <c r="W450">
        <v>77838296042</v>
      </c>
      <c r="X450">
        <v>10077838096045</v>
      </c>
      <c r="Y450" t="s">
        <v>1680</v>
      </c>
      <c r="Z450" t="s">
        <v>408</v>
      </c>
      <c r="AA450" t="s">
        <v>161</v>
      </c>
      <c r="AB450" t="s">
        <v>766</v>
      </c>
      <c r="AC450" t="s">
        <v>549</v>
      </c>
      <c r="AD450" t="s">
        <v>1681</v>
      </c>
      <c r="AE450" t="s">
        <v>204</v>
      </c>
      <c r="AF450" t="s">
        <v>403</v>
      </c>
      <c r="AG450">
        <v>392410.2</v>
      </c>
      <c r="AH450">
        <v>65</v>
      </c>
      <c r="AL450" t="s">
        <v>1682</v>
      </c>
      <c r="AM450" t="s">
        <v>1683</v>
      </c>
      <c r="AN450" t="s">
        <v>1679</v>
      </c>
      <c r="AT450" t="s">
        <v>1423</v>
      </c>
    </row>
    <row r="451" spans="1:102" x14ac:dyDescent="0.25">
      <c r="A451" t="s">
        <v>2509</v>
      </c>
      <c r="B451" t="e">
        <f>_xlfn.XLOOKUP(C451,'[1]Image URL'!$E:$E,'[1]Image URL'!$A:$A)</f>
        <v>#N/A</v>
      </c>
      <c r="C451">
        <v>5400252</v>
      </c>
      <c r="D451" t="s">
        <v>2510</v>
      </c>
      <c r="E451" t="s">
        <v>1748</v>
      </c>
      <c r="F451" t="s">
        <v>1815</v>
      </c>
      <c r="G451" t="s">
        <v>1816</v>
      </c>
      <c r="H451" t="s">
        <v>1817</v>
      </c>
      <c r="U451" t="s">
        <v>1459</v>
      </c>
      <c r="V451" t="s">
        <v>1385</v>
      </c>
      <c r="W451">
        <v>77838887257</v>
      </c>
      <c r="X451">
        <v>10077838887254</v>
      </c>
      <c r="Y451" t="s">
        <v>1818</v>
      </c>
      <c r="Z451" t="s">
        <v>1631</v>
      </c>
      <c r="AA451" t="s">
        <v>1819</v>
      </c>
      <c r="AB451" t="s">
        <v>1820</v>
      </c>
      <c r="AC451" t="s">
        <v>1107</v>
      </c>
      <c r="AD451" t="s">
        <v>669</v>
      </c>
      <c r="AE451" t="s">
        <v>507</v>
      </c>
      <c r="AF451" t="s">
        <v>315</v>
      </c>
      <c r="AG451">
        <v>392410.2</v>
      </c>
      <c r="AH451">
        <v>60</v>
      </c>
      <c r="AL451" t="s">
        <v>1821</v>
      </c>
      <c r="CS451" t="s">
        <v>1822</v>
      </c>
      <c r="CT451" t="s">
        <v>1823</v>
      </c>
      <c r="CU451" t="s">
        <v>1815</v>
      </c>
      <c r="CV451" t="s">
        <v>1824</v>
      </c>
    </row>
    <row r="452" spans="1:102" x14ac:dyDescent="0.25">
      <c r="A452" t="s">
        <v>2511</v>
      </c>
      <c r="B452" t="e">
        <f>_xlfn.XLOOKUP(C452,'[1]Image URL'!$E:$E,'[1]Image URL'!$A:$A)</f>
        <v>#N/A</v>
      </c>
      <c r="C452">
        <v>5300702</v>
      </c>
      <c r="D452" t="s">
        <v>2513</v>
      </c>
      <c r="E452" t="s">
        <v>1926</v>
      </c>
      <c r="H452" t="s">
        <v>1927</v>
      </c>
      <c r="J452" t="s">
        <v>195</v>
      </c>
      <c r="U452" t="s">
        <v>1459</v>
      </c>
      <c r="V452" t="s">
        <v>1385</v>
      </c>
      <c r="W452">
        <v>77838812808</v>
      </c>
      <c r="X452">
        <v>10077838812805</v>
      </c>
      <c r="Y452" t="s">
        <v>1928</v>
      </c>
      <c r="Z452" t="s">
        <v>1509</v>
      </c>
      <c r="AA452" t="s">
        <v>1929</v>
      </c>
      <c r="AB452" t="s">
        <v>503</v>
      </c>
      <c r="AC452" t="s">
        <v>503</v>
      </c>
      <c r="AD452" t="s">
        <v>867</v>
      </c>
      <c r="AE452" t="s">
        <v>635</v>
      </c>
      <c r="AF452" t="s">
        <v>235</v>
      </c>
      <c r="AG452">
        <v>392410.2</v>
      </c>
      <c r="AH452">
        <v>70</v>
      </c>
      <c r="AN452" t="s">
        <v>338</v>
      </c>
      <c r="AT452" t="s">
        <v>1927</v>
      </c>
    </row>
    <row r="453" spans="1:102" x14ac:dyDescent="0.25">
      <c r="A453" t="s">
        <v>2514</v>
      </c>
      <c r="B453" t="e">
        <f>_xlfn.XLOOKUP(C453,'[1]Image URL'!$E:$E,'[1]Image URL'!$A:$A)</f>
        <v>#N/A</v>
      </c>
      <c r="C453">
        <v>4350025</v>
      </c>
      <c r="D453" t="s">
        <v>2515</v>
      </c>
      <c r="E453" t="s">
        <v>2516</v>
      </c>
      <c r="F453" t="s">
        <v>996</v>
      </c>
      <c r="G453" t="s">
        <v>996</v>
      </c>
      <c r="H453" t="s">
        <v>340</v>
      </c>
      <c r="I453" t="s">
        <v>194</v>
      </c>
      <c r="J453" t="s">
        <v>195</v>
      </c>
      <c r="U453" t="s">
        <v>196</v>
      </c>
      <c r="V453" t="s">
        <v>157</v>
      </c>
      <c r="W453">
        <v>77838274903</v>
      </c>
      <c r="X453">
        <v>10077838074906</v>
      </c>
      <c r="Y453" t="s">
        <v>1763</v>
      </c>
      <c r="Z453" t="s">
        <v>2517</v>
      </c>
      <c r="AA453" t="s">
        <v>169</v>
      </c>
      <c r="AB453" t="s">
        <v>1484</v>
      </c>
      <c r="AC453" t="s">
        <v>1932</v>
      </c>
      <c r="AD453" t="s">
        <v>446</v>
      </c>
      <c r="AE453" t="s">
        <v>184</v>
      </c>
      <c r="AF453" t="s">
        <v>302</v>
      </c>
      <c r="AG453">
        <v>392350</v>
      </c>
      <c r="AH453">
        <v>100</v>
      </c>
      <c r="AL453" t="s">
        <v>247</v>
      </c>
      <c r="AN453" t="s">
        <v>996</v>
      </c>
      <c r="AO453" t="s">
        <v>2518</v>
      </c>
      <c r="CR453" t="s">
        <v>192</v>
      </c>
    </row>
    <row r="454" spans="1:102" x14ac:dyDescent="0.25">
      <c r="A454" t="s">
        <v>2519</v>
      </c>
      <c r="B454" t="e">
        <f>_xlfn.XLOOKUP(C454,'[1]Image URL'!$E:$E,'[1]Image URL'!$A:$A)</f>
        <v>#N/A</v>
      </c>
      <c r="C454">
        <v>4350402</v>
      </c>
      <c r="D454" t="s">
        <v>2520</v>
      </c>
      <c r="E454" t="s">
        <v>2521</v>
      </c>
      <c r="F454" t="s">
        <v>2522</v>
      </c>
      <c r="G454" t="s">
        <v>645</v>
      </c>
      <c r="H454" t="s">
        <v>1842</v>
      </c>
      <c r="J454" t="s">
        <v>195</v>
      </c>
      <c r="U454" t="s">
        <v>1459</v>
      </c>
      <c r="V454" t="s">
        <v>1385</v>
      </c>
      <c r="W454">
        <v>77838297858</v>
      </c>
      <c r="X454">
        <v>10077838097851</v>
      </c>
      <c r="Y454" t="s">
        <v>905</v>
      </c>
      <c r="Z454" t="s">
        <v>1551</v>
      </c>
      <c r="AA454" t="s">
        <v>2523</v>
      </c>
      <c r="AB454" t="s">
        <v>2524</v>
      </c>
      <c r="AC454" t="s">
        <v>345</v>
      </c>
      <c r="AD454" t="s">
        <v>2525</v>
      </c>
      <c r="AE454" t="s">
        <v>302</v>
      </c>
      <c r="AF454" t="s">
        <v>403</v>
      </c>
      <c r="AG454">
        <v>392410.2</v>
      </c>
      <c r="AH454">
        <v>85</v>
      </c>
      <c r="AL454" t="s">
        <v>2526</v>
      </c>
      <c r="AT454" t="s">
        <v>1842</v>
      </c>
    </row>
    <row r="455" spans="1:102" x14ac:dyDescent="0.25">
      <c r="A455" t="s">
        <v>2527</v>
      </c>
      <c r="B455" t="e">
        <f>_xlfn.XLOOKUP(C455,'[1]Image URL'!$E:$E,'[1]Image URL'!$A:$A)</f>
        <v>#N/A</v>
      </c>
      <c r="C455">
        <v>4354014</v>
      </c>
      <c r="D455" t="s">
        <v>2528</v>
      </c>
      <c r="E455" t="s">
        <v>2292</v>
      </c>
      <c r="F455" t="s">
        <v>2293</v>
      </c>
      <c r="G455" t="s">
        <v>2293</v>
      </c>
      <c r="H455" t="s">
        <v>2294</v>
      </c>
      <c r="J455" t="s">
        <v>195</v>
      </c>
      <c r="U455" t="s">
        <v>1459</v>
      </c>
      <c r="V455" t="s">
        <v>1385</v>
      </c>
      <c r="W455">
        <v>77838295663</v>
      </c>
      <c r="X455">
        <v>10077838095666</v>
      </c>
      <c r="Y455" t="s">
        <v>1559</v>
      </c>
      <c r="Z455" t="s">
        <v>1781</v>
      </c>
      <c r="AA455" t="s">
        <v>332</v>
      </c>
      <c r="AB455" t="s">
        <v>1374</v>
      </c>
      <c r="AC455" t="s">
        <v>1561</v>
      </c>
      <c r="AD455" t="s">
        <v>1562</v>
      </c>
      <c r="AE455" t="s">
        <v>507</v>
      </c>
      <c r="AF455" t="s">
        <v>235</v>
      </c>
      <c r="AG455">
        <v>392410.2</v>
      </c>
      <c r="AH455">
        <v>70</v>
      </c>
      <c r="AL455" t="s">
        <v>1078</v>
      </c>
      <c r="AM455" t="s">
        <v>1588</v>
      </c>
      <c r="AN455" t="s">
        <v>2293</v>
      </c>
      <c r="AT455" t="s">
        <v>2294</v>
      </c>
    </row>
    <row r="456" spans="1:102" x14ac:dyDescent="0.25">
      <c r="A456" t="s">
        <v>2529</v>
      </c>
      <c r="B456" t="e">
        <f>_xlfn.XLOOKUP(C456,'[1]Image URL'!$E:$E,'[1]Image URL'!$A:$A)</f>
        <v>#N/A</v>
      </c>
      <c r="C456">
        <v>4350002</v>
      </c>
      <c r="D456" t="s">
        <v>2531</v>
      </c>
      <c r="E456" t="s">
        <v>2071</v>
      </c>
      <c r="H456" t="s">
        <v>1956</v>
      </c>
      <c r="J456" t="s">
        <v>195</v>
      </c>
      <c r="M456" t="s">
        <v>1269</v>
      </c>
      <c r="U456" t="s">
        <v>1459</v>
      </c>
      <c r="V456" t="s">
        <v>1385</v>
      </c>
      <c r="W456">
        <v>77838812891</v>
      </c>
      <c r="X456">
        <v>10077838812898</v>
      </c>
      <c r="Y456" t="s">
        <v>585</v>
      </c>
      <c r="Z456" t="s">
        <v>1266</v>
      </c>
      <c r="AA456" t="s">
        <v>472</v>
      </c>
      <c r="AB456" t="s">
        <v>2072</v>
      </c>
      <c r="AC456" t="s">
        <v>254</v>
      </c>
      <c r="AD456" t="s">
        <v>1644</v>
      </c>
      <c r="AE456" t="s">
        <v>204</v>
      </c>
      <c r="AF456" t="s">
        <v>268</v>
      </c>
      <c r="AG456">
        <v>392410.2</v>
      </c>
      <c r="AH456">
        <v>70</v>
      </c>
      <c r="AM456" t="s">
        <v>1958</v>
      </c>
      <c r="AN456" t="s">
        <v>766</v>
      </c>
    </row>
    <row r="457" spans="1:102" x14ac:dyDescent="0.25">
      <c r="A457" t="s">
        <v>2532</v>
      </c>
      <c r="B457" t="e">
        <f>_xlfn.XLOOKUP(C457,'[1]Image URL'!$E:$E,'[1]Image URL'!$A:$A)</f>
        <v>#N/A</v>
      </c>
      <c r="C457" t="s">
        <v>2683</v>
      </c>
      <c r="D457" t="s">
        <v>2534</v>
      </c>
      <c r="E457" t="s">
        <v>2223</v>
      </c>
      <c r="I457" t="s">
        <v>194</v>
      </c>
      <c r="J457" t="s">
        <v>195</v>
      </c>
      <c r="U457" t="s">
        <v>196</v>
      </c>
      <c r="V457" t="s">
        <v>157</v>
      </c>
      <c r="W457">
        <v>77838224359</v>
      </c>
      <c r="X457">
        <v>10077838024352</v>
      </c>
      <c r="Y457" t="s">
        <v>1772</v>
      </c>
      <c r="Z457" t="s">
        <v>892</v>
      </c>
      <c r="AA457" t="s">
        <v>462</v>
      </c>
      <c r="AB457" t="s">
        <v>462</v>
      </c>
      <c r="AC457" t="s">
        <v>169</v>
      </c>
      <c r="AD457" t="s">
        <v>975</v>
      </c>
      <c r="AE457" t="s">
        <v>204</v>
      </c>
      <c r="AF457" t="s">
        <v>302</v>
      </c>
      <c r="AG457">
        <v>392410.2</v>
      </c>
      <c r="AH457">
        <v>65</v>
      </c>
      <c r="AN457" t="s">
        <v>192</v>
      </c>
      <c r="AT457" t="s">
        <v>1500</v>
      </c>
    </row>
    <row r="458" spans="1:102" x14ac:dyDescent="0.25">
      <c r="A458" t="s">
        <v>2535</v>
      </c>
      <c r="B458" t="e">
        <f>_xlfn.XLOOKUP(C458,'[1]Image URL'!$E:$E,'[1]Image URL'!$A:$A)</f>
        <v>#N/A</v>
      </c>
      <c r="C458" t="s">
        <v>2690</v>
      </c>
      <c r="D458" t="s">
        <v>1722</v>
      </c>
      <c r="E458" t="s">
        <v>2499</v>
      </c>
      <c r="F458" t="s">
        <v>2500</v>
      </c>
      <c r="G458" t="s">
        <v>2501</v>
      </c>
      <c r="H458" t="s">
        <v>2000</v>
      </c>
      <c r="J458" t="s">
        <v>195</v>
      </c>
      <c r="U458" t="s">
        <v>1459</v>
      </c>
      <c r="V458" t="s">
        <v>1385</v>
      </c>
      <c r="W458">
        <v>77838824313</v>
      </c>
      <c r="X458">
        <v>10077838824310</v>
      </c>
      <c r="Y458" t="s">
        <v>1125</v>
      </c>
      <c r="Z458" t="s">
        <v>1737</v>
      </c>
      <c r="AA458" t="s">
        <v>421</v>
      </c>
      <c r="AB458" t="s">
        <v>298</v>
      </c>
      <c r="AC458" t="s">
        <v>152</v>
      </c>
      <c r="AD458" t="s">
        <v>1562</v>
      </c>
      <c r="AE458" t="s">
        <v>507</v>
      </c>
      <c r="AF458" t="s">
        <v>235</v>
      </c>
      <c r="AG458">
        <v>392410.2</v>
      </c>
      <c r="AH458">
        <v>65</v>
      </c>
      <c r="AT458" t="s">
        <v>2000</v>
      </c>
    </row>
    <row r="459" spans="1:102" x14ac:dyDescent="0.25">
      <c r="A459" t="s">
        <v>2536</v>
      </c>
      <c r="B459" t="e">
        <f>_xlfn.XLOOKUP(C459,'[1]Image URL'!$E:$E,'[1]Image URL'!$A:$A)</f>
        <v>#N/A</v>
      </c>
      <c r="C459">
        <v>5301102</v>
      </c>
      <c r="D459" t="s">
        <v>2537</v>
      </c>
      <c r="E459" t="s">
        <v>1548</v>
      </c>
      <c r="H459" t="s">
        <v>1549</v>
      </c>
      <c r="J459" t="s">
        <v>195</v>
      </c>
      <c r="U459" t="s">
        <v>1459</v>
      </c>
      <c r="V459" t="s">
        <v>1385</v>
      </c>
      <c r="W459">
        <v>77838594926</v>
      </c>
      <c r="X459">
        <v>10077838094928</v>
      </c>
      <c r="Y459" t="s">
        <v>1550</v>
      </c>
      <c r="Z459" t="s">
        <v>1551</v>
      </c>
      <c r="AA459" t="s">
        <v>807</v>
      </c>
      <c r="AB459" t="s">
        <v>1178</v>
      </c>
      <c r="AC459" t="s">
        <v>549</v>
      </c>
      <c r="AD459" t="s">
        <v>1552</v>
      </c>
      <c r="AE459" t="s">
        <v>349</v>
      </c>
      <c r="AF459" t="s">
        <v>164</v>
      </c>
      <c r="AG459">
        <v>392410.2</v>
      </c>
      <c r="AH459">
        <v>65</v>
      </c>
      <c r="AN459" t="s">
        <v>1553</v>
      </c>
      <c r="AT459" t="s">
        <v>1549</v>
      </c>
    </row>
    <row r="460" spans="1:102" x14ac:dyDescent="0.25">
      <c r="A460" t="s">
        <v>2538</v>
      </c>
      <c r="B460" t="e">
        <f>_xlfn.XLOOKUP(C460,'[1]Image URL'!$E:$E,'[1]Image URL'!$A:$A)</f>
        <v>#N/A</v>
      </c>
      <c r="C460">
        <v>3300402</v>
      </c>
      <c r="D460" t="s">
        <v>2225</v>
      </c>
      <c r="E460" t="s">
        <v>1688</v>
      </c>
      <c r="F460" t="s">
        <v>211</v>
      </c>
      <c r="G460" t="s">
        <v>211</v>
      </c>
      <c r="H460" t="s">
        <v>1650</v>
      </c>
      <c r="J460" t="s">
        <v>195</v>
      </c>
      <c r="U460" t="s">
        <v>1459</v>
      </c>
      <c r="V460" t="s">
        <v>1385</v>
      </c>
      <c r="W460">
        <v>77838822814</v>
      </c>
      <c r="X460">
        <v>10077838822811</v>
      </c>
      <c r="Y460" t="s">
        <v>1689</v>
      </c>
      <c r="Z460" t="s">
        <v>1690</v>
      </c>
      <c r="AA460" t="s">
        <v>1691</v>
      </c>
      <c r="AB460" t="s">
        <v>1692</v>
      </c>
      <c r="AC460" t="s">
        <v>866</v>
      </c>
      <c r="AD460" t="s">
        <v>402</v>
      </c>
      <c r="AE460" t="s">
        <v>303</v>
      </c>
      <c r="AF460" t="s">
        <v>235</v>
      </c>
      <c r="AG460">
        <v>392410.2</v>
      </c>
      <c r="AH460">
        <v>60</v>
      </c>
      <c r="AL460" t="s">
        <v>1320</v>
      </c>
      <c r="AN460" t="s">
        <v>211</v>
      </c>
      <c r="AT460" t="s">
        <v>1650</v>
      </c>
    </row>
    <row r="461" spans="1:102" x14ac:dyDescent="0.25">
      <c r="A461" t="s">
        <v>2539</v>
      </c>
      <c r="B461" t="e">
        <f>_xlfn.XLOOKUP(C461,'[1]Image URL'!$E:$E,'[1]Image URL'!$A:$A)</f>
        <v>#N/A</v>
      </c>
      <c r="C461">
        <v>3301205</v>
      </c>
      <c r="D461" t="s">
        <v>2540</v>
      </c>
      <c r="E461" t="s">
        <v>1574</v>
      </c>
      <c r="F461" t="s">
        <v>462</v>
      </c>
      <c r="G461" t="s">
        <v>462</v>
      </c>
      <c r="H461" t="s">
        <v>2064</v>
      </c>
      <c r="J461" t="s">
        <v>195</v>
      </c>
      <c r="U461" t="s">
        <v>1459</v>
      </c>
      <c r="V461" t="s">
        <v>1385</v>
      </c>
      <c r="W461">
        <v>77838885598</v>
      </c>
      <c r="X461">
        <v>10077838885595</v>
      </c>
      <c r="Y461" t="s">
        <v>2416</v>
      </c>
      <c r="Z461" t="s">
        <v>884</v>
      </c>
      <c r="AA461" t="s">
        <v>2417</v>
      </c>
      <c r="AB461" t="s">
        <v>2418</v>
      </c>
      <c r="AC461" t="s">
        <v>2419</v>
      </c>
      <c r="AD461" t="s">
        <v>2420</v>
      </c>
      <c r="AE461" t="s">
        <v>1297</v>
      </c>
      <c r="AF461" t="s">
        <v>235</v>
      </c>
      <c r="AG461">
        <v>392410.2</v>
      </c>
      <c r="AH461">
        <v>65</v>
      </c>
      <c r="AL461" t="s">
        <v>2421</v>
      </c>
      <c r="BH461" t="s">
        <v>462</v>
      </c>
      <c r="BI461" t="s">
        <v>1457</v>
      </c>
      <c r="CX461" t="s">
        <v>223</v>
      </c>
    </row>
    <row r="462" spans="1:102" x14ac:dyDescent="0.25">
      <c r="A462" t="s">
        <v>2541</v>
      </c>
      <c r="B462" t="e">
        <f>_xlfn.XLOOKUP(C462,'[1]Image URL'!$E:$E,'[1]Image URL'!$A:$A)</f>
        <v>#N/A</v>
      </c>
      <c r="C462">
        <v>4350152</v>
      </c>
      <c r="D462" t="s">
        <v>2543</v>
      </c>
      <c r="E462" t="s">
        <v>1926</v>
      </c>
      <c r="H462" t="s">
        <v>1927</v>
      </c>
      <c r="J462" t="s">
        <v>195</v>
      </c>
      <c r="U462" t="s">
        <v>1459</v>
      </c>
      <c r="V462" t="s">
        <v>1385</v>
      </c>
      <c r="W462">
        <v>77838812815</v>
      </c>
      <c r="X462">
        <v>10077838812812</v>
      </c>
      <c r="Y462" t="s">
        <v>1928</v>
      </c>
      <c r="Z462" t="s">
        <v>1509</v>
      </c>
      <c r="AA462" t="s">
        <v>1929</v>
      </c>
      <c r="AB462" t="s">
        <v>503</v>
      </c>
      <c r="AC462" t="s">
        <v>503</v>
      </c>
      <c r="AD462" t="s">
        <v>867</v>
      </c>
      <c r="AE462" t="s">
        <v>635</v>
      </c>
      <c r="AF462" t="s">
        <v>235</v>
      </c>
      <c r="AG462">
        <v>392410.2</v>
      </c>
      <c r="AH462">
        <v>70</v>
      </c>
      <c r="AN462" t="s">
        <v>338</v>
      </c>
      <c r="AT462" t="s">
        <v>1927</v>
      </c>
    </row>
    <row r="463" spans="1:102" x14ac:dyDescent="0.25">
      <c r="A463" t="s">
        <v>2544</v>
      </c>
      <c r="B463" t="e">
        <f>_xlfn.XLOOKUP(C463,'[1]Image URL'!$E:$E,'[1]Image URL'!$A:$A)</f>
        <v>#N/A</v>
      </c>
      <c r="C463" t="s">
        <v>2700</v>
      </c>
      <c r="D463" t="s">
        <v>2546</v>
      </c>
      <c r="E463" t="s">
        <v>2547</v>
      </c>
      <c r="H463" t="s">
        <v>2548</v>
      </c>
      <c r="J463" t="s">
        <v>195</v>
      </c>
      <c r="U463" t="s">
        <v>1459</v>
      </c>
      <c r="V463" t="s">
        <v>1385</v>
      </c>
      <c r="W463">
        <v>77838210895</v>
      </c>
      <c r="X463">
        <v>10077838110895</v>
      </c>
      <c r="Y463" t="s">
        <v>1659</v>
      </c>
      <c r="Z463" t="s">
        <v>1440</v>
      </c>
      <c r="AA463" t="s">
        <v>311</v>
      </c>
      <c r="AB463" t="s">
        <v>311</v>
      </c>
      <c r="AC463" t="s">
        <v>990</v>
      </c>
      <c r="AD463" t="s">
        <v>301</v>
      </c>
      <c r="AE463" t="s">
        <v>184</v>
      </c>
      <c r="AF463" t="s">
        <v>164</v>
      </c>
      <c r="AG463">
        <v>392410.2</v>
      </c>
      <c r="AH463">
        <v>70</v>
      </c>
      <c r="AM463" t="s">
        <v>2549</v>
      </c>
      <c r="AN463" t="s">
        <v>2550</v>
      </c>
    </row>
    <row r="464" spans="1:102" x14ac:dyDescent="0.25">
      <c r="A464" t="s">
        <v>2551</v>
      </c>
      <c r="B464" t="e">
        <f>_xlfn.XLOOKUP(C464,'[1]Image URL'!$E:$E,'[1]Image URL'!$A:$A)</f>
        <v>#N/A</v>
      </c>
      <c r="C464" t="s">
        <v>2703</v>
      </c>
      <c r="D464" t="s">
        <v>2552</v>
      </c>
      <c r="E464" t="s">
        <v>1872</v>
      </c>
      <c r="F464" t="s">
        <v>1873</v>
      </c>
      <c r="G464" t="s">
        <v>1874</v>
      </c>
      <c r="H464" t="s">
        <v>1875</v>
      </c>
      <c r="J464" t="s">
        <v>195</v>
      </c>
      <c r="U464" t="s">
        <v>1459</v>
      </c>
      <c r="V464" t="s">
        <v>1385</v>
      </c>
      <c r="W464">
        <v>77838596425</v>
      </c>
      <c r="X464">
        <v>10077838096427</v>
      </c>
      <c r="Y464" t="s">
        <v>387</v>
      </c>
      <c r="Z464" t="s">
        <v>1764</v>
      </c>
      <c r="AA464" t="s">
        <v>1018</v>
      </c>
      <c r="AB464" t="s">
        <v>893</v>
      </c>
      <c r="AC464" t="s">
        <v>345</v>
      </c>
      <c r="AD464" t="s">
        <v>997</v>
      </c>
      <c r="AE464" t="s">
        <v>268</v>
      </c>
      <c r="AF464" t="s">
        <v>268</v>
      </c>
      <c r="AG464">
        <v>392410.2</v>
      </c>
      <c r="AH464">
        <v>65</v>
      </c>
      <c r="AT464" t="s">
        <v>1875</v>
      </c>
    </row>
    <row r="465" spans="1:102" x14ac:dyDescent="0.25">
      <c r="A465" t="s">
        <v>2553</v>
      </c>
      <c r="B465" t="e">
        <f>_xlfn.XLOOKUP(C465,'[1]Image URL'!$E:$E,'[1]Image URL'!$A:$A)</f>
        <v>#N/A</v>
      </c>
      <c r="C465" t="s">
        <v>2707</v>
      </c>
      <c r="D465" t="s">
        <v>2554</v>
      </c>
      <c r="E465" t="s">
        <v>2555</v>
      </c>
      <c r="F465" t="s">
        <v>192</v>
      </c>
      <c r="G465" t="s">
        <v>192</v>
      </c>
      <c r="H465" t="s">
        <v>664</v>
      </c>
      <c r="I465" t="s">
        <v>194</v>
      </c>
      <c r="J465" t="s">
        <v>195</v>
      </c>
      <c r="M465" t="s">
        <v>2556</v>
      </c>
      <c r="T465" t="s">
        <v>2557</v>
      </c>
      <c r="U465" t="s">
        <v>196</v>
      </c>
      <c r="V465" t="s">
        <v>157</v>
      </c>
      <c r="W465">
        <v>77838500101</v>
      </c>
      <c r="X465">
        <v>10077838000103</v>
      </c>
      <c r="Y465" t="s">
        <v>2558</v>
      </c>
      <c r="Z465" t="s">
        <v>241</v>
      </c>
      <c r="AA465" t="s">
        <v>311</v>
      </c>
      <c r="AB465" t="s">
        <v>667</v>
      </c>
      <c r="AC465" t="s">
        <v>2559</v>
      </c>
      <c r="AD465" t="s">
        <v>2560</v>
      </c>
      <c r="AE465" t="s">
        <v>303</v>
      </c>
      <c r="AF465" t="s">
        <v>164</v>
      </c>
      <c r="AG465">
        <v>392410.2</v>
      </c>
      <c r="AH465">
        <v>92.5</v>
      </c>
      <c r="AL465" t="s">
        <v>2561</v>
      </c>
      <c r="AN465" t="s">
        <v>192</v>
      </c>
    </row>
    <row r="466" spans="1:102" x14ac:dyDescent="0.25">
      <c r="A466" t="s">
        <v>2562</v>
      </c>
      <c r="B466" t="e">
        <f>_xlfn.XLOOKUP(C466,'[1]Image URL'!$E:$E,'[1]Image URL'!$A:$A)</f>
        <v>#N/A</v>
      </c>
      <c r="C466">
        <v>5310372</v>
      </c>
      <c r="D466" t="s">
        <v>2563</v>
      </c>
      <c r="E466" t="s">
        <v>1566</v>
      </c>
      <c r="H466" t="s">
        <v>1567</v>
      </c>
      <c r="J466" t="s">
        <v>195</v>
      </c>
      <c r="U466" t="s">
        <v>1459</v>
      </c>
      <c r="V466" t="s">
        <v>1385</v>
      </c>
      <c r="W466">
        <v>77838869918</v>
      </c>
      <c r="X466">
        <v>10077838869915</v>
      </c>
      <c r="Y466" t="s">
        <v>1780</v>
      </c>
      <c r="Z466" t="s">
        <v>1781</v>
      </c>
      <c r="AA466" t="s">
        <v>421</v>
      </c>
      <c r="AB466" t="s">
        <v>421</v>
      </c>
      <c r="AC466" t="s">
        <v>152</v>
      </c>
      <c r="AD466" t="s">
        <v>1424</v>
      </c>
      <c r="AE466" t="s">
        <v>315</v>
      </c>
      <c r="AF466" t="s">
        <v>315</v>
      </c>
      <c r="AG466">
        <v>392410.2</v>
      </c>
      <c r="AH466">
        <v>65</v>
      </c>
      <c r="AN466" t="s">
        <v>451</v>
      </c>
      <c r="CW466" t="s">
        <v>1571</v>
      </c>
    </row>
    <row r="467" spans="1:102" x14ac:dyDescent="0.25">
      <c r="A467" t="s">
        <v>2564</v>
      </c>
      <c r="B467" t="e">
        <f>_xlfn.XLOOKUP(C467,'[1]Image URL'!$E:$E,'[1]Image URL'!$A:$A)</f>
        <v>#N/A</v>
      </c>
      <c r="C467">
        <v>5310323</v>
      </c>
      <c r="D467" t="s">
        <v>2566</v>
      </c>
      <c r="E467" t="s">
        <v>2071</v>
      </c>
      <c r="H467" t="s">
        <v>1956</v>
      </c>
      <c r="J467" t="s">
        <v>195</v>
      </c>
      <c r="M467" t="s">
        <v>1269</v>
      </c>
      <c r="U467" t="s">
        <v>1459</v>
      </c>
      <c r="V467" t="s">
        <v>1385</v>
      </c>
      <c r="W467">
        <v>77838211526</v>
      </c>
      <c r="X467">
        <v>10077838111526</v>
      </c>
      <c r="Y467" t="s">
        <v>585</v>
      </c>
      <c r="Z467" t="s">
        <v>1266</v>
      </c>
      <c r="AA467" t="s">
        <v>472</v>
      </c>
      <c r="AB467" t="s">
        <v>2072</v>
      </c>
      <c r="AC467" t="s">
        <v>254</v>
      </c>
      <c r="AD467" t="s">
        <v>1644</v>
      </c>
      <c r="AE467" t="s">
        <v>204</v>
      </c>
      <c r="AF467" t="s">
        <v>268</v>
      </c>
      <c r="AG467">
        <v>392410.2</v>
      </c>
      <c r="AH467">
        <v>70</v>
      </c>
      <c r="AM467" t="s">
        <v>1958</v>
      </c>
      <c r="AN467" t="s">
        <v>766</v>
      </c>
    </row>
    <row r="468" spans="1:102" x14ac:dyDescent="0.25">
      <c r="A468" t="s">
        <v>2567</v>
      </c>
      <c r="B468" t="e">
        <f>_xlfn.XLOOKUP(C468,'[1]Image URL'!$E:$E,'[1]Image URL'!$A:$A)</f>
        <v>#N/A</v>
      </c>
      <c r="C468">
        <v>4350014</v>
      </c>
      <c r="D468" t="s">
        <v>2568</v>
      </c>
      <c r="E468" t="s">
        <v>1697</v>
      </c>
      <c r="H468" t="s">
        <v>186</v>
      </c>
      <c r="J468" t="s">
        <v>195</v>
      </c>
      <c r="M468" t="s">
        <v>1698</v>
      </c>
      <c r="T468" t="s">
        <v>1699</v>
      </c>
      <c r="U468" t="s">
        <v>1459</v>
      </c>
      <c r="V468" t="s">
        <v>1385</v>
      </c>
      <c r="W468">
        <v>77838869994</v>
      </c>
      <c r="X468">
        <v>10077838869991</v>
      </c>
      <c r="Y468" t="s">
        <v>1700</v>
      </c>
      <c r="Z468" t="s">
        <v>1701</v>
      </c>
      <c r="AA468" t="s">
        <v>1702</v>
      </c>
      <c r="AB468" t="s">
        <v>1702</v>
      </c>
      <c r="AC468" t="s">
        <v>1301</v>
      </c>
      <c r="AD468" t="s">
        <v>669</v>
      </c>
      <c r="AE468" t="s">
        <v>184</v>
      </c>
      <c r="AF468" t="s">
        <v>184</v>
      </c>
      <c r="AG468">
        <v>392410.2</v>
      </c>
      <c r="AH468">
        <v>70</v>
      </c>
      <c r="AN468" t="s">
        <v>192</v>
      </c>
    </row>
    <row r="469" spans="1:102" x14ac:dyDescent="0.25">
      <c r="A469" t="s">
        <v>2569</v>
      </c>
      <c r="B469" t="e">
        <f>_xlfn.XLOOKUP(C469,'[1]Image URL'!$E:$E,'[1]Image URL'!$A:$A)</f>
        <v>#N/A</v>
      </c>
      <c r="C469">
        <v>4374502</v>
      </c>
      <c r="D469" t="s">
        <v>2571</v>
      </c>
      <c r="E469" t="s">
        <v>2572</v>
      </c>
      <c r="H469" t="s">
        <v>413</v>
      </c>
      <c r="J469" t="s">
        <v>195</v>
      </c>
      <c r="U469" t="s">
        <v>1459</v>
      </c>
      <c r="V469" t="s">
        <v>1385</v>
      </c>
      <c r="W469">
        <v>77838210888</v>
      </c>
      <c r="X469">
        <v>10077838110888</v>
      </c>
      <c r="Y469" t="s">
        <v>2573</v>
      </c>
      <c r="Z469" t="s">
        <v>179</v>
      </c>
      <c r="AA469" t="s">
        <v>2574</v>
      </c>
      <c r="AB469" t="s">
        <v>2574</v>
      </c>
      <c r="AC469" t="s">
        <v>2575</v>
      </c>
      <c r="AD469" t="s">
        <v>975</v>
      </c>
      <c r="AE469" t="s">
        <v>204</v>
      </c>
      <c r="AF469" t="s">
        <v>302</v>
      </c>
      <c r="AG469">
        <v>392410.2</v>
      </c>
      <c r="AH469">
        <v>70</v>
      </c>
      <c r="AN469" t="s">
        <v>1169</v>
      </c>
      <c r="AT469" t="s">
        <v>1650</v>
      </c>
    </row>
    <row r="470" spans="1:102" x14ac:dyDescent="0.25">
      <c r="A470" t="s">
        <v>2576</v>
      </c>
      <c r="B470" t="e">
        <f>_xlfn.XLOOKUP(C470,'[1]Image URL'!$E:$E,'[1]Image URL'!$A:$A)</f>
        <v>#N/A</v>
      </c>
      <c r="C470">
        <v>6402218</v>
      </c>
      <c r="D470" t="s">
        <v>2577</v>
      </c>
      <c r="E470" t="s">
        <v>2318</v>
      </c>
      <c r="H470" t="s">
        <v>1726</v>
      </c>
      <c r="J470" t="s">
        <v>195</v>
      </c>
      <c r="U470" t="s">
        <v>1459</v>
      </c>
      <c r="V470" t="s">
        <v>1385</v>
      </c>
      <c r="W470">
        <v>77838210406</v>
      </c>
      <c r="X470">
        <v>10077838110406</v>
      </c>
      <c r="Y470" t="s">
        <v>2319</v>
      </c>
      <c r="Z470" t="s">
        <v>2320</v>
      </c>
      <c r="AA470" t="s">
        <v>385</v>
      </c>
      <c r="AB470" t="s">
        <v>2321</v>
      </c>
      <c r="AC470" t="s">
        <v>868</v>
      </c>
      <c r="AD470" t="s">
        <v>426</v>
      </c>
      <c r="AE470" t="s">
        <v>302</v>
      </c>
      <c r="AF470" t="s">
        <v>268</v>
      </c>
      <c r="AG470">
        <v>392410.2</v>
      </c>
      <c r="AH470">
        <v>65</v>
      </c>
      <c r="AN470" t="s">
        <v>859</v>
      </c>
      <c r="AT470" t="s">
        <v>1726</v>
      </c>
    </row>
    <row r="471" spans="1:102" x14ac:dyDescent="0.25">
      <c r="A471" t="s">
        <v>2578</v>
      </c>
      <c r="B471" t="e">
        <f>_xlfn.XLOOKUP(C471,'[1]Image URL'!$E:$E,'[1]Image URL'!$A:$A)</f>
        <v>#N/A</v>
      </c>
      <c r="C471">
        <v>5400746</v>
      </c>
      <c r="D471" t="s">
        <v>2579</v>
      </c>
      <c r="E471" t="s">
        <v>1834</v>
      </c>
      <c r="H471" t="s">
        <v>1204</v>
      </c>
      <c r="J471" t="s">
        <v>195</v>
      </c>
      <c r="U471" t="s">
        <v>1459</v>
      </c>
      <c r="V471" t="s">
        <v>1385</v>
      </c>
      <c r="W471">
        <v>77838823477</v>
      </c>
      <c r="X471">
        <v>10077838823474</v>
      </c>
      <c r="Y471" t="s">
        <v>773</v>
      </c>
      <c r="Z471" t="s">
        <v>1835</v>
      </c>
      <c r="AA471" t="s">
        <v>1836</v>
      </c>
      <c r="AB471" t="s">
        <v>421</v>
      </c>
      <c r="AC471" t="s">
        <v>1720</v>
      </c>
      <c r="AD471" t="s">
        <v>555</v>
      </c>
      <c r="AE471" t="s">
        <v>184</v>
      </c>
      <c r="AF471" t="s">
        <v>235</v>
      </c>
      <c r="AG471">
        <v>392410.2</v>
      </c>
      <c r="AH471">
        <v>70</v>
      </c>
      <c r="AM471" t="s">
        <v>1837</v>
      </c>
      <c r="AN471" t="s">
        <v>1838</v>
      </c>
      <c r="AT471" t="s">
        <v>1204</v>
      </c>
    </row>
    <row r="472" spans="1:102" x14ac:dyDescent="0.25">
      <c r="A472" t="s">
        <v>2580</v>
      </c>
      <c r="B472" t="e">
        <f>_xlfn.XLOOKUP(C472,'[1]Image URL'!$E:$E,'[1]Image URL'!$A:$A)</f>
        <v>#N/A</v>
      </c>
      <c r="C472" t="s">
        <v>2722</v>
      </c>
      <c r="D472" t="s">
        <v>2581</v>
      </c>
      <c r="E472" t="s">
        <v>1507</v>
      </c>
      <c r="F472" t="s">
        <v>549</v>
      </c>
      <c r="G472" t="s">
        <v>549</v>
      </c>
      <c r="H472" t="s">
        <v>2044</v>
      </c>
      <c r="J472" t="s">
        <v>195</v>
      </c>
      <c r="U472" t="s">
        <v>1459</v>
      </c>
      <c r="V472" t="s">
        <v>1385</v>
      </c>
      <c r="W472">
        <v>77838870846</v>
      </c>
      <c r="X472">
        <v>10077838870843</v>
      </c>
      <c r="Y472" t="s">
        <v>1568</v>
      </c>
      <c r="Z472" t="s">
        <v>1266</v>
      </c>
      <c r="AA472" t="s">
        <v>2405</v>
      </c>
      <c r="AB472" t="s">
        <v>2405</v>
      </c>
      <c r="AC472" t="s">
        <v>346</v>
      </c>
      <c r="AD472" t="s">
        <v>1390</v>
      </c>
      <c r="AE472" t="s">
        <v>184</v>
      </c>
      <c r="AF472" t="s">
        <v>315</v>
      </c>
      <c r="AG472">
        <v>392410.2</v>
      </c>
      <c r="AH472">
        <v>65</v>
      </c>
      <c r="AL472" t="s">
        <v>2281</v>
      </c>
    </row>
    <row r="473" spans="1:102" x14ac:dyDescent="0.25">
      <c r="A473" t="s">
        <v>2582</v>
      </c>
      <c r="B473" t="e">
        <f>_xlfn.XLOOKUP(C473,'[1]Image URL'!$E:$E,'[1]Image URL'!$A:$A)</f>
        <v>#N/A</v>
      </c>
      <c r="C473">
        <v>4352835</v>
      </c>
      <c r="D473" t="s">
        <v>2583</v>
      </c>
      <c r="E473" t="s">
        <v>1574</v>
      </c>
      <c r="F473" t="s">
        <v>169</v>
      </c>
      <c r="G473" t="s">
        <v>169</v>
      </c>
      <c r="H473" t="s">
        <v>334</v>
      </c>
      <c r="J473" t="s">
        <v>195</v>
      </c>
      <c r="U473" t="s">
        <v>1459</v>
      </c>
      <c r="V473" t="s">
        <v>1385</v>
      </c>
      <c r="W473">
        <v>77838888049</v>
      </c>
      <c r="X473">
        <v>10077838888046</v>
      </c>
      <c r="Y473" t="s">
        <v>1843</v>
      </c>
      <c r="Z473" t="s">
        <v>297</v>
      </c>
      <c r="AA473" t="s">
        <v>1932</v>
      </c>
      <c r="AB473" t="s">
        <v>995</v>
      </c>
      <c r="AC473" t="s">
        <v>523</v>
      </c>
      <c r="AD473" t="s">
        <v>446</v>
      </c>
      <c r="AE473" t="s">
        <v>184</v>
      </c>
      <c r="AF473" t="s">
        <v>302</v>
      </c>
      <c r="AG473">
        <v>392410.2</v>
      </c>
      <c r="AH473">
        <v>65</v>
      </c>
      <c r="AL473" t="s">
        <v>1933</v>
      </c>
      <c r="BH473" t="s">
        <v>169</v>
      </c>
      <c r="BI473" t="s">
        <v>1934</v>
      </c>
      <c r="CX473" t="s">
        <v>145</v>
      </c>
    </row>
    <row r="474" spans="1:102" x14ac:dyDescent="0.25">
      <c r="A474" t="s">
        <v>2584</v>
      </c>
      <c r="B474" t="e">
        <f>_xlfn.XLOOKUP(C474,'[1]Image URL'!$E:$E,'[1]Image URL'!$A:$A)</f>
        <v>#N/A</v>
      </c>
      <c r="C474">
        <v>5400713</v>
      </c>
      <c r="D474" t="s">
        <v>1455</v>
      </c>
      <c r="E474" t="s">
        <v>1456</v>
      </c>
      <c r="F474" t="s">
        <v>1457</v>
      </c>
      <c r="G474" t="s">
        <v>1457</v>
      </c>
      <c r="H474" t="s">
        <v>1458</v>
      </c>
      <c r="J474" t="s">
        <v>195</v>
      </c>
      <c r="U474" t="s">
        <v>1459</v>
      </c>
      <c r="V474" t="s">
        <v>1385</v>
      </c>
      <c r="W474">
        <v>77838229194</v>
      </c>
      <c r="X474">
        <v>10077838029197</v>
      </c>
      <c r="Y474" t="s">
        <v>1311</v>
      </c>
      <c r="Z474" t="s">
        <v>1460</v>
      </c>
      <c r="AA474" t="s">
        <v>1179</v>
      </c>
      <c r="AB474" t="s">
        <v>900</v>
      </c>
      <c r="AC474" t="s">
        <v>288</v>
      </c>
      <c r="AD474" t="s">
        <v>600</v>
      </c>
      <c r="AE474" t="s">
        <v>235</v>
      </c>
      <c r="AF474" t="s">
        <v>185</v>
      </c>
      <c r="AG474">
        <v>392410.2</v>
      </c>
      <c r="AH474">
        <v>85</v>
      </c>
      <c r="AL474" t="s">
        <v>1083</v>
      </c>
      <c r="AM474" t="s">
        <v>1461</v>
      </c>
      <c r="AN474" t="s">
        <v>1457</v>
      </c>
      <c r="AT474" t="s">
        <v>1462</v>
      </c>
    </row>
    <row r="475" spans="1:102" x14ac:dyDescent="0.25">
      <c r="A475" t="s">
        <v>2585</v>
      </c>
      <c r="B475" t="e">
        <f>_xlfn.XLOOKUP(C475,'[1]Image URL'!$E:$E,'[1]Image URL'!$A:$A)</f>
        <v>#N/A</v>
      </c>
      <c r="C475">
        <v>5310138</v>
      </c>
      <c r="D475" t="s">
        <v>2586</v>
      </c>
      <c r="E475" t="s">
        <v>1537</v>
      </c>
      <c r="F475" t="s">
        <v>2013</v>
      </c>
      <c r="G475" t="s">
        <v>2014</v>
      </c>
      <c r="H475" t="s">
        <v>2015</v>
      </c>
      <c r="M475" t="s">
        <v>2016</v>
      </c>
      <c r="T475" t="s">
        <v>2017</v>
      </c>
      <c r="U475" t="s">
        <v>1459</v>
      </c>
      <c r="V475" t="s">
        <v>1385</v>
      </c>
      <c r="W475">
        <v>77838887141</v>
      </c>
      <c r="X475">
        <v>10077838887148</v>
      </c>
      <c r="Y475" t="s">
        <v>2018</v>
      </c>
      <c r="Z475" t="s">
        <v>1727</v>
      </c>
      <c r="AA475" t="s">
        <v>2019</v>
      </c>
      <c r="AB475" t="s">
        <v>2019</v>
      </c>
      <c r="AC475" t="s">
        <v>861</v>
      </c>
      <c r="AD475" t="s">
        <v>183</v>
      </c>
      <c r="AE475" t="s">
        <v>184</v>
      </c>
      <c r="AF475" t="s">
        <v>185</v>
      </c>
      <c r="AG475">
        <v>392410.2</v>
      </c>
      <c r="AH475">
        <v>65</v>
      </c>
      <c r="AL475" t="s">
        <v>2020</v>
      </c>
      <c r="CS475" t="s">
        <v>2021</v>
      </c>
      <c r="CT475" t="s">
        <v>2022</v>
      </c>
      <c r="CU475" t="s">
        <v>2013</v>
      </c>
      <c r="CV475" t="s">
        <v>2023</v>
      </c>
    </row>
    <row r="476" spans="1:102" x14ac:dyDescent="0.25">
      <c r="A476" t="s">
        <v>2587</v>
      </c>
      <c r="B476" t="e">
        <f>_xlfn.XLOOKUP(C476,'[1]Image URL'!$E:$E,'[1]Image URL'!$A:$A)</f>
        <v>#N/A</v>
      </c>
      <c r="C476">
        <v>4330802</v>
      </c>
      <c r="D476" t="s">
        <v>2588</v>
      </c>
      <c r="E476" t="s">
        <v>1537</v>
      </c>
      <c r="F476" t="s">
        <v>1609</v>
      </c>
      <c r="G476" t="s">
        <v>2100</v>
      </c>
      <c r="H476" t="s">
        <v>2101</v>
      </c>
      <c r="M476" t="s">
        <v>2102</v>
      </c>
      <c r="T476" t="s">
        <v>2103</v>
      </c>
      <c r="U476" t="s">
        <v>1459</v>
      </c>
      <c r="V476" t="s">
        <v>1385</v>
      </c>
      <c r="W476">
        <v>77838887479</v>
      </c>
      <c r="X476">
        <v>10077838887476</v>
      </c>
      <c r="Y476" t="s">
        <v>2104</v>
      </c>
      <c r="Z476" t="s">
        <v>1294</v>
      </c>
      <c r="AA476" t="s">
        <v>775</v>
      </c>
      <c r="AB476" t="s">
        <v>1580</v>
      </c>
      <c r="AC476" t="s">
        <v>523</v>
      </c>
      <c r="AD476" t="s">
        <v>997</v>
      </c>
      <c r="AE476" t="s">
        <v>507</v>
      </c>
      <c r="AF476" t="s">
        <v>302</v>
      </c>
      <c r="AG476">
        <v>392410.2</v>
      </c>
      <c r="AH476">
        <v>70</v>
      </c>
      <c r="AL476" t="s">
        <v>2105</v>
      </c>
      <c r="CS476" t="s">
        <v>2106</v>
      </c>
      <c r="CT476" t="s">
        <v>2107</v>
      </c>
      <c r="CU476" t="s">
        <v>1609</v>
      </c>
      <c r="CV476" t="s">
        <v>2108</v>
      </c>
    </row>
    <row r="477" spans="1:102" x14ac:dyDescent="0.25">
      <c r="A477" t="s">
        <v>2589</v>
      </c>
      <c r="B477" t="e">
        <f>_xlfn.XLOOKUP(C477,'[1]Image URL'!$E:$E,'[1]Image URL'!$A:$A)</f>
        <v>#N/A</v>
      </c>
      <c r="C477">
        <v>5300680</v>
      </c>
      <c r="D477" t="s">
        <v>2591</v>
      </c>
      <c r="E477" t="s">
        <v>2400</v>
      </c>
      <c r="F477" t="s">
        <v>542</v>
      </c>
      <c r="G477" t="s">
        <v>536</v>
      </c>
      <c r="H477" t="s">
        <v>2401</v>
      </c>
      <c r="J477" t="s">
        <v>195</v>
      </c>
      <c r="U477" t="s">
        <v>1459</v>
      </c>
      <c r="V477" t="s">
        <v>1385</v>
      </c>
      <c r="W477">
        <v>77838210956</v>
      </c>
      <c r="X477">
        <v>10077838110956</v>
      </c>
      <c r="Y477" t="s">
        <v>902</v>
      </c>
      <c r="Z477" t="s">
        <v>2163</v>
      </c>
      <c r="AA477" t="s">
        <v>643</v>
      </c>
      <c r="AB477" t="s">
        <v>882</v>
      </c>
      <c r="AC477" t="s">
        <v>288</v>
      </c>
      <c r="AD477" t="s">
        <v>2402</v>
      </c>
      <c r="AE477" t="s">
        <v>303</v>
      </c>
      <c r="AF477" t="s">
        <v>185</v>
      </c>
      <c r="AG477">
        <v>392410.2</v>
      </c>
      <c r="AH477">
        <v>70</v>
      </c>
    </row>
    <row r="478" spans="1:102" x14ac:dyDescent="0.25">
      <c r="A478" t="s">
        <v>2592</v>
      </c>
      <c r="B478" t="e">
        <f>_xlfn.XLOOKUP(C478,'[1]Image URL'!$E:$E,'[1]Image URL'!$A:$A)</f>
        <v>#N/A</v>
      </c>
      <c r="C478">
        <v>4330603</v>
      </c>
      <c r="D478" t="s">
        <v>2593</v>
      </c>
      <c r="E478" t="s">
        <v>2499</v>
      </c>
      <c r="F478" t="s">
        <v>2500</v>
      </c>
      <c r="G478" t="s">
        <v>2501</v>
      </c>
      <c r="H478" t="s">
        <v>2000</v>
      </c>
      <c r="J478" t="s">
        <v>195</v>
      </c>
      <c r="U478" t="s">
        <v>1459</v>
      </c>
      <c r="V478" t="s">
        <v>1385</v>
      </c>
      <c r="W478">
        <v>77838824276</v>
      </c>
      <c r="X478">
        <v>10077838824273</v>
      </c>
      <c r="Y478" t="s">
        <v>1125</v>
      </c>
      <c r="Z478" t="s">
        <v>1737</v>
      </c>
      <c r="AA478" t="s">
        <v>421</v>
      </c>
      <c r="AB478" t="s">
        <v>298</v>
      </c>
      <c r="AC478" t="s">
        <v>152</v>
      </c>
      <c r="AD478" t="s">
        <v>1562</v>
      </c>
      <c r="AE478" t="s">
        <v>507</v>
      </c>
      <c r="AF478" t="s">
        <v>235</v>
      </c>
      <c r="AG478">
        <v>392410.2</v>
      </c>
      <c r="AH478">
        <v>65</v>
      </c>
      <c r="AT478" t="s">
        <v>2000</v>
      </c>
    </row>
    <row r="479" spans="1:102" x14ac:dyDescent="0.25">
      <c r="A479" t="s">
        <v>2594</v>
      </c>
      <c r="B479" t="e">
        <f>_xlfn.XLOOKUP(C479,'[1]Image URL'!$E:$E,'[1]Image URL'!$A:$A)</f>
        <v>#N/A</v>
      </c>
      <c r="C479">
        <v>794202</v>
      </c>
      <c r="D479" t="s">
        <v>2595</v>
      </c>
      <c r="E479" t="s">
        <v>1697</v>
      </c>
      <c r="H479" t="s">
        <v>575</v>
      </c>
      <c r="J479" t="s">
        <v>195</v>
      </c>
      <c r="M479" t="s">
        <v>1711</v>
      </c>
      <c r="T479" t="s">
        <v>1880</v>
      </c>
      <c r="U479" t="s">
        <v>1459</v>
      </c>
      <c r="V479" t="s">
        <v>1385</v>
      </c>
      <c r="W479">
        <v>77838888872</v>
      </c>
      <c r="X479">
        <v>10077838888879</v>
      </c>
      <c r="Y479" t="s">
        <v>1881</v>
      </c>
      <c r="Z479" t="s">
        <v>1475</v>
      </c>
      <c r="AA479" t="s">
        <v>1882</v>
      </c>
      <c r="AB479" t="s">
        <v>1882</v>
      </c>
      <c r="AC479" t="s">
        <v>1883</v>
      </c>
      <c r="AD479" t="s">
        <v>1884</v>
      </c>
      <c r="AE479" t="s">
        <v>315</v>
      </c>
      <c r="AF479" t="s">
        <v>403</v>
      </c>
      <c r="AG479">
        <v>392410.2</v>
      </c>
      <c r="AH479">
        <v>85</v>
      </c>
      <c r="AN479" t="s">
        <v>188</v>
      </c>
    </row>
    <row r="480" spans="1:102" x14ac:dyDescent="0.25">
      <c r="A480" t="s">
        <v>2596</v>
      </c>
      <c r="B480" t="e">
        <f>_xlfn.XLOOKUP(C480,'[1]Image URL'!$E:$E,'[1]Image URL'!$A:$A)</f>
        <v>#N/A</v>
      </c>
      <c r="C480" t="s">
        <v>2742</v>
      </c>
      <c r="D480" t="s">
        <v>2598</v>
      </c>
      <c r="E480" t="s">
        <v>1926</v>
      </c>
      <c r="H480" t="s">
        <v>1927</v>
      </c>
      <c r="J480" t="s">
        <v>195</v>
      </c>
      <c r="U480" t="s">
        <v>1459</v>
      </c>
      <c r="V480" t="s">
        <v>1385</v>
      </c>
      <c r="W480">
        <v>77838611135</v>
      </c>
      <c r="X480">
        <v>10077838111137</v>
      </c>
      <c r="Y480" t="s">
        <v>1928</v>
      </c>
      <c r="Z480" t="s">
        <v>1509</v>
      </c>
      <c r="AA480" t="s">
        <v>1929</v>
      </c>
      <c r="AB480" t="s">
        <v>503</v>
      </c>
      <c r="AC480" t="s">
        <v>503</v>
      </c>
      <c r="AD480" t="s">
        <v>867</v>
      </c>
      <c r="AE480" t="s">
        <v>635</v>
      </c>
      <c r="AF480" t="s">
        <v>235</v>
      </c>
      <c r="AG480">
        <v>392410.2</v>
      </c>
      <c r="AH480">
        <v>70</v>
      </c>
      <c r="AN480" t="s">
        <v>338</v>
      </c>
      <c r="AT480" t="s">
        <v>1927</v>
      </c>
    </row>
    <row r="481" spans="1:102" x14ac:dyDescent="0.25">
      <c r="A481" t="s">
        <v>2599</v>
      </c>
      <c r="B481" t="e">
        <f>_xlfn.XLOOKUP(C481,'[1]Image URL'!$E:$E,'[1]Image URL'!$A:$A)</f>
        <v>#N/A</v>
      </c>
      <c r="C481" t="s">
        <v>2749</v>
      </c>
      <c r="D481" t="s">
        <v>2600</v>
      </c>
      <c r="E481" t="s">
        <v>2349</v>
      </c>
      <c r="F481" t="s">
        <v>1994</v>
      </c>
      <c r="G481" t="s">
        <v>1994</v>
      </c>
      <c r="H481" t="s">
        <v>1567</v>
      </c>
      <c r="J481" t="s">
        <v>195</v>
      </c>
      <c r="O481" t="s">
        <v>332</v>
      </c>
      <c r="P481" t="s">
        <v>332</v>
      </c>
      <c r="U481" t="s">
        <v>1459</v>
      </c>
      <c r="V481" t="s">
        <v>1385</v>
      </c>
      <c r="W481">
        <v>77838200247</v>
      </c>
      <c r="X481">
        <v>10077838200244</v>
      </c>
      <c r="Y481" t="s">
        <v>2601</v>
      </c>
      <c r="Z481" t="s">
        <v>2602</v>
      </c>
      <c r="AA481" t="s">
        <v>911</v>
      </c>
      <c r="AB481" t="s">
        <v>421</v>
      </c>
      <c r="AC481" t="s">
        <v>995</v>
      </c>
      <c r="AD481" t="s">
        <v>1113</v>
      </c>
      <c r="AE481" t="s">
        <v>235</v>
      </c>
      <c r="AF481" t="s">
        <v>302</v>
      </c>
      <c r="AG481">
        <v>392410.2</v>
      </c>
      <c r="AH481">
        <v>60</v>
      </c>
      <c r="AL481" t="s">
        <v>2603</v>
      </c>
    </row>
    <row r="482" spans="1:102" x14ac:dyDescent="0.25">
      <c r="A482" t="s">
        <v>2604</v>
      </c>
      <c r="B482" t="e">
        <f>_xlfn.XLOOKUP(C482,'[1]Image URL'!$E:$E,'[1]Image URL'!$A:$A)</f>
        <v>#N/A</v>
      </c>
      <c r="C482" t="s">
        <v>2753</v>
      </c>
      <c r="D482" t="s">
        <v>2605</v>
      </c>
      <c r="E482" t="s">
        <v>2606</v>
      </c>
      <c r="F482" t="s">
        <v>996</v>
      </c>
      <c r="G482" t="s">
        <v>996</v>
      </c>
      <c r="H482" t="s">
        <v>340</v>
      </c>
      <c r="I482" t="s">
        <v>194</v>
      </c>
      <c r="J482" t="s">
        <v>195</v>
      </c>
      <c r="U482" t="s">
        <v>196</v>
      </c>
      <c r="V482" t="s">
        <v>157</v>
      </c>
      <c r="W482">
        <v>77838088494</v>
      </c>
      <c r="X482">
        <v>10077838088491</v>
      </c>
      <c r="Y482" t="s">
        <v>2607</v>
      </c>
      <c r="Z482" t="s">
        <v>903</v>
      </c>
      <c r="AA482" t="s">
        <v>2608</v>
      </c>
      <c r="AB482" t="s">
        <v>2608</v>
      </c>
      <c r="AC482" t="s">
        <v>2381</v>
      </c>
      <c r="AD482" t="s">
        <v>184</v>
      </c>
      <c r="AE482" t="s">
        <v>456</v>
      </c>
      <c r="AF482" t="s">
        <v>302</v>
      </c>
      <c r="AG482">
        <v>392350</v>
      </c>
      <c r="AH482">
        <v>85</v>
      </c>
      <c r="AL482" t="s">
        <v>2609</v>
      </c>
      <c r="AN482" t="s">
        <v>996</v>
      </c>
      <c r="AO482" t="s">
        <v>2518</v>
      </c>
      <c r="CR482" t="s">
        <v>192</v>
      </c>
    </row>
    <row r="483" spans="1:102" x14ac:dyDescent="0.25">
      <c r="A483" t="s">
        <v>2610</v>
      </c>
      <c r="B483" t="e">
        <f>_xlfn.XLOOKUP(C483,'[1]Image URL'!$E:$E,'[1]Image URL'!$A:$A)</f>
        <v>#N/A</v>
      </c>
      <c r="C483">
        <v>4373902</v>
      </c>
      <c r="D483" t="s">
        <v>2611</v>
      </c>
      <c r="E483" t="s">
        <v>1537</v>
      </c>
      <c r="F483" t="s">
        <v>2138</v>
      </c>
      <c r="G483" t="s">
        <v>2139</v>
      </c>
      <c r="H483" t="s">
        <v>186</v>
      </c>
      <c r="M483" t="s">
        <v>1774</v>
      </c>
      <c r="T483" t="s">
        <v>2131</v>
      </c>
      <c r="U483" t="s">
        <v>1459</v>
      </c>
      <c r="V483" t="s">
        <v>1385</v>
      </c>
      <c r="W483">
        <v>77838887516</v>
      </c>
      <c r="X483">
        <v>10077838887513</v>
      </c>
      <c r="Y483" t="s">
        <v>2140</v>
      </c>
      <c r="Z483" t="s">
        <v>159</v>
      </c>
      <c r="AA483" t="s">
        <v>2141</v>
      </c>
      <c r="AB483" t="s">
        <v>2141</v>
      </c>
      <c r="AC483" t="s">
        <v>150</v>
      </c>
      <c r="AD483" t="s">
        <v>1390</v>
      </c>
      <c r="AE483" t="s">
        <v>184</v>
      </c>
      <c r="AF483" t="s">
        <v>315</v>
      </c>
      <c r="AG483">
        <v>392410.2</v>
      </c>
      <c r="AH483">
        <v>85</v>
      </c>
      <c r="AL483" t="s">
        <v>681</v>
      </c>
      <c r="CS483" t="s">
        <v>2142</v>
      </c>
      <c r="CT483" t="s">
        <v>2143</v>
      </c>
      <c r="CU483" t="s">
        <v>2144</v>
      </c>
      <c r="CV483" t="s">
        <v>2145</v>
      </c>
    </row>
    <row r="484" spans="1:102" x14ac:dyDescent="0.25">
      <c r="A484" t="s">
        <v>2612</v>
      </c>
      <c r="B484" t="e">
        <f>_xlfn.XLOOKUP(C484,'[1]Image URL'!$E:$E,'[1]Image URL'!$A:$A)</f>
        <v>#N/A</v>
      </c>
      <c r="C484">
        <v>3300805</v>
      </c>
      <c r="D484" t="s">
        <v>2613</v>
      </c>
      <c r="E484" t="s">
        <v>1857</v>
      </c>
      <c r="H484" t="s">
        <v>1858</v>
      </c>
      <c r="J484" t="s">
        <v>195</v>
      </c>
      <c r="U484" t="s">
        <v>1459</v>
      </c>
      <c r="V484" t="s">
        <v>1385</v>
      </c>
      <c r="W484">
        <v>77838210512</v>
      </c>
      <c r="X484">
        <v>10077838110512</v>
      </c>
      <c r="Y484" t="s">
        <v>1859</v>
      </c>
      <c r="Z484" t="s">
        <v>1803</v>
      </c>
      <c r="AA484" t="s">
        <v>1860</v>
      </c>
      <c r="AB484" t="s">
        <v>324</v>
      </c>
      <c r="AC484" t="s">
        <v>1273</v>
      </c>
      <c r="AD484" t="s">
        <v>402</v>
      </c>
      <c r="AE484" t="s">
        <v>303</v>
      </c>
      <c r="AF484" t="s">
        <v>235</v>
      </c>
      <c r="AG484">
        <v>392410.2</v>
      </c>
      <c r="AH484">
        <v>60</v>
      </c>
      <c r="AN484" t="s">
        <v>1375</v>
      </c>
      <c r="AT484" t="s">
        <v>1858</v>
      </c>
    </row>
    <row r="485" spans="1:102" x14ac:dyDescent="0.25">
      <c r="A485" t="s">
        <v>2614</v>
      </c>
      <c r="B485" t="e">
        <f>_xlfn.XLOOKUP(C485,'[1]Image URL'!$E:$E,'[1]Image URL'!$A:$A)</f>
        <v>#N/A</v>
      </c>
      <c r="C485">
        <v>3303642</v>
      </c>
      <c r="D485" t="s">
        <v>2616</v>
      </c>
      <c r="E485" t="s">
        <v>1607</v>
      </c>
      <c r="F485" t="s">
        <v>1608</v>
      </c>
      <c r="G485" t="s">
        <v>1609</v>
      </c>
      <c r="H485" t="s">
        <v>1610</v>
      </c>
      <c r="J485" t="s">
        <v>195</v>
      </c>
      <c r="U485" t="s">
        <v>1459</v>
      </c>
      <c r="V485" t="s">
        <v>1385</v>
      </c>
      <c r="W485">
        <v>77838812822</v>
      </c>
      <c r="X485">
        <v>10077838812829</v>
      </c>
      <c r="Y485" t="s">
        <v>1611</v>
      </c>
      <c r="Z485" t="s">
        <v>1612</v>
      </c>
      <c r="AA485" t="s">
        <v>421</v>
      </c>
      <c r="AB485" t="s">
        <v>990</v>
      </c>
      <c r="AC485" t="s">
        <v>188</v>
      </c>
      <c r="AD485" t="s">
        <v>1613</v>
      </c>
      <c r="AE485" t="s">
        <v>1319</v>
      </c>
      <c r="AF485" t="s">
        <v>185</v>
      </c>
      <c r="AG485">
        <v>392410.2</v>
      </c>
      <c r="AH485">
        <v>70</v>
      </c>
    </row>
    <row r="486" spans="1:102" x14ac:dyDescent="0.25">
      <c r="A486" t="s">
        <v>2617</v>
      </c>
      <c r="B486" t="e">
        <f>_xlfn.XLOOKUP(C486,'[1]Image URL'!$E:$E,'[1]Image URL'!$A:$A)</f>
        <v>#N/A</v>
      </c>
      <c r="C486" t="s">
        <v>2763</v>
      </c>
      <c r="D486" t="s">
        <v>2618</v>
      </c>
      <c r="E486" t="s">
        <v>1537</v>
      </c>
      <c r="F486" t="s">
        <v>861</v>
      </c>
      <c r="G486" t="s">
        <v>861</v>
      </c>
      <c r="H486" t="s">
        <v>2150</v>
      </c>
      <c r="M486" t="s">
        <v>1527</v>
      </c>
      <c r="T486" t="s">
        <v>1880</v>
      </c>
      <c r="U486" t="s">
        <v>1459</v>
      </c>
      <c r="V486" t="s">
        <v>1385</v>
      </c>
      <c r="W486">
        <v>77838887424</v>
      </c>
      <c r="X486">
        <v>10077838887421</v>
      </c>
      <c r="Y486" t="s">
        <v>2151</v>
      </c>
      <c r="Z486" t="s">
        <v>1509</v>
      </c>
      <c r="AA486" t="s">
        <v>2152</v>
      </c>
      <c r="AB486" t="s">
        <v>1794</v>
      </c>
      <c r="AC486" t="s">
        <v>800</v>
      </c>
      <c r="AD486" t="s">
        <v>2153</v>
      </c>
      <c r="AE486" t="s">
        <v>303</v>
      </c>
      <c r="AF486" t="s">
        <v>315</v>
      </c>
      <c r="AG486">
        <v>392410.2</v>
      </c>
      <c r="AH486">
        <v>70</v>
      </c>
      <c r="AL486" t="s">
        <v>2154</v>
      </c>
      <c r="CS486" t="s">
        <v>2155</v>
      </c>
      <c r="CT486" t="s">
        <v>2156</v>
      </c>
      <c r="CU486" t="s">
        <v>2157</v>
      </c>
      <c r="CV486" t="s">
        <v>2158</v>
      </c>
    </row>
    <row r="487" spans="1:102" x14ac:dyDescent="0.25">
      <c r="A487" t="s">
        <v>2619</v>
      </c>
      <c r="B487" t="e">
        <f>_xlfn.XLOOKUP(C487,'[1]Image URL'!$E:$E,'[1]Image URL'!$A:$A)</f>
        <v>#N/A</v>
      </c>
      <c r="C487">
        <v>5401815</v>
      </c>
      <c r="D487" t="s">
        <v>2621</v>
      </c>
      <c r="E487" t="s">
        <v>2572</v>
      </c>
      <c r="H487" t="s">
        <v>413</v>
      </c>
      <c r="J487" t="s">
        <v>195</v>
      </c>
      <c r="U487" t="s">
        <v>1459</v>
      </c>
      <c r="V487" t="s">
        <v>1385</v>
      </c>
      <c r="W487">
        <v>77838209776</v>
      </c>
      <c r="X487">
        <v>10077838009779</v>
      </c>
      <c r="Y487" t="s">
        <v>2573</v>
      </c>
      <c r="Z487" t="s">
        <v>179</v>
      </c>
      <c r="AA487" t="s">
        <v>2574</v>
      </c>
      <c r="AB487" t="s">
        <v>2574</v>
      </c>
      <c r="AC487" t="s">
        <v>2575</v>
      </c>
      <c r="AD487" t="s">
        <v>975</v>
      </c>
      <c r="AE487" t="s">
        <v>204</v>
      </c>
      <c r="AF487" t="s">
        <v>302</v>
      </c>
      <c r="AG487">
        <v>392410.2</v>
      </c>
      <c r="AH487">
        <v>70</v>
      </c>
      <c r="AN487" t="s">
        <v>1169</v>
      </c>
      <c r="AT487" t="s">
        <v>1650</v>
      </c>
    </row>
    <row r="488" spans="1:102" x14ac:dyDescent="0.25">
      <c r="A488" t="s">
        <v>2622</v>
      </c>
      <c r="B488" t="e">
        <f>_xlfn.XLOOKUP(C488,'[1]Image URL'!$E:$E,'[1]Image URL'!$A:$A)</f>
        <v>#N/A</v>
      </c>
      <c r="C488">
        <v>5400353</v>
      </c>
      <c r="D488" t="s">
        <v>2624</v>
      </c>
      <c r="E488" t="s">
        <v>2445</v>
      </c>
      <c r="H488" t="s">
        <v>1571</v>
      </c>
      <c r="I488" t="s">
        <v>194</v>
      </c>
      <c r="J488" t="s">
        <v>195</v>
      </c>
      <c r="U488" t="s">
        <v>196</v>
      </c>
      <c r="V488" t="s">
        <v>157</v>
      </c>
      <c r="W488">
        <v>77838805664</v>
      </c>
      <c r="X488">
        <v>10077838805661</v>
      </c>
      <c r="Y488" t="s">
        <v>2446</v>
      </c>
      <c r="Z488" t="s">
        <v>1587</v>
      </c>
      <c r="AA488" t="s">
        <v>1846</v>
      </c>
      <c r="AB488" t="s">
        <v>462</v>
      </c>
      <c r="AC488" t="s">
        <v>518</v>
      </c>
      <c r="AD488" t="s">
        <v>301</v>
      </c>
      <c r="AE488" t="s">
        <v>204</v>
      </c>
      <c r="AF488" t="s">
        <v>456</v>
      </c>
      <c r="AG488">
        <v>392410.2</v>
      </c>
      <c r="AH488">
        <v>65</v>
      </c>
      <c r="AM488" t="s">
        <v>1717</v>
      </c>
      <c r="AN488" t="s">
        <v>192</v>
      </c>
    </row>
    <row r="489" spans="1:102" x14ac:dyDescent="0.25">
      <c r="A489" t="s">
        <v>2625</v>
      </c>
      <c r="B489" t="e">
        <f>_xlfn.XLOOKUP(C489,'[1]Image URL'!$E:$E,'[1]Image URL'!$A:$A)</f>
        <v>#N/A</v>
      </c>
      <c r="C489" t="s">
        <v>2770</v>
      </c>
      <c r="D489" t="s">
        <v>2626</v>
      </c>
      <c r="E489" t="s">
        <v>1574</v>
      </c>
      <c r="H489" t="s">
        <v>670</v>
      </c>
      <c r="J489" t="s">
        <v>195</v>
      </c>
      <c r="M489" t="s">
        <v>847</v>
      </c>
      <c r="T489" t="s">
        <v>508</v>
      </c>
      <c r="U489" t="s">
        <v>1459</v>
      </c>
      <c r="V489" t="s">
        <v>1385</v>
      </c>
      <c r="W489">
        <v>77838888100</v>
      </c>
      <c r="X489">
        <v>10077838888107</v>
      </c>
      <c r="Y489" t="s">
        <v>2045</v>
      </c>
      <c r="Z489" t="s">
        <v>2627</v>
      </c>
      <c r="AA489" t="s">
        <v>445</v>
      </c>
      <c r="AB489" t="s">
        <v>1273</v>
      </c>
      <c r="AC489" t="s">
        <v>2628</v>
      </c>
      <c r="AD489" t="s">
        <v>2049</v>
      </c>
      <c r="AE489" t="s">
        <v>802</v>
      </c>
      <c r="AF489" t="s">
        <v>315</v>
      </c>
      <c r="AG489">
        <v>392410.4</v>
      </c>
      <c r="AH489">
        <v>60</v>
      </c>
      <c r="BH489" t="s">
        <v>2629</v>
      </c>
      <c r="BI489" t="s">
        <v>1575</v>
      </c>
      <c r="CQ489" t="s">
        <v>1571</v>
      </c>
    </row>
    <row r="490" spans="1:102" x14ac:dyDescent="0.25">
      <c r="A490" t="s">
        <v>2630</v>
      </c>
      <c r="B490" t="e">
        <f>_xlfn.XLOOKUP(C490,'[1]Image URL'!$E:$E,'[1]Image URL'!$A:$A)</f>
        <v>#N/A</v>
      </c>
      <c r="C490">
        <v>4356325</v>
      </c>
      <c r="D490" t="s">
        <v>2631</v>
      </c>
      <c r="E490" t="s">
        <v>1574</v>
      </c>
      <c r="F490" t="s">
        <v>1714</v>
      </c>
      <c r="G490" t="s">
        <v>324</v>
      </c>
      <c r="H490" t="s">
        <v>2044</v>
      </c>
      <c r="J490" t="s">
        <v>195</v>
      </c>
      <c r="U490" t="s">
        <v>1459</v>
      </c>
      <c r="V490" t="s">
        <v>1385</v>
      </c>
      <c r="W490">
        <v>77838888087</v>
      </c>
      <c r="X490">
        <v>10077838888084</v>
      </c>
      <c r="Y490" t="s">
        <v>2045</v>
      </c>
      <c r="Z490" t="s">
        <v>1752</v>
      </c>
      <c r="AA490" t="s">
        <v>2046</v>
      </c>
      <c r="AB490" t="s">
        <v>2047</v>
      </c>
      <c r="AC490" t="s">
        <v>2048</v>
      </c>
      <c r="AD490" t="s">
        <v>2049</v>
      </c>
      <c r="AE490" t="s">
        <v>802</v>
      </c>
      <c r="AF490" t="s">
        <v>315</v>
      </c>
      <c r="AG490">
        <v>392410.2</v>
      </c>
      <c r="AH490">
        <v>60</v>
      </c>
    </row>
    <row r="491" spans="1:102" x14ac:dyDescent="0.25">
      <c r="A491" t="s">
        <v>2632</v>
      </c>
      <c r="B491" t="e">
        <f>_xlfn.XLOOKUP(C491,'[1]Image URL'!$E:$E,'[1]Image URL'!$A:$A)</f>
        <v>#N/A</v>
      </c>
      <c r="C491" t="s">
        <v>2775</v>
      </c>
      <c r="D491" t="s">
        <v>2633</v>
      </c>
      <c r="E491" t="s">
        <v>2203</v>
      </c>
      <c r="H491" t="s">
        <v>2204</v>
      </c>
      <c r="J491" t="s">
        <v>195</v>
      </c>
      <c r="U491" t="s">
        <v>1459</v>
      </c>
      <c r="V491" t="s">
        <v>1385</v>
      </c>
      <c r="W491">
        <v>77838823958</v>
      </c>
      <c r="X491">
        <v>10077838823955</v>
      </c>
      <c r="Y491" t="s">
        <v>955</v>
      </c>
      <c r="Z491" t="s">
        <v>1612</v>
      </c>
      <c r="AA491" t="s">
        <v>1374</v>
      </c>
      <c r="AB491" t="s">
        <v>578</v>
      </c>
      <c r="AC491" t="s">
        <v>361</v>
      </c>
      <c r="AD491" t="s">
        <v>1851</v>
      </c>
      <c r="AE491" t="s">
        <v>507</v>
      </c>
      <c r="AF491" t="s">
        <v>185</v>
      </c>
      <c r="AG491">
        <v>392410.2</v>
      </c>
      <c r="AH491">
        <v>65</v>
      </c>
      <c r="AM491" t="s">
        <v>2205</v>
      </c>
      <c r="AN491" t="s">
        <v>2206</v>
      </c>
      <c r="AT491" t="s">
        <v>2204</v>
      </c>
    </row>
    <row r="492" spans="1:102" x14ac:dyDescent="0.25">
      <c r="A492" t="s">
        <v>2634</v>
      </c>
      <c r="B492" t="e">
        <f>_xlfn.XLOOKUP(C492,'[1]Image URL'!$E:$E,'[1]Image URL'!$A:$A)</f>
        <v>#N/A</v>
      </c>
      <c r="C492">
        <v>695607</v>
      </c>
      <c r="D492" t="s">
        <v>2635</v>
      </c>
      <c r="E492" t="s">
        <v>1574</v>
      </c>
      <c r="F492" t="s">
        <v>1487</v>
      </c>
      <c r="G492" t="s">
        <v>1487</v>
      </c>
      <c r="H492" t="s">
        <v>1650</v>
      </c>
      <c r="J492" t="s">
        <v>195</v>
      </c>
      <c r="U492" t="s">
        <v>1459</v>
      </c>
      <c r="V492" t="s">
        <v>1385</v>
      </c>
      <c r="W492">
        <v>77838885567</v>
      </c>
      <c r="X492">
        <v>10077838885564</v>
      </c>
      <c r="Y492" t="s">
        <v>1191</v>
      </c>
      <c r="Z492" t="s">
        <v>1560</v>
      </c>
      <c r="AA492" t="s">
        <v>1371</v>
      </c>
      <c r="AB492" t="s">
        <v>1371</v>
      </c>
      <c r="AC492" t="s">
        <v>1367</v>
      </c>
      <c r="AD492" t="s">
        <v>1851</v>
      </c>
      <c r="AE492" t="s">
        <v>507</v>
      </c>
      <c r="AF492" t="s">
        <v>185</v>
      </c>
      <c r="AG492">
        <v>392410.2</v>
      </c>
      <c r="AH492">
        <v>60</v>
      </c>
      <c r="AL492" t="s">
        <v>2306</v>
      </c>
      <c r="AN492" t="s">
        <v>2307</v>
      </c>
      <c r="CX492" t="s">
        <v>466</v>
      </c>
    </row>
    <row r="493" spans="1:102" x14ac:dyDescent="0.25">
      <c r="A493" t="s">
        <v>2636</v>
      </c>
      <c r="B493" t="e">
        <f>_xlfn.XLOOKUP(C493,'[1]Image URL'!$E:$E,'[1]Image URL'!$A:$A)</f>
        <v>#N/A</v>
      </c>
      <c r="C493">
        <v>4352102</v>
      </c>
      <c r="D493" t="s">
        <v>2637</v>
      </c>
      <c r="E493" t="s">
        <v>1537</v>
      </c>
      <c r="F493" t="s">
        <v>861</v>
      </c>
      <c r="G493" t="s">
        <v>861</v>
      </c>
      <c r="H493" t="s">
        <v>2150</v>
      </c>
      <c r="M493" t="s">
        <v>1527</v>
      </c>
      <c r="T493" t="s">
        <v>1880</v>
      </c>
      <c r="U493" t="s">
        <v>1459</v>
      </c>
      <c r="V493" t="s">
        <v>1385</v>
      </c>
      <c r="W493">
        <v>77838887448</v>
      </c>
      <c r="X493">
        <v>10077838887445</v>
      </c>
      <c r="Y493" t="s">
        <v>2151</v>
      </c>
      <c r="Z493" t="s">
        <v>1509</v>
      </c>
      <c r="AA493" t="s">
        <v>2152</v>
      </c>
      <c r="AB493" t="s">
        <v>1794</v>
      </c>
      <c r="AC493" t="s">
        <v>800</v>
      </c>
      <c r="AD493" t="s">
        <v>2153</v>
      </c>
      <c r="AE493" t="s">
        <v>303</v>
      </c>
      <c r="AF493" t="s">
        <v>315</v>
      </c>
      <c r="AG493">
        <v>392410.2</v>
      </c>
      <c r="AH493">
        <v>70</v>
      </c>
      <c r="AL493" t="s">
        <v>2154</v>
      </c>
      <c r="CS493" t="s">
        <v>2155</v>
      </c>
      <c r="CT493" t="s">
        <v>2156</v>
      </c>
      <c r="CU493" t="s">
        <v>2157</v>
      </c>
      <c r="CV493" t="s">
        <v>2158</v>
      </c>
    </row>
    <row r="494" spans="1:102" x14ac:dyDescent="0.25">
      <c r="A494" t="s">
        <v>2638</v>
      </c>
      <c r="B494" t="e">
        <f>_xlfn.XLOOKUP(C494,'[1]Image URL'!$E:$E,'[1]Image URL'!$A:$A)</f>
        <v>#N/A</v>
      </c>
      <c r="C494">
        <v>5310923</v>
      </c>
      <c r="D494" t="s">
        <v>2639</v>
      </c>
      <c r="E494" t="s">
        <v>2465</v>
      </c>
      <c r="F494" t="s">
        <v>242</v>
      </c>
      <c r="G494" t="s">
        <v>145</v>
      </c>
      <c r="H494" t="s">
        <v>1585</v>
      </c>
      <c r="J494" t="s">
        <v>195</v>
      </c>
      <c r="U494" t="s">
        <v>1459</v>
      </c>
      <c r="V494" t="s">
        <v>1385</v>
      </c>
      <c r="W494">
        <v>77838225608</v>
      </c>
      <c r="X494">
        <v>10077838125608</v>
      </c>
      <c r="Y494" t="s">
        <v>1559</v>
      </c>
      <c r="Z494" t="s">
        <v>844</v>
      </c>
      <c r="AA494" t="s">
        <v>2307</v>
      </c>
      <c r="AB494" t="s">
        <v>536</v>
      </c>
      <c r="AC494" t="s">
        <v>345</v>
      </c>
      <c r="AD494" t="s">
        <v>162</v>
      </c>
      <c r="AE494" t="s">
        <v>303</v>
      </c>
      <c r="AF494" t="s">
        <v>349</v>
      </c>
      <c r="AG494">
        <v>392410.2</v>
      </c>
      <c r="AH494">
        <v>60</v>
      </c>
      <c r="AT494" t="s">
        <v>1585</v>
      </c>
    </row>
    <row r="495" spans="1:102" x14ac:dyDescent="0.25">
      <c r="A495" t="s">
        <v>2640</v>
      </c>
      <c r="B495" t="e">
        <f>_xlfn.XLOOKUP(C495,'[1]Image URL'!$E:$E,'[1]Image URL'!$A:$A)</f>
        <v>#N/A</v>
      </c>
      <c r="C495">
        <v>6400206</v>
      </c>
      <c r="D495" t="s">
        <v>2641</v>
      </c>
      <c r="E495" t="s">
        <v>2203</v>
      </c>
      <c r="H495" t="s">
        <v>2204</v>
      </c>
      <c r="J495" t="s">
        <v>195</v>
      </c>
      <c r="U495" t="s">
        <v>1459</v>
      </c>
      <c r="V495" t="s">
        <v>1385</v>
      </c>
      <c r="W495">
        <v>77838823996</v>
      </c>
      <c r="X495">
        <v>10077838823993</v>
      </c>
      <c r="Y495" t="s">
        <v>955</v>
      </c>
      <c r="Z495" t="s">
        <v>1612</v>
      </c>
      <c r="AA495" t="s">
        <v>1374</v>
      </c>
      <c r="AB495" t="s">
        <v>578</v>
      </c>
      <c r="AC495" t="s">
        <v>361</v>
      </c>
      <c r="AD495" t="s">
        <v>1851</v>
      </c>
      <c r="AE495" t="s">
        <v>507</v>
      </c>
      <c r="AF495" t="s">
        <v>185</v>
      </c>
      <c r="AG495">
        <v>392410.2</v>
      </c>
      <c r="AH495">
        <v>65</v>
      </c>
      <c r="AM495" t="s">
        <v>2205</v>
      </c>
      <c r="AN495" t="s">
        <v>2206</v>
      </c>
      <c r="AT495" t="s">
        <v>2204</v>
      </c>
    </row>
    <row r="496" spans="1:102" x14ac:dyDescent="0.25">
      <c r="A496" t="s">
        <v>2642</v>
      </c>
      <c r="B496" t="e">
        <f>_xlfn.XLOOKUP(C496,'[1]Image URL'!$E:$E,'[1]Image URL'!$A:$A)</f>
        <v>#N/A</v>
      </c>
      <c r="C496">
        <v>4350105</v>
      </c>
      <c r="D496" t="s">
        <v>2643</v>
      </c>
      <c r="E496" t="s">
        <v>1566</v>
      </c>
      <c r="H496" t="s">
        <v>1600</v>
      </c>
      <c r="J496" t="s">
        <v>195</v>
      </c>
      <c r="U496" t="s">
        <v>1459</v>
      </c>
      <c r="V496" t="s">
        <v>1385</v>
      </c>
      <c r="W496">
        <v>77838888889</v>
      </c>
      <c r="X496">
        <v>10077838888886</v>
      </c>
      <c r="Y496" t="s">
        <v>1601</v>
      </c>
      <c r="Z496" t="s">
        <v>680</v>
      </c>
      <c r="AA496" t="s">
        <v>1602</v>
      </c>
      <c r="AB496" t="s">
        <v>1602</v>
      </c>
      <c r="AC496" t="s">
        <v>346</v>
      </c>
      <c r="AD496" t="s">
        <v>234</v>
      </c>
      <c r="AE496" t="s">
        <v>204</v>
      </c>
      <c r="AF496" t="s">
        <v>315</v>
      </c>
      <c r="AG496">
        <v>392410.2</v>
      </c>
      <c r="AH496">
        <v>65</v>
      </c>
      <c r="AN496" t="s">
        <v>329</v>
      </c>
    </row>
    <row r="497" spans="1:101" x14ac:dyDescent="0.25">
      <c r="A497" t="s">
        <v>2644</v>
      </c>
      <c r="B497" t="e">
        <f>_xlfn.XLOOKUP(C497,'[1]Image URL'!$E:$E,'[1]Image URL'!$A:$A)</f>
        <v>#N/A</v>
      </c>
      <c r="C497" t="s">
        <v>2793</v>
      </c>
      <c r="D497" t="s">
        <v>2645</v>
      </c>
      <c r="E497" t="s">
        <v>1697</v>
      </c>
      <c r="H497" t="s">
        <v>575</v>
      </c>
      <c r="J497" t="s">
        <v>195</v>
      </c>
      <c r="M497" t="s">
        <v>1711</v>
      </c>
      <c r="T497" t="s">
        <v>1880</v>
      </c>
      <c r="U497" t="s">
        <v>1459</v>
      </c>
      <c r="V497" t="s">
        <v>1385</v>
      </c>
      <c r="W497">
        <v>77838872949</v>
      </c>
      <c r="X497">
        <v>10077838872946</v>
      </c>
      <c r="Y497" t="s">
        <v>1881</v>
      </c>
      <c r="Z497" t="s">
        <v>1475</v>
      </c>
      <c r="AA497" t="s">
        <v>1882</v>
      </c>
      <c r="AB497" t="s">
        <v>1882</v>
      </c>
      <c r="AC497" t="s">
        <v>1883</v>
      </c>
      <c r="AD497" t="s">
        <v>1884</v>
      </c>
      <c r="AE497" t="s">
        <v>315</v>
      </c>
      <c r="AF497" t="s">
        <v>403</v>
      </c>
      <c r="AG497">
        <v>392410.2</v>
      </c>
      <c r="AH497">
        <v>85</v>
      </c>
      <c r="AN497" t="s">
        <v>188</v>
      </c>
    </row>
    <row r="498" spans="1:101" x14ac:dyDescent="0.25">
      <c r="A498" t="s">
        <v>2646</v>
      </c>
      <c r="B498" t="e">
        <f>_xlfn.XLOOKUP(C498,'[1]Image URL'!$E:$E,'[1]Image URL'!$A:$A)</f>
        <v>#N/A</v>
      </c>
      <c r="C498" t="s">
        <v>2796</v>
      </c>
      <c r="D498" t="s">
        <v>2647</v>
      </c>
      <c r="E498" t="s">
        <v>1507</v>
      </c>
      <c r="F498" t="s">
        <v>1672</v>
      </c>
      <c r="G498" t="s">
        <v>1672</v>
      </c>
      <c r="H498" t="s">
        <v>1567</v>
      </c>
      <c r="J498" t="s">
        <v>195</v>
      </c>
      <c r="U498" t="s">
        <v>1459</v>
      </c>
      <c r="V498" t="s">
        <v>1385</v>
      </c>
      <c r="W498">
        <v>77838870365</v>
      </c>
      <c r="X498">
        <v>10077838870362</v>
      </c>
      <c r="Y498" t="s">
        <v>1673</v>
      </c>
      <c r="Z498" t="s">
        <v>1652</v>
      </c>
      <c r="AA498" t="s">
        <v>668</v>
      </c>
      <c r="AB498" t="s">
        <v>668</v>
      </c>
      <c r="AC498" t="s">
        <v>1674</v>
      </c>
      <c r="AD498" t="s">
        <v>555</v>
      </c>
      <c r="AE498" t="s">
        <v>315</v>
      </c>
      <c r="AF498" t="s">
        <v>268</v>
      </c>
      <c r="AG498">
        <v>392410.2</v>
      </c>
      <c r="AH498">
        <v>65</v>
      </c>
      <c r="AL498" t="s">
        <v>1675</v>
      </c>
      <c r="AN498" t="s">
        <v>451</v>
      </c>
      <c r="CW498" t="s">
        <v>1571</v>
      </c>
    </row>
    <row r="499" spans="1:101" x14ac:dyDescent="0.25">
      <c r="A499" t="s">
        <v>2648</v>
      </c>
      <c r="B499" t="e">
        <f>_xlfn.XLOOKUP(C499,'[1]Image URL'!$E:$E,'[1]Image URL'!$A:$A)</f>
        <v>#N/A</v>
      </c>
      <c r="C499">
        <v>5310937</v>
      </c>
      <c r="D499" t="s">
        <v>2649</v>
      </c>
      <c r="E499" t="s">
        <v>2052</v>
      </c>
      <c r="F499" t="s">
        <v>1999</v>
      </c>
      <c r="G499" t="s">
        <v>1999</v>
      </c>
      <c r="H499" t="s">
        <v>2053</v>
      </c>
      <c r="J499" t="s">
        <v>195</v>
      </c>
      <c r="U499" t="s">
        <v>1459</v>
      </c>
      <c r="V499" t="s">
        <v>1385</v>
      </c>
      <c r="W499">
        <v>77838823071</v>
      </c>
      <c r="X499">
        <v>10077838823078</v>
      </c>
      <c r="Y499" t="s">
        <v>2054</v>
      </c>
      <c r="Z499" t="s">
        <v>1764</v>
      </c>
      <c r="AA499" t="s">
        <v>807</v>
      </c>
      <c r="AB499" t="s">
        <v>775</v>
      </c>
      <c r="AC499" t="s">
        <v>395</v>
      </c>
      <c r="AD499" t="s">
        <v>402</v>
      </c>
      <c r="AE499" t="s">
        <v>349</v>
      </c>
      <c r="AF499" t="s">
        <v>315</v>
      </c>
      <c r="AG499">
        <v>392410.2</v>
      </c>
      <c r="AH499">
        <v>65</v>
      </c>
      <c r="AL499" t="s">
        <v>1660</v>
      </c>
      <c r="AN499" t="s">
        <v>2055</v>
      </c>
      <c r="AT499" t="s">
        <v>2053</v>
      </c>
    </row>
    <row r="500" spans="1:101" x14ac:dyDescent="0.25">
      <c r="A500" t="s">
        <v>2650</v>
      </c>
      <c r="B500" t="e">
        <f>_xlfn.XLOOKUP(C500,'[1]Image URL'!$E:$E,'[1]Image URL'!$A:$A)</f>
        <v>#N/A</v>
      </c>
      <c r="C500">
        <v>690707</v>
      </c>
      <c r="D500" t="s">
        <v>2651</v>
      </c>
      <c r="E500" t="s">
        <v>1507</v>
      </c>
      <c r="F500" t="s">
        <v>457</v>
      </c>
      <c r="G500" t="s">
        <v>466</v>
      </c>
      <c r="H500" t="s">
        <v>193</v>
      </c>
      <c r="J500" t="s">
        <v>195</v>
      </c>
      <c r="U500" t="s">
        <v>1459</v>
      </c>
      <c r="V500" t="s">
        <v>1385</v>
      </c>
      <c r="W500">
        <v>77838870709</v>
      </c>
      <c r="X500">
        <v>10077838870706</v>
      </c>
      <c r="Y500" t="s">
        <v>1892</v>
      </c>
      <c r="Z500" t="s">
        <v>1475</v>
      </c>
      <c r="AA500" t="s">
        <v>542</v>
      </c>
      <c r="AB500" t="s">
        <v>462</v>
      </c>
      <c r="AC500" t="s">
        <v>288</v>
      </c>
      <c r="AD500" t="s">
        <v>1562</v>
      </c>
      <c r="AE500" t="s">
        <v>184</v>
      </c>
      <c r="AF500" t="s">
        <v>268</v>
      </c>
      <c r="AG500">
        <v>392410.2</v>
      </c>
      <c r="AH500">
        <v>70</v>
      </c>
      <c r="AL500" t="s">
        <v>1893</v>
      </c>
    </row>
    <row r="501" spans="1:101" x14ac:dyDescent="0.25">
      <c r="A501" t="s">
        <v>2652</v>
      </c>
      <c r="B501" t="e">
        <f>_xlfn.XLOOKUP(C501,'[1]Image URL'!$E:$E,'[1]Image URL'!$A:$A)</f>
        <v>#N/A</v>
      </c>
      <c r="C501">
        <v>3301242</v>
      </c>
      <c r="D501" t="s">
        <v>2653</v>
      </c>
      <c r="E501" t="s">
        <v>2654</v>
      </c>
      <c r="F501" t="s">
        <v>2655</v>
      </c>
      <c r="G501" t="s">
        <v>2655</v>
      </c>
      <c r="H501" t="s">
        <v>1858</v>
      </c>
      <c r="J501" t="s">
        <v>195</v>
      </c>
      <c r="U501" t="s">
        <v>1459</v>
      </c>
      <c r="V501" t="s">
        <v>1385</v>
      </c>
      <c r="W501">
        <v>77838197646</v>
      </c>
      <c r="X501">
        <v>10077838097646</v>
      </c>
      <c r="Y501" t="s">
        <v>2656</v>
      </c>
      <c r="Z501" t="s">
        <v>2657</v>
      </c>
      <c r="AA501" t="s">
        <v>2658</v>
      </c>
      <c r="AB501" t="s">
        <v>882</v>
      </c>
      <c r="AC501" t="s">
        <v>578</v>
      </c>
      <c r="AD501" t="s">
        <v>588</v>
      </c>
      <c r="AE501" t="s">
        <v>268</v>
      </c>
      <c r="AF501" t="s">
        <v>164</v>
      </c>
      <c r="AG501">
        <v>392410.2</v>
      </c>
      <c r="AH501">
        <v>65</v>
      </c>
      <c r="AL501" t="s">
        <v>2659</v>
      </c>
      <c r="AT501" t="s">
        <v>1858</v>
      </c>
    </row>
    <row r="502" spans="1:101" x14ac:dyDescent="0.25">
      <c r="A502" t="s">
        <v>2660</v>
      </c>
      <c r="B502" t="e">
        <f>_xlfn.XLOOKUP(C502,'[1]Image URL'!$E:$E,'[1]Image URL'!$A:$A)</f>
        <v>#N/A</v>
      </c>
      <c r="C502">
        <v>5311037</v>
      </c>
      <c r="D502" t="s">
        <v>2661</v>
      </c>
      <c r="E502" t="s">
        <v>1548</v>
      </c>
      <c r="H502" t="s">
        <v>1549</v>
      </c>
      <c r="J502" t="s">
        <v>195</v>
      </c>
      <c r="U502" t="s">
        <v>1459</v>
      </c>
      <c r="V502" t="s">
        <v>1385</v>
      </c>
      <c r="W502">
        <v>77838210451</v>
      </c>
      <c r="X502">
        <v>10077838110451</v>
      </c>
      <c r="Y502" t="s">
        <v>1550</v>
      </c>
      <c r="Z502" t="s">
        <v>1551</v>
      </c>
      <c r="AA502" t="s">
        <v>807</v>
      </c>
      <c r="AB502" t="s">
        <v>1178</v>
      </c>
      <c r="AC502" t="s">
        <v>549</v>
      </c>
      <c r="AD502" t="s">
        <v>1552</v>
      </c>
      <c r="AE502" t="s">
        <v>349</v>
      </c>
      <c r="AF502" t="s">
        <v>164</v>
      </c>
      <c r="AG502">
        <v>392410.2</v>
      </c>
      <c r="AH502">
        <v>65</v>
      </c>
      <c r="AN502" t="s">
        <v>1553</v>
      </c>
      <c r="AT502" t="s">
        <v>1549</v>
      </c>
    </row>
    <row r="503" spans="1:101" x14ac:dyDescent="0.25">
      <c r="A503" t="s">
        <v>2662</v>
      </c>
      <c r="B503" t="e">
        <f>_xlfn.XLOOKUP(C503,'[1]Image URL'!$E:$E,'[1]Image URL'!$A:$A)</f>
        <v>#N/A</v>
      </c>
      <c r="C503">
        <v>3308602</v>
      </c>
      <c r="D503" t="s">
        <v>2663</v>
      </c>
      <c r="E503" t="s">
        <v>2203</v>
      </c>
      <c r="H503" t="s">
        <v>2204</v>
      </c>
      <c r="J503" t="s">
        <v>195</v>
      </c>
      <c r="U503" t="s">
        <v>1459</v>
      </c>
      <c r="V503" t="s">
        <v>1385</v>
      </c>
      <c r="W503">
        <v>77838823972</v>
      </c>
      <c r="X503">
        <v>10077838823979</v>
      </c>
      <c r="Y503" t="s">
        <v>955</v>
      </c>
      <c r="Z503" t="s">
        <v>1612</v>
      </c>
      <c r="AA503" t="s">
        <v>1374</v>
      </c>
      <c r="AB503" t="s">
        <v>578</v>
      </c>
      <c r="AC503" t="s">
        <v>361</v>
      </c>
      <c r="AD503" t="s">
        <v>1851</v>
      </c>
      <c r="AE503" t="s">
        <v>507</v>
      </c>
      <c r="AF503" t="s">
        <v>185</v>
      </c>
      <c r="AG503">
        <v>392410.2</v>
      </c>
      <c r="AH503">
        <v>65</v>
      </c>
      <c r="AM503" t="s">
        <v>2205</v>
      </c>
      <c r="AN503" t="s">
        <v>2206</v>
      </c>
      <c r="AT503" t="s">
        <v>2204</v>
      </c>
    </row>
    <row r="504" spans="1:101" x14ac:dyDescent="0.25">
      <c r="A504" t="s">
        <v>2664</v>
      </c>
      <c r="B504" t="e">
        <f>_xlfn.XLOOKUP(C504,'[1]Image URL'!$E:$E,'[1]Image URL'!$A:$A)</f>
        <v>#N/A</v>
      </c>
      <c r="C504">
        <v>6402318</v>
      </c>
      <c r="D504" t="s">
        <v>2665</v>
      </c>
      <c r="E504" t="s">
        <v>1697</v>
      </c>
      <c r="H504" t="s">
        <v>2064</v>
      </c>
      <c r="J504" t="s">
        <v>195</v>
      </c>
      <c r="M504" t="s">
        <v>1461</v>
      </c>
      <c r="T504" t="s">
        <v>2065</v>
      </c>
      <c r="U504" t="s">
        <v>1459</v>
      </c>
      <c r="V504" t="s">
        <v>1385</v>
      </c>
      <c r="W504">
        <v>77838870297</v>
      </c>
      <c r="X504">
        <v>10077838870294</v>
      </c>
      <c r="Y504" t="s">
        <v>2066</v>
      </c>
      <c r="Z504" t="s">
        <v>1579</v>
      </c>
      <c r="AA504" t="s">
        <v>2067</v>
      </c>
      <c r="AB504" t="s">
        <v>298</v>
      </c>
      <c r="AC504" t="s">
        <v>288</v>
      </c>
      <c r="AD504" t="s">
        <v>997</v>
      </c>
      <c r="AE504" t="s">
        <v>268</v>
      </c>
      <c r="AF504" t="s">
        <v>268</v>
      </c>
      <c r="AG504">
        <v>392410.2</v>
      </c>
      <c r="AH504">
        <v>70</v>
      </c>
      <c r="AN504" t="s">
        <v>466</v>
      </c>
    </row>
    <row r="505" spans="1:101" x14ac:dyDescent="0.25">
      <c r="A505" t="s">
        <v>2666</v>
      </c>
      <c r="B505" t="e">
        <f>_xlfn.XLOOKUP(C505,'[1]Image URL'!$E:$E,'[1]Image URL'!$A:$A)</f>
        <v>#N/A</v>
      </c>
      <c r="C505">
        <v>4381402</v>
      </c>
      <c r="D505" t="s">
        <v>2667</v>
      </c>
      <c r="E505" t="s">
        <v>1566</v>
      </c>
      <c r="H505" t="s">
        <v>1567</v>
      </c>
      <c r="J505" t="s">
        <v>195</v>
      </c>
      <c r="U505" t="s">
        <v>1459</v>
      </c>
      <c r="V505" t="s">
        <v>1385</v>
      </c>
      <c r="W505">
        <v>77838869970</v>
      </c>
      <c r="X505">
        <v>10077838869977</v>
      </c>
      <c r="Y505" t="s">
        <v>1568</v>
      </c>
      <c r="Z505" t="s">
        <v>1560</v>
      </c>
      <c r="AA505" t="s">
        <v>472</v>
      </c>
      <c r="AB505" t="s">
        <v>472</v>
      </c>
      <c r="AC505" t="s">
        <v>188</v>
      </c>
      <c r="AD505" t="s">
        <v>1569</v>
      </c>
      <c r="AE505" t="s">
        <v>507</v>
      </c>
      <c r="AF505" t="s">
        <v>268</v>
      </c>
      <c r="AG505">
        <v>392410.2</v>
      </c>
      <c r="AH505">
        <v>65</v>
      </c>
      <c r="AN505" t="s">
        <v>1570</v>
      </c>
      <c r="CW505" t="s">
        <v>1571</v>
      </c>
    </row>
    <row r="506" spans="1:101" x14ac:dyDescent="0.25">
      <c r="A506" t="s">
        <v>2668</v>
      </c>
      <c r="B506" t="e">
        <f>_xlfn.XLOOKUP(C506,'[1]Image URL'!$E:$E,'[1]Image URL'!$A:$A)</f>
        <v>#N/A</v>
      </c>
      <c r="C506">
        <v>3301002</v>
      </c>
      <c r="D506" t="s">
        <v>2669</v>
      </c>
      <c r="E506" t="s">
        <v>1574</v>
      </c>
      <c r="F506" t="s">
        <v>466</v>
      </c>
      <c r="G506" t="s">
        <v>466</v>
      </c>
      <c r="H506" t="s">
        <v>340</v>
      </c>
      <c r="J506" t="s">
        <v>195</v>
      </c>
      <c r="M506" t="s">
        <v>1461</v>
      </c>
      <c r="T506" t="s">
        <v>1869</v>
      </c>
      <c r="U506" t="s">
        <v>1459</v>
      </c>
      <c r="V506" t="s">
        <v>1385</v>
      </c>
      <c r="W506">
        <v>77838885628</v>
      </c>
      <c r="X506">
        <v>10077838885625</v>
      </c>
      <c r="Y506" t="s">
        <v>1970</v>
      </c>
      <c r="Z506" t="s">
        <v>884</v>
      </c>
      <c r="AA506" t="s">
        <v>1971</v>
      </c>
      <c r="AB506" t="s">
        <v>1972</v>
      </c>
      <c r="AC506" t="s">
        <v>1973</v>
      </c>
      <c r="AD506" t="s">
        <v>1765</v>
      </c>
      <c r="AE506" t="s">
        <v>204</v>
      </c>
      <c r="AF506" t="s">
        <v>164</v>
      </c>
      <c r="AG506">
        <v>392410.2</v>
      </c>
      <c r="AH506">
        <v>65</v>
      </c>
      <c r="AL506" t="s">
        <v>1974</v>
      </c>
      <c r="BH506" t="s">
        <v>466</v>
      </c>
      <c r="BI506" t="s">
        <v>211</v>
      </c>
      <c r="CQ506" t="s">
        <v>340</v>
      </c>
    </row>
    <row r="507" spans="1:101" x14ac:dyDescent="0.25">
      <c r="A507" t="s">
        <v>2670</v>
      </c>
      <c r="B507" t="e">
        <f>_xlfn.XLOOKUP(C507,'[1]Image URL'!$E:$E,'[1]Image URL'!$A:$A)</f>
        <v>#N/A</v>
      </c>
      <c r="C507">
        <v>5310338</v>
      </c>
      <c r="D507" t="s">
        <v>2671</v>
      </c>
      <c r="E507" t="s">
        <v>2318</v>
      </c>
      <c r="H507" t="s">
        <v>1726</v>
      </c>
      <c r="J507" t="s">
        <v>195</v>
      </c>
      <c r="U507" t="s">
        <v>1459</v>
      </c>
      <c r="V507" t="s">
        <v>1385</v>
      </c>
      <c r="W507">
        <v>77838594889</v>
      </c>
      <c r="X507">
        <v>10077838094881</v>
      </c>
      <c r="Y507" t="s">
        <v>2319</v>
      </c>
      <c r="Z507" t="s">
        <v>2320</v>
      </c>
      <c r="AA507" t="s">
        <v>385</v>
      </c>
      <c r="AB507" t="s">
        <v>2321</v>
      </c>
      <c r="AC507" t="s">
        <v>868</v>
      </c>
      <c r="AD507" t="s">
        <v>426</v>
      </c>
      <c r="AE507" t="s">
        <v>302</v>
      </c>
      <c r="AF507" t="s">
        <v>268</v>
      </c>
      <c r="AG507">
        <v>392410.2</v>
      </c>
      <c r="AH507">
        <v>65</v>
      </c>
      <c r="AN507" t="s">
        <v>859</v>
      </c>
      <c r="AT507" t="s">
        <v>1726</v>
      </c>
    </row>
    <row r="508" spans="1:101" x14ac:dyDescent="0.25">
      <c r="A508" t="s">
        <v>2672</v>
      </c>
      <c r="B508" t="e">
        <f>_xlfn.XLOOKUP(C508,'[1]Image URL'!$E:$E,'[1]Image URL'!$A:$A)</f>
        <v>#N/A</v>
      </c>
      <c r="C508">
        <v>4354005</v>
      </c>
      <c r="D508" t="s">
        <v>2673</v>
      </c>
      <c r="E508" t="s">
        <v>2674</v>
      </c>
      <c r="H508" t="s">
        <v>1600</v>
      </c>
      <c r="J508" t="s">
        <v>195</v>
      </c>
      <c r="U508" t="s">
        <v>1459</v>
      </c>
      <c r="V508" t="s">
        <v>1385</v>
      </c>
      <c r="W508">
        <v>77838595060</v>
      </c>
      <c r="X508">
        <v>10077838095062</v>
      </c>
      <c r="Y508" t="s">
        <v>1233</v>
      </c>
      <c r="Z508" t="s">
        <v>1612</v>
      </c>
      <c r="AA508" t="s">
        <v>2675</v>
      </c>
      <c r="AB508" t="s">
        <v>2676</v>
      </c>
      <c r="AC508" t="s">
        <v>332</v>
      </c>
      <c r="AD508" t="s">
        <v>234</v>
      </c>
      <c r="AE508" t="s">
        <v>163</v>
      </c>
      <c r="AF508" t="s">
        <v>235</v>
      </c>
      <c r="AG508">
        <v>392410.2</v>
      </c>
      <c r="AH508">
        <v>65</v>
      </c>
      <c r="AN508" t="s">
        <v>2677</v>
      </c>
      <c r="AT508" t="s">
        <v>1600</v>
      </c>
    </row>
    <row r="509" spans="1:101" x14ac:dyDescent="0.25">
      <c r="A509" t="s">
        <v>2678</v>
      </c>
      <c r="B509" t="e">
        <f>_xlfn.XLOOKUP(C509,'[1]Image URL'!$E:$E,'[1]Image URL'!$A:$A)</f>
        <v>#N/A</v>
      </c>
      <c r="C509" t="s">
        <v>2825</v>
      </c>
      <c r="D509" t="s">
        <v>2679</v>
      </c>
      <c r="E509" t="s">
        <v>1678</v>
      </c>
      <c r="F509" t="s">
        <v>1679</v>
      </c>
      <c r="G509" t="s">
        <v>1679</v>
      </c>
      <c r="H509" t="s">
        <v>1423</v>
      </c>
      <c r="J509" t="s">
        <v>195</v>
      </c>
      <c r="U509" t="s">
        <v>1459</v>
      </c>
      <c r="V509" t="s">
        <v>1385</v>
      </c>
      <c r="W509">
        <v>77838233948</v>
      </c>
      <c r="X509">
        <v>10077838133948</v>
      </c>
      <c r="Y509" t="s">
        <v>1680</v>
      </c>
      <c r="Z509" t="s">
        <v>408</v>
      </c>
      <c r="AA509" t="s">
        <v>161</v>
      </c>
      <c r="AB509" t="s">
        <v>766</v>
      </c>
      <c r="AC509" t="s">
        <v>549</v>
      </c>
      <c r="AD509" t="s">
        <v>1681</v>
      </c>
      <c r="AE509" t="s">
        <v>204</v>
      </c>
      <c r="AF509" t="s">
        <v>403</v>
      </c>
      <c r="AG509">
        <v>392410.2</v>
      </c>
      <c r="AH509">
        <v>65</v>
      </c>
      <c r="AL509" t="s">
        <v>1682</v>
      </c>
      <c r="AM509" t="s">
        <v>1683</v>
      </c>
      <c r="AN509" t="s">
        <v>1679</v>
      </c>
      <c r="AT509" t="s">
        <v>1423</v>
      </c>
    </row>
    <row r="510" spans="1:101" x14ac:dyDescent="0.25">
      <c r="A510" t="s">
        <v>2680</v>
      </c>
      <c r="B510" t="e">
        <f>_xlfn.XLOOKUP(C510,'[1]Image URL'!$E:$E,'[1]Image URL'!$A:$A)</f>
        <v>#N/A</v>
      </c>
      <c r="C510" t="s">
        <v>2831</v>
      </c>
      <c r="D510" t="s">
        <v>2681</v>
      </c>
      <c r="E510" t="s">
        <v>2318</v>
      </c>
      <c r="H510" t="s">
        <v>1726</v>
      </c>
      <c r="J510" t="s">
        <v>195</v>
      </c>
      <c r="U510" t="s">
        <v>1459</v>
      </c>
      <c r="V510" t="s">
        <v>1385</v>
      </c>
      <c r="W510">
        <v>77838594865</v>
      </c>
      <c r="X510">
        <v>10077838094867</v>
      </c>
      <c r="Y510" t="s">
        <v>2319</v>
      </c>
      <c r="Z510" t="s">
        <v>2320</v>
      </c>
      <c r="AA510" t="s">
        <v>385</v>
      </c>
      <c r="AB510" t="s">
        <v>2321</v>
      </c>
      <c r="AC510" t="s">
        <v>868</v>
      </c>
      <c r="AD510" t="s">
        <v>426</v>
      </c>
      <c r="AE510" t="s">
        <v>302</v>
      </c>
      <c r="AF510" t="s">
        <v>268</v>
      </c>
      <c r="AG510">
        <v>392410.2</v>
      </c>
      <c r="AH510">
        <v>65</v>
      </c>
      <c r="AN510" t="s">
        <v>859</v>
      </c>
      <c r="AT510" t="s">
        <v>1726</v>
      </c>
    </row>
    <row r="511" spans="1:101" x14ac:dyDescent="0.25">
      <c r="A511" t="s">
        <v>2682</v>
      </c>
      <c r="B511" t="e">
        <f>_xlfn.XLOOKUP(C511,'[1]Image URL'!$E:$E,'[1]Image URL'!$A:$A)</f>
        <v>#N/A</v>
      </c>
      <c r="C511">
        <v>4352025</v>
      </c>
      <c r="D511" t="s">
        <v>2684</v>
      </c>
      <c r="E511" t="s">
        <v>2685</v>
      </c>
      <c r="H511" t="s">
        <v>1858</v>
      </c>
      <c r="J511" t="s">
        <v>195</v>
      </c>
      <c r="U511" t="s">
        <v>1459</v>
      </c>
      <c r="V511" t="s">
        <v>1385</v>
      </c>
      <c r="W511">
        <v>77838211229</v>
      </c>
      <c r="X511">
        <v>10077838111229</v>
      </c>
      <c r="Y511" t="s">
        <v>2686</v>
      </c>
      <c r="Z511" t="s">
        <v>2687</v>
      </c>
      <c r="AA511" t="s">
        <v>2688</v>
      </c>
      <c r="AB511" t="s">
        <v>475</v>
      </c>
      <c r="AC511" t="s">
        <v>220</v>
      </c>
      <c r="AD511" t="s">
        <v>446</v>
      </c>
      <c r="AE511" t="s">
        <v>268</v>
      </c>
      <c r="AF511" t="s">
        <v>235</v>
      </c>
      <c r="AG511">
        <v>392410.2</v>
      </c>
      <c r="AH511">
        <v>70</v>
      </c>
      <c r="AN511" t="s">
        <v>521</v>
      </c>
    </row>
    <row r="512" spans="1:101" x14ac:dyDescent="0.25">
      <c r="A512" t="s">
        <v>2689</v>
      </c>
      <c r="B512" t="e">
        <f>_xlfn.XLOOKUP(C512,'[1]Image URL'!$E:$E,'[1]Image URL'!$A:$A)</f>
        <v>#N/A</v>
      </c>
      <c r="C512">
        <v>4350335</v>
      </c>
      <c r="D512" t="s">
        <v>2691</v>
      </c>
      <c r="E512" t="s">
        <v>1910</v>
      </c>
      <c r="H512" t="s">
        <v>1911</v>
      </c>
      <c r="J512" t="s">
        <v>195</v>
      </c>
      <c r="U512" t="s">
        <v>1459</v>
      </c>
      <c r="V512" t="s">
        <v>1385</v>
      </c>
      <c r="W512">
        <v>77838812761</v>
      </c>
      <c r="X512">
        <v>10077838812768</v>
      </c>
      <c r="Y512" t="s">
        <v>967</v>
      </c>
      <c r="Z512" t="s">
        <v>1912</v>
      </c>
      <c r="AA512" t="s">
        <v>1913</v>
      </c>
      <c r="AB512" t="s">
        <v>462</v>
      </c>
      <c r="AC512" t="s">
        <v>866</v>
      </c>
      <c r="AD512" t="s">
        <v>301</v>
      </c>
      <c r="AE512" t="s">
        <v>349</v>
      </c>
      <c r="AF512" t="s">
        <v>235</v>
      </c>
      <c r="AG512">
        <v>392410.2</v>
      </c>
      <c r="AH512">
        <v>70</v>
      </c>
      <c r="AN512" t="s">
        <v>1553</v>
      </c>
      <c r="AT512" t="s">
        <v>1911</v>
      </c>
      <c r="CW512" t="s">
        <v>193</v>
      </c>
    </row>
    <row r="513" spans="1:100" x14ac:dyDescent="0.25">
      <c r="A513" t="s">
        <v>2692</v>
      </c>
      <c r="B513" t="e">
        <f>_xlfn.XLOOKUP(C513,'[1]Image URL'!$E:$E,'[1]Image URL'!$A:$A)</f>
        <v>#N/A</v>
      </c>
      <c r="C513">
        <v>5401953</v>
      </c>
      <c r="D513" t="s">
        <v>2693</v>
      </c>
      <c r="E513" t="s">
        <v>1574</v>
      </c>
      <c r="H513" t="s">
        <v>670</v>
      </c>
      <c r="J513" t="s">
        <v>195</v>
      </c>
      <c r="M513" t="s">
        <v>847</v>
      </c>
      <c r="T513" t="s">
        <v>508</v>
      </c>
      <c r="U513" t="s">
        <v>1459</v>
      </c>
      <c r="V513" t="s">
        <v>1385</v>
      </c>
      <c r="W513">
        <v>77838886168</v>
      </c>
      <c r="X513">
        <v>10077838886165</v>
      </c>
      <c r="Y513" t="s">
        <v>2045</v>
      </c>
      <c r="Z513" t="s">
        <v>2627</v>
      </c>
      <c r="AA513" t="s">
        <v>445</v>
      </c>
      <c r="AB513" t="s">
        <v>1273</v>
      </c>
      <c r="AC513" t="s">
        <v>2628</v>
      </c>
      <c r="AD513" t="s">
        <v>2049</v>
      </c>
      <c r="AE513" t="s">
        <v>802</v>
      </c>
      <c r="AF513" t="s">
        <v>315</v>
      </c>
      <c r="AG513">
        <v>392410.4</v>
      </c>
      <c r="AH513">
        <v>60</v>
      </c>
      <c r="BH513" t="s">
        <v>2629</v>
      </c>
      <c r="BI513" t="s">
        <v>1575</v>
      </c>
      <c r="CQ513" t="s">
        <v>1571</v>
      </c>
    </row>
    <row r="514" spans="1:100" x14ac:dyDescent="0.25">
      <c r="A514" t="s">
        <v>2694</v>
      </c>
      <c r="B514" t="e">
        <f>_xlfn.XLOOKUP(C514,'[1]Image URL'!$E:$E,'[1]Image URL'!$A:$A)</f>
        <v>#N/A</v>
      </c>
      <c r="C514">
        <v>4354042</v>
      </c>
      <c r="D514" t="s">
        <v>2695</v>
      </c>
      <c r="E514" t="s">
        <v>1656</v>
      </c>
      <c r="F514" t="s">
        <v>1657</v>
      </c>
      <c r="G514" t="s">
        <v>1657</v>
      </c>
      <c r="H514" t="s">
        <v>1658</v>
      </c>
      <c r="J514" t="s">
        <v>195</v>
      </c>
      <c r="U514" t="s">
        <v>1459</v>
      </c>
      <c r="V514" t="s">
        <v>1385</v>
      </c>
      <c r="W514">
        <v>77838822739</v>
      </c>
      <c r="X514">
        <v>10077838822736</v>
      </c>
      <c r="Y514" t="s">
        <v>1659</v>
      </c>
      <c r="Z514" t="s">
        <v>241</v>
      </c>
      <c r="AA514" t="s">
        <v>657</v>
      </c>
      <c r="AB514" t="s">
        <v>1371</v>
      </c>
      <c r="AC514" t="s">
        <v>836</v>
      </c>
      <c r="AD514" t="s">
        <v>301</v>
      </c>
      <c r="AE514" t="s">
        <v>349</v>
      </c>
      <c r="AF514" t="s">
        <v>235</v>
      </c>
      <c r="AG514">
        <v>392410.2</v>
      </c>
      <c r="AH514">
        <v>65</v>
      </c>
      <c r="AL514" t="s">
        <v>1660</v>
      </c>
      <c r="AN514" t="s">
        <v>1657</v>
      </c>
      <c r="AT514" t="s">
        <v>1658</v>
      </c>
    </row>
    <row r="515" spans="1:100" x14ac:dyDescent="0.25">
      <c r="A515" t="s">
        <v>2696</v>
      </c>
      <c r="B515" t="e">
        <f>_xlfn.XLOOKUP(C515,'[1]Image URL'!$E:$E,'[1]Image URL'!$A:$A)</f>
        <v>#N/A</v>
      </c>
      <c r="C515" t="s">
        <v>2845</v>
      </c>
      <c r="D515" t="s">
        <v>2202</v>
      </c>
      <c r="E515" t="s">
        <v>2052</v>
      </c>
      <c r="F515" t="s">
        <v>1999</v>
      </c>
      <c r="G515" t="s">
        <v>1999</v>
      </c>
      <c r="H515" t="s">
        <v>2053</v>
      </c>
      <c r="J515" t="s">
        <v>195</v>
      </c>
      <c r="U515" t="s">
        <v>1459</v>
      </c>
      <c r="V515" t="s">
        <v>1385</v>
      </c>
      <c r="W515">
        <v>77838823125</v>
      </c>
      <c r="X515">
        <v>10077838823122</v>
      </c>
      <c r="Y515" t="s">
        <v>2054</v>
      </c>
      <c r="Z515" t="s">
        <v>1764</v>
      </c>
      <c r="AA515" t="s">
        <v>807</v>
      </c>
      <c r="AB515" t="s">
        <v>775</v>
      </c>
      <c r="AC515" t="s">
        <v>395</v>
      </c>
      <c r="AD515" t="s">
        <v>402</v>
      </c>
      <c r="AE515" t="s">
        <v>349</v>
      </c>
      <c r="AF515" t="s">
        <v>315</v>
      </c>
      <c r="AG515">
        <v>392410.2</v>
      </c>
      <c r="AH515">
        <v>65</v>
      </c>
      <c r="AL515" t="s">
        <v>1660</v>
      </c>
      <c r="AN515" t="s">
        <v>2055</v>
      </c>
      <c r="AT515" t="s">
        <v>2053</v>
      </c>
    </row>
    <row r="516" spans="1:100" x14ac:dyDescent="0.25">
      <c r="A516" t="s">
        <v>2697</v>
      </c>
      <c r="B516" t="e">
        <f>_xlfn.XLOOKUP(C516,'[1]Image URL'!$E:$E,'[1]Image URL'!$A:$A)</f>
        <v>#N/A</v>
      </c>
      <c r="C516">
        <v>5310737</v>
      </c>
      <c r="D516" t="s">
        <v>2698</v>
      </c>
      <c r="E516" t="s">
        <v>1548</v>
      </c>
      <c r="H516" t="s">
        <v>1549</v>
      </c>
      <c r="J516" t="s">
        <v>195</v>
      </c>
      <c r="U516" t="s">
        <v>1459</v>
      </c>
      <c r="V516" t="s">
        <v>1385</v>
      </c>
      <c r="W516">
        <v>77838213094</v>
      </c>
      <c r="X516">
        <v>10077838113094</v>
      </c>
      <c r="Y516" t="s">
        <v>1550</v>
      </c>
      <c r="Z516" t="s">
        <v>1551</v>
      </c>
      <c r="AA516" t="s">
        <v>807</v>
      </c>
      <c r="AB516" t="s">
        <v>1178</v>
      </c>
      <c r="AC516" t="s">
        <v>549</v>
      </c>
      <c r="AD516" t="s">
        <v>1552</v>
      </c>
      <c r="AE516" t="s">
        <v>349</v>
      </c>
      <c r="AF516" t="s">
        <v>164</v>
      </c>
      <c r="AG516">
        <v>392410.2</v>
      </c>
      <c r="AH516">
        <v>65</v>
      </c>
      <c r="AN516" t="s">
        <v>1553</v>
      </c>
      <c r="AT516" t="s">
        <v>1549</v>
      </c>
    </row>
    <row r="517" spans="1:100" x14ac:dyDescent="0.25">
      <c r="A517" t="s">
        <v>2699</v>
      </c>
      <c r="B517" t="e">
        <f>_xlfn.XLOOKUP(C517,'[1]Image URL'!$E:$E,'[1]Image URL'!$A:$A)</f>
        <v>#N/A</v>
      </c>
      <c r="C517">
        <v>4353135</v>
      </c>
      <c r="D517" t="s">
        <v>2701</v>
      </c>
      <c r="E517" t="s">
        <v>2685</v>
      </c>
      <c r="H517" t="s">
        <v>1858</v>
      </c>
      <c r="J517" t="s">
        <v>195</v>
      </c>
      <c r="U517" t="s">
        <v>1459</v>
      </c>
      <c r="V517" t="s">
        <v>1385</v>
      </c>
      <c r="W517">
        <v>77838111239</v>
      </c>
      <c r="X517">
        <v>10077838111236</v>
      </c>
      <c r="Y517" t="s">
        <v>2686</v>
      </c>
      <c r="Z517" t="s">
        <v>2687</v>
      </c>
      <c r="AA517" t="s">
        <v>2688</v>
      </c>
      <c r="AB517" t="s">
        <v>475</v>
      </c>
      <c r="AC517" t="s">
        <v>220</v>
      </c>
      <c r="AD517" t="s">
        <v>446</v>
      </c>
      <c r="AE517" t="s">
        <v>268</v>
      </c>
      <c r="AF517" t="s">
        <v>235</v>
      </c>
      <c r="AG517">
        <v>392410.2</v>
      </c>
      <c r="AH517">
        <v>70</v>
      </c>
      <c r="AN517" t="s">
        <v>521</v>
      </c>
    </row>
    <row r="518" spans="1:100" x14ac:dyDescent="0.25">
      <c r="A518" t="s">
        <v>2702</v>
      </c>
      <c r="B518" t="e">
        <f>_xlfn.XLOOKUP(C518,'[1]Image URL'!$E:$E,'[1]Image URL'!$A:$A)</f>
        <v>#N/A</v>
      </c>
      <c r="C518">
        <v>4306803</v>
      </c>
      <c r="D518" t="s">
        <v>2704</v>
      </c>
      <c r="E518" t="s">
        <v>1664</v>
      </c>
      <c r="F518" t="s">
        <v>192</v>
      </c>
      <c r="G518" t="s">
        <v>192</v>
      </c>
      <c r="H518" t="s">
        <v>1650</v>
      </c>
      <c r="J518" t="s">
        <v>195</v>
      </c>
      <c r="U518" t="s">
        <v>1459</v>
      </c>
      <c r="V518" t="s">
        <v>1385</v>
      </c>
      <c r="W518">
        <v>77838870907</v>
      </c>
      <c r="X518">
        <v>10077838870904</v>
      </c>
      <c r="Y518" t="s">
        <v>2705</v>
      </c>
      <c r="Z518" t="s">
        <v>1509</v>
      </c>
      <c r="AA518" t="s">
        <v>1702</v>
      </c>
      <c r="AB518" t="s">
        <v>1702</v>
      </c>
      <c r="AC518" t="s">
        <v>266</v>
      </c>
      <c r="AD518" t="s">
        <v>1562</v>
      </c>
      <c r="AE518" t="s">
        <v>184</v>
      </c>
      <c r="AF518" t="s">
        <v>268</v>
      </c>
      <c r="AG518">
        <v>392410.2</v>
      </c>
      <c r="AH518">
        <v>70</v>
      </c>
      <c r="AL518" t="s">
        <v>1766</v>
      </c>
    </row>
    <row r="519" spans="1:100" x14ac:dyDescent="0.25">
      <c r="A519" t="s">
        <v>2706</v>
      </c>
      <c r="B519" t="e">
        <f>_xlfn.XLOOKUP(C519,'[1]Image URL'!$E:$E,'[1]Image URL'!$A:$A)</f>
        <v>#N/A</v>
      </c>
      <c r="C519">
        <v>557307</v>
      </c>
      <c r="D519" t="s">
        <v>2708</v>
      </c>
      <c r="E519" t="s">
        <v>2338</v>
      </c>
      <c r="I519" t="s">
        <v>194</v>
      </c>
      <c r="J519" t="s">
        <v>195</v>
      </c>
      <c r="U519" t="s">
        <v>196</v>
      </c>
      <c r="V519" t="s">
        <v>157</v>
      </c>
      <c r="W519">
        <v>77838134849</v>
      </c>
      <c r="X519">
        <v>10077838134846</v>
      </c>
      <c r="Y519" t="s">
        <v>1789</v>
      </c>
      <c r="Z519" t="s">
        <v>1509</v>
      </c>
      <c r="AA519" t="s">
        <v>1371</v>
      </c>
      <c r="AB519" t="s">
        <v>1371</v>
      </c>
      <c r="AC519" t="s">
        <v>1062</v>
      </c>
      <c r="AD519" t="s">
        <v>1644</v>
      </c>
      <c r="AE519" t="s">
        <v>204</v>
      </c>
      <c r="AF519" t="s">
        <v>268</v>
      </c>
      <c r="AG519">
        <v>392410.2</v>
      </c>
      <c r="AH519">
        <v>70</v>
      </c>
      <c r="AM519" t="s">
        <v>2131</v>
      </c>
      <c r="AN519" t="s">
        <v>664</v>
      </c>
      <c r="AT519" t="s">
        <v>413</v>
      </c>
    </row>
    <row r="520" spans="1:100" x14ac:dyDescent="0.25">
      <c r="A520" t="s">
        <v>2709</v>
      </c>
      <c r="B520" t="e">
        <f>_xlfn.XLOOKUP(C520,'[1]Image URL'!$E:$E,'[1]Image URL'!$A:$A)</f>
        <v>#N/A</v>
      </c>
      <c r="C520">
        <v>553607</v>
      </c>
      <c r="D520" t="s">
        <v>2710</v>
      </c>
      <c r="E520" t="s">
        <v>1537</v>
      </c>
      <c r="F520" t="s">
        <v>1616</v>
      </c>
      <c r="G520" t="s">
        <v>1617</v>
      </c>
      <c r="H520" t="s">
        <v>848</v>
      </c>
      <c r="U520" t="s">
        <v>1459</v>
      </c>
      <c r="V520" t="s">
        <v>1385</v>
      </c>
      <c r="W520">
        <v>77838887240</v>
      </c>
      <c r="X520">
        <v>10077838887247</v>
      </c>
      <c r="Y520" t="s">
        <v>1618</v>
      </c>
      <c r="Z520" t="s">
        <v>1192</v>
      </c>
      <c r="AA520" t="s">
        <v>1619</v>
      </c>
      <c r="AB520" t="s">
        <v>1620</v>
      </c>
      <c r="AC520" t="s">
        <v>1107</v>
      </c>
      <c r="AD520" t="s">
        <v>1621</v>
      </c>
      <c r="AE520" t="s">
        <v>235</v>
      </c>
      <c r="AF520" t="s">
        <v>315</v>
      </c>
      <c r="AG520">
        <v>392410.2</v>
      </c>
      <c r="AH520">
        <v>70</v>
      </c>
      <c r="AL520" t="s">
        <v>1622</v>
      </c>
      <c r="CS520" t="s">
        <v>1623</v>
      </c>
      <c r="CT520" t="s">
        <v>1624</v>
      </c>
      <c r="CU520" t="s">
        <v>1625</v>
      </c>
      <c r="CV520" t="s">
        <v>1617</v>
      </c>
    </row>
    <row r="521" spans="1:100" x14ac:dyDescent="0.25">
      <c r="A521" t="s">
        <v>2711</v>
      </c>
      <c r="B521" t="e">
        <f>_xlfn.XLOOKUP(C521,'[1]Image URL'!$E:$E,'[1]Image URL'!$A:$A)</f>
        <v>#N/A</v>
      </c>
      <c r="C521">
        <v>582207</v>
      </c>
      <c r="D521" t="s">
        <v>2712</v>
      </c>
      <c r="E521" t="s">
        <v>1537</v>
      </c>
      <c r="F521" t="s">
        <v>1616</v>
      </c>
      <c r="G521" t="s">
        <v>1617</v>
      </c>
      <c r="H521" t="s">
        <v>848</v>
      </c>
      <c r="U521" t="s">
        <v>1459</v>
      </c>
      <c r="V521" t="s">
        <v>1385</v>
      </c>
      <c r="W521">
        <v>77838887219</v>
      </c>
      <c r="X521">
        <v>10077838887216</v>
      </c>
      <c r="Y521" t="s">
        <v>1618</v>
      </c>
      <c r="Z521" t="s">
        <v>1192</v>
      </c>
      <c r="AA521" t="s">
        <v>1619</v>
      </c>
      <c r="AB521" t="s">
        <v>1620</v>
      </c>
      <c r="AC521" t="s">
        <v>1107</v>
      </c>
      <c r="AD521" t="s">
        <v>1621</v>
      </c>
      <c r="AE521" t="s">
        <v>235</v>
      </c>
      <c r="AF521" t="s">
        <v>315</v>
      </c>
      <c r="AG521">
        <v>392410.2</v>
      </c>
      <c r="AH521">
        <v>70</v>
      </c>
      <c r="AL521" t="s">
        <v>1622</v>
      </c>
      <c r="CS521" t="s">
        <v>1623</v>
      </c>
      <c r="CT521" t="s">
        <v>1624</v>
      </c>
      <c r="CU521" t="s">
        <v>1625</v>
      </c>
      <c r="CV521" t="s">
        <v>1617</v>
      </c>
    </row>
    <row r="522" spans="1:100" x14ac:dyDescent="0.25">
      <c r="A522" t="s">
        <v>2713</v>
      </c>
      <c r="B522" t="e">
        <f>_xlfn.XLOOKUP(C522,'[1]Image URL'!$E:$E,'[1]Image URL'!$A:$A)</f>
        <v>#N/A</v>
      </c>
      <c r="C522" t="s">
        <v>2876</v>
      </c>
      <c r="D522" t="s">
        <v>2714</v>
      </c>
      <c r="E522" t="s">
        <v>2318</v>
      </c>
      <c r="H522" t="s">
        <v>1726</v>
      </c>
      <c r="J522" t="s">
        <v>195</v>
      </c>
      <c r="U522" t="s">
        <v>1459</v>
      </c>
      <c r="V522" t="s">
        <v>1385</v>
      </c>
      <c r="W522">
        <v>77838233702</v>
      </c>
      <c r="X522">
        <v>10077838133702</v>
      </c>
      <c r="Y522" t="s">
        <v>2319</v>
      </c>
      <c r="Z522" t="s">
        <v>2320</v>
      </c>
      <c r="AA522" t="s">
        <v>385</v>
      </c>
      <c r="AB522" t="s">
        <v>2321</v>
      </c>
      <c r="AC522" t="s">
        <v>868</v>
      </c>
      <c r="AD522" t="s">
        <v>426</v>
      </c>
      <c r="AE522" t="s">
        <v>302</v>
      </c>
      <c r="AF522" t="s">
        <v>268</v>
      </c>
      <c r="AG522">
        <v>392410.2</v>
      </c>
      <c r="AH522">
        <v>65</v>
      </c>
      <c r="AN522" t="s">
        <v>859</v>
      </c>
      <c r="AT522" t="s">
        <v>1726</v>
      </c>
    </row>
    <row r="523" spans="1:100" x14ac:dyDescent="0.25">
      <c r="A523" t="s">
        <v>2715</v>
      </c>
      <c r="B523" t="e">
        <f>_xlfn.XLOOKUP(C523,'[1]Image URL'!$E:$E,'[1]Image URL'!$A:$A)</f>
        <v>#N/A</v>
      </c>
      <c r="C523">
        <v>402054</v>
      </c>
      <c r="D523" t="s">
        <v>2716</v>
      </c>
      <c r="E523" t="s">
        <v>2492</v>
      </c>
      <c r="F523" t="s">
        <v>2493</v>
      </c>
      <c r="G523" t="s">
        <v>332</v>
      </c>
      <c r="H523" t="s">
        <v>201</v>
      </c>
      <c r="J523" t="s">
        <v>195</v>
      </c>
      <c r="U523" t="s">
        <v>1459</v>
      </c>
      <c r="V523" t="s">
        <v>1385</v>
      </c>
      <c r="W523">
        <v>77838297070</v>
      </c>
      <c r="X523">
        <v>10077838097073</v>
      </c>
      <c r="Y523" t="s">
        <v>452</v>
      </c>
      <c r="Z523" t="s">
        <v>1737</v>
      </c>
      <c r="AA523" t="s">
        <v>1375</v>
      </c>
      <c r="AB523" t="s">
        <v>1570</v>
      </c>
      <c r="AC523" t="s">
        <v>1374</v>
      </c>
      <c r="AD523" t="s">
        <v>867</v>
      </c>
      <c r="AE523" t="s">
        <v>314</v>
      </c>
      <c r="AF523" t="s">
        <v>185</v>
      </c>
      <c r="AG523">
        <v>392410.2</v>
      </c>
      <c r="AH523">
        <v>70</v>
      </c>
      <c r="AL523" t="s">
        <v>2494</v>
      </c>
      <c r="AM523" t="s">
        <v>2235</v>
      </c>
      <c r="AT523" t="s">
        <v>201</v>
      </c>
    </row>
    <row r="524" spans="1:100" x14ac:dyDescent="0.25">
      <c r="A524" t="s">
        <v>2717</v>
      </c>
      <c r="B524" t="e">
        <f>_xlfn.XLOOKUP(C524,'[1]Image URL'!$E:$E,'[1]Image URL'!$A:$A)</f>
        <v>#N/A</v>
      </c>
      <c r="C524">
        <v>581807</v>
      </c>
      <c r="D524" t="s">
        <v>2718</v>
      </c>
      <c r="E524" t="s">
        <v>1507</v>
      </c>
      <c r="F524" t="s">
        <v>1374</v>
      </c>
      <c r="G524" t="s">
        <v>1374</v>
      </c>
      <c r="H524" t="s">
        <v>193</v>
      </c>
      <c r="J524" t="s">
        <v>195</v>
      </c>
      <c r="U524" t="s">
        <v>1459</v>
      </c>
      <c r="V524" t="s">
        <v>1385</v>
      </c>
      <c r="W524">
        <v>77838870815</v>
      </c>
      <c r="X524">
        <v>10077838870812</v>
      </c>
      <c r="Y524" t="s">
        <v>1508</v>
      </c>
      <c r="Z524" t="s">
        <v>1509</v>
      </c>
      <c r="AA524" t="s">
        <v>1510</v>
      </c>
      <c r="AB524" t="s">
        <v>1510</v>
      </c>
      <c r="AC524" t="s">
        <v>395</v>
      </c>
      <c r="AD524" t="s">
        <v>1390</v>
      </c>
      <c r="AE524" t="s">
        <v>184</v>
      </c>
      <c r="AF524" t="s">
        <v>315</v>
      </c>
      <c r="AG524">
        <v>392410.2</v>
      </c>
      <c r="AH524">
        <v>65</v>
      </c>
      <c r="AL524" t="s">
        <v>1511</v>
      </c>
    </row>
    <row r="525" spans="1:100" x14ac:dyDescent="0.25">
      <c r="A525" t="s">
        <v>2719</v>
      </c>
      <c r="B525" t="e">
        <f>_xlfn.XLOOKUP(C525,'[1]Image URL'!$E:$E,'[1]Image URL'!$A:$A)</f>
        <v>#N/A</v>
      </c>
      <c r="C525">
        <v>581618</v>
      </c>
      <c r="D525" t="s">
        <v>2720</v>
      </c>
      <c r="E525" t="s">
        <v>1566</v>
      </c>
      <c r="H525" t="s">
        <v>1600</v>
      </c>
      <c r="J525" t="s">
        <v>195</v>
      </c>
      <c r="U525" t="s">
        <v>1459</v>
      </c>
      <c r="V525" t="s">
        <v>1385</v>
      </c>
      <c r="W525">
        <v>77838873090</v>
      </c>
      <c r="X525">
        <v>10077838873097</v>
      </c>
      <c r="Y525" t="s">
        <v>1601</v>
      </c>
      <c r="Z525" t="s">
        <v>680</v>
      </c>
      <c r="AA525" t="s">
        <v>1602</v>
      </c>
      <c r="AB525" t="s">
        <v>1602</v>
      </c>
      <c r="AC525" t="s">
        <v>346</v>
      </c>
      <c r="AD525" t="s">
        <v>234</v>
      </c>
      <c r="AE525" t="s">
        <v>204</v>
      </c>
      <c r="AF525" t="s">
        <v>315</v>
      </c>
      <c r="AG525">
        <v>392410.2</v>
      </c>
      <c r="AH525">
        <v>65</v>
      </c>
      <c r="AN525" t="s">
        <v>329</v>
      </c>
    </row>
    <row r="526" spans="1:100" x14ac:dyDescent="0.25">
      <c r="A526" t="s">
        <v>2721</v>
      </c>
      <c r="B526" t="e">
        <f>_xlfn.XLOOKUP(C526,'[1]Image URL'!$E:$E,'[1]Image URL'!$A:$A)</f>
        <v>#N/A</v>
      </c>
      <c r="C526" t="s">
        <v>2896</v>
      </c>
      <c r="D526" t="s">
        <v>2723</v>
      </c>
      <c r="E526" t="s">
        <v>1629</v>
      </c>
      <c r="H526" t="s">
        <v>1630</v>
      </c>
      <c r="J526" t="s">
        <v>195</v>
      </c>
      <c r="U526" t="s">
        <v>1459</v>
      </c>
      <c r="V526" t="s">
        <v>1385</v>
      </c>
      <c r="W526">
        <v>77838211182</v>
      </c>
      <c r="X526">
        <v>10077838111182</v>
      </c>
      <c r="Y526" t="s">
        <v>423</v>
      </c>
      <c r="Z526" t="s">
        <v>1631</v>
      </c>
      <c r="AA526" t="s">
        <v>1632</v>
      </c>
      <c r="AB526" t="s">
        <v>1633</v>
      </c>
      <c r="AC526" t="s">
        <v>228</v>
      </c>
      <c r="AD526" t="s">
        <v>1634</v>
      </c>
      <c r="AE526" t="s">
        <v>1635</v>
      </c>
      <c r="AF526" t="s">
        <v>185</v>
      </c>
      <c r="AG526">
        <v>392410.2</v>
      </c>
      <c r="AH526">
        <v>60</v>
      </c>
      <c r="AN526" t="s">
        <v>1636</v>
      </c>
      <c r="AT526" t="s">
        <v>1630</v>
      </c>
    </row>
    <row r="527" spans="1:100" x14ac:dyDescent="0.25">
      <c r="A527" t="s">
        <v>2724</v>
      </c>
      <c r="B527" t="e">
        <f>_xlfn.XLOOKUP(C527,'[1]Image URL'!$E:$E,'[1]Image URL'!$A:$A)</f>
        <v>#N/A</v>
      </c>
      <c r="C527">
        <v>582007</v>
      </c>
      <c r="D527" t="s">
        <v>2725</v>
      </c>
      <c r="E527" t="s">
        <v>2292</v>
      </c>
      <c r="F527" t="s">
        <v>2293</v>
      </c>
      <c r="G527" t="s">
        <v>2293</v>
      </c>
      <c r="H527" t="s">
        <v>2294</v>
      </c>
      <c r="J527" t="s">
        <v>195</v>
      </c>
      <c r="U527" t="s">
        <v>1459</v>
      </c>
      <c r="V527" t="s">
        <v>1385</v>
      </c>
      <c r="W527">
        <v>77838295694</v>
      </c>
      <c r="X527">
        <v>10077838095697</v>
      </c>
      <c r="Y527" t="s">
        <v>1559</v>
      </c>
      <c r="Z527" t="s">
        <v>1781</v>
      </c>
      <c r="AA527" t="s">
        <v>332</v>
      </c>
      <c r="AB527" t="s">
        <v>1374</v>
      </c>
      <c r="AC527" t="s">
        <v>1561</v>
      </c>
      <c r="AD527" t="s">
        <v>1562</v>
      </c>
      <c r="AE527" t="s">
        <v>507</v>
      </c>
      <c r="AF527" t="s">
        <v>235</v>
      </c>
      <c r="AG527">
        <v>392410.2</v>
      </c>
      <c r="AH527">
        <v>70</v>
      </c>
      <c r="AL527" t="s">
        <v>1078</v>
      </c>
      <c r="AM527" t="s">
        <v>1588</v>
      </c>
      <c r="AN527" t="s">
        <v>2293</v>
      </c>
      <c r="AT527" t="s">
        <v>2294</v>
      </c>
    </row>
    <row r="528" spans="1:100" x14ac:dyDescent="0.25">
      <c r="A528" t="s">
        <v>2726</v>
      </c>
      <c r="B528" t="e">
        <f>_xlfn.XLOOKUP(C528,'[1]Image URL'!$E:$E,'[1]Image URL'!$A:$A)</f>
        <v>#N/A</v>
      </c>
      <c r="C528">
        <v>581607</v>
      </c>
      <c r="D528" t="s">
        <v>2727</v>
      </c>
      <c r="E528" t="s">
        <v>1566</v>
      </c>
      <c r="H528" t="s">
        <v>1600</v>
      </c>
      <c r="J528" t="s">
        <v>195</v>
      </c>
      <c r="U528" t="s">
        <v>1459</v>
      </c>
      <c r="V528" t="s">
        <v>1385</v>
      </c>
      <c r="W528">
        <v>77838873052</v>
      </c>
      <c r="X528">
        <v>10077838873059</v>
      </c>
      <c r="Y528" t="s">
        <v>1601</v>
      </c>
      <c r="Z528" t="s">
        <v>680</v>
      </c>
      <c r="AA528" t="s">
        <v>1602</v>
      </c>
      <c r="AB528" t="s">
        <v>1602</v>
      </c>
      <c r="AC528" t="s">
        <v>346</v>
      </c>
      <c r="AD528" t="s">
        <v>234</v>
      </c>
      <c r="AE528" t="s">
        <v>204</v>
      </c>
      <c r="AF528" t="s">
        <v>315</v>
      </c>
      <c r="AG528">
        <v>392410.2</v>
      </c>
      <c r="AH528">
        <v>65</v>
      </c>
      <c r="AN528" t="s">
        <v>329</v>
      </c>
    </row>
    <row r="529" spans="1:105" x14ac:dyDescent="0.25">
      <c r="A529" t="s">
        <v>2728</v>
      </c>
      <c r="B529" t="e">
        <f>_xlfn.XLOOKUP(C529,'[1]Image URL'!$E:$E,'[1]Image URL'!$A:$A)</f>
        <v>#N/A</v>
      </c>
      <c r="C529">
        <v>551207</v>
      </c>
      <c r="D529" t="s">
        <v>2729</v>
      </c>
      <c r="E529" t="s">
        <v>1537</v>
      </c>
      <c r="F529" t="s">
        <v>2013</v>
      </c>
      <c r="G529" t="s">
        <v>2014</v>
      </c>
      <c r="H529" t="s">
        <v>2015</v>
      </c>
      <c r="M529" t="s">
        <v>2016</v>
      </c>
      <c r="T529" t="s">
        <v>2017</v>
      </c>
      <c r="U529" t="s">
        <v>1459</v>
      </c>
      <c r="V529" t="s">
        <v>1385</v>
      </c>
      <c r="W529">
        <v>77838887158</v>
      </c>
      <c r="X529">
        <v>10077838887155</v>
      </c>
      <c r="Y529" t="s">
        <v>2018</v>
      </c>
      <c r="Z529" t="s">
        <v>1727</v>
      </c>
      <c r="AA529" t="s">
        <v>2019</v>
      </c>
      <c r="AB529" t="s">
        <v>2019</v>
      </c>
      <c r="AC529" t="s">
        <v>861</v>
      </c>
      <c r="AD529" t="s">
        <v>183</v>
      </c>
      <c r="AE529" t="s">
        <v>184</v>
      </c>
      <c r="AF529" t="s">
        <v>185</v>
      </c>
      <c r="AG529">
        <v>392410.2</v>
      </c>
      <c r="AH529">
        <v>65</v>
      </c>
      <c r="AL529" t="s">
        <v>2020</v>
      </c>
      <c r="CS529" t="s">
        <v>2021</v>
      </c>
      <c r="CT529" t="s">
        <v>2022</v>
      </c>
      <c r="CU529" t="s">
        <v>2013</v>
      </c>
      <c r="CV529" t="s">
        <v>2023</v>
      </c>
    </row>
    <row r="530" spans="1:105" x14ac:dyDescent="0.25">
      <c r="A530" t="s">
        <v>2730</v>
      </c>
      <c r="B530" t="e">
        <f>_xlfn.XLOOKUP(C530,'[1]Image URL'!$E:$E,'[1]Image URL'!$A:$A)</f>
        <v>#N/A</v>
      </c>
      <c r="C530" t="s">
        <v>2919</v>
      </c>
      <c r="D530" t="s">
        <v>2731</v>
      </c>
      <c r="E530" t="s">
        <v>2310</v>
      </c>
      <c r="F530" t="s">
        <v>324</v>
      </c>
      <c r="G530" t="s">
        <v>324</v>
      </c>
      <c r="H530" t="s">
        <v>319</v>
      </c>
      <c r="J530" t="s">
        <v>195</v>
      </c>
      <c r="O530" t="s">
        <v>463</v>
      </c>
      <c r="P530" t="s">
        <v>463</v>
      </c>
      <c r="U530" t="s">
        <v>1459</v>
      </c>
      <c r="V530" t="s">
        <v>1385</v>
      </c>
      <c r="W530">
        <v>77838200209</v>
      </c>
      <c r="X530">
        <v>10077838200206</v>
      </c>
      <c r="Y530" t="s">
        <v>2311</v>
      </c>
      <c r="Z530" t="s">
        <v>1912</v>
      </c>
      <c r="AA530" t="s">
        <v>2312</v>
      </c>
      <c r="AB530" t="s">
        <v>2196</v>
      </c>
      <c r="AC530" t="s">
        <v>942</v>
      </c>
      <c r="AD530" t="s">
        <v>1552</v>
      </c>
      <c r="AE530" t="s">
        <v>349</v>
      </c>
      <c r="AF530" t="s">
        <v>164</v>
      </c>
      <c r="AG530">
        <v>392410.2</v>
      </c>
      <c r="AH530">
        <v>65</v>
      </c>
      <c r="AL530" t="s">
        <v>2313</v>
      </c>
    </row>
    <row r="531" spans="1:105" x14ac:dyDescent="0.25">
      <c r="A531" t="s">
        <v>2732</v>
      </c>
      <c r="B531" t="e">
        <f>_xlfn.XLOOKUP(C531,'[1]Image URL'!$E:$E,'[1]Image URL'!$A:$A)</f>
        <v>#N/A</v>
      </c>
      <c r="C531">
        <v>7090502</v>
      </c>
      <c r="D531" t="s">
        <v>2733</v>
      </c>
      <c r="E531" t="s">
        <v>1574</v>
      </c>
      <c r="F531" t="s">
        <v>149</v>
      </c>
      <c r="G531" t="s">
        <v>149</v>
      </c>
      <c r="H531" t="s">
        <v>709</v>
      </c>
      <c r="J531" t="s">
        <v>195</v>
      </c>
      <c r="M531" t="s">
        <v>1717</v>
      </c>
      <c r="T531" t="s">
        <v>1473</v>
      </c>
      <c r="U531" t="s">
        <v>1459</v>
      </c>
      <c r="V531" t="s">
        <v>1385</v>
      </c>
      <c r="W531">
        <v>77838888056</v>
      </c>
      <c r="X531">
        <v>10077838888053</v>
      </c>
      <c r="Y531" t="s">
        <v>1718</v>
      </c>
      <c r="Z531" t="s">
        <v>680</v>
      </c>
      <c r="AA531" t="s">
        <v>756</v>
      </c>
      <c r="AB531" t="s">
        <v>800</v>
      </c>
      <c r="AC531" t="s">
        <v>192</v>
      </c>
      <c r="AD531" t="s">
        <v>634</v>
      </c>
      <c r="AE531" t="s">
        <v>600</v>
      </c>
      <c r="AF531" t="s">
        <v>164</v>
      </c>
      <c r="AG531">
        <v>392410.2</v>
      </c>
      <c r="AH531">
        <v>65</v>
      </c>
      <c r="AL531" t="s">
        <v>1719</v>
      </c>
      <c r="BH531" t="s">
        <v>1720</v>
      </c>
      <c r="BI531" t="s">
        <v>346</v>
      </c>
      <c r="CQ531" t="s">
        <v>201</v>
      </c>
    </row>
    <row r="532" spans="1:105" x14ac:dyDescent="0.25">
      <c r="A532" t="s">
        <v>2734</v>
      </c>
      <c r="B532" t="e">
        <f>_xlfn.XLOOKUP(C532,'[1]Image URL'!$E:$E,'[1]Image URL'!$A:$A)</f>
        <v>#N/A</v>
      </c>
      <c r="C532">
        <v>4306814</v>
      </c>
      <c r="D532" t="s">
        <v>2735</v>
      </c>
      <c r="E532" t="s">
        <v>2349</v>
      </c>
      <c r="F532" t="s">
        <v>462</v>
      </c>
      <c r="G532" t="s">
        <v>462</v>
      </c>
      <c r="H532" t="s">
        <v>1650</v>
      </c>
      <c r="J532" t="s">
        <v>195</v>
      </c>
      <c r="O532" t="s">
        <v>145</v>
      </c>
      <c r="P532" t="s">
        <v>145</v>
      </c>
      <c r="U532" t="s">
        <v>1459</v>
      </c>
      <c r="V532" t="s">
        <v>1385</v>
      </c>
      <c r="W532">
        <v>77838200230</v>
      </c>
      <c r="X532">
        <v>10077838200237</v>
      </c>
      <c r="Y532" t="s">
        <v>263</v>
      </c>
      <c r="Z532" t="s">
        <v>2350</v>
      </c>
      <c r="AA532" t="s">
        <v>531</v>
      </c>
      <c r="AB532" t="s">
        <v>1702</v>
      </c>
      <c r="AC532" t="s">
        <v>1178</v>
      </c>
      <c r="AD532" t="s">
        <v>1113</v>
      </c>
      <c r="AE532" t="s">
        <v>235</v>
      </c>
      <c r="AF532" t="s">
        <v>302</v>
      </c>
      <c r="AG532">
        <v>392410.2</v>
      </c>
      <c r="AH532">
        <v>65</v>
      </c>
      <c r="AL532" t="s">
        <v>2351</v>
      </c>
    </row>
    <row r="533" spans="1:105" x14ac:dyDescent="0.25">
      <c r="A533" t="s">
        <v>2736</v>
      </c>
      <c r="B533" t="e">
        <f>_xlfn.XLOOKUP(C533,'[1]Image URL'!$E:$E,'[1]Image URL'!$A:$A)</f>
        <v>#N/A</v>
      </c>
      <c r="C533">
        <v>521254</v>
      </c>
      <c r="D533" t="s">
        <v>2737</v>
      </c>
      <c r="E533" t="s">
        <v>2738</v>
      </c>
      <c r="F533" t="s">
        <v>223</v>
      </c>
      <c r="G533" t="s">
        <v>223</v>
      </c>
      <c r="H533" t="s">
        <v>193</v>
      </c>
      <c r="J533" t="s">
        <v>195</v>
      </c>
      <c r="U533" t="s">
        <v>1459</v>
      </c>
      <c r="V533" t="s">
        <v>1385</v>
      </c>
      <c r="W533">
        <v>77838200544</v>
      </c>
      <c r="X533">
        <v>10077838200541</v>
      </c>
      <c r="Y533" t="s">
        <v>905</v>
      </c>
      <c r="Z533" t="s">
        <v>864</v>
      </c>
      <c r="AA533" t="s">
        <v>1978</v>
      </c>
      <c r="AB533" t="s">
        <v>2739</v>
      </c>
      <c r="AC533" t="s">
        <v>532</v>
      </c>
      <c r="AD533" t="s">
        <v>647</v>
      </c>
      <c r="AE533" t="s">
        <v>315</v>
      </c>
      <c r="AF533" t="s">
        <v>185</v>
      </c>
      <c r="AG533">
        <v>392410.2</v>
      </c>
      <c r="AH533">
        <v>65</v>
      </c>
      <c r="AL533" t="s">
        <v>2740</v>
      </c>
      <c r="AM533" t="s">
        <v>2131</v>
      </c>
      <c r="BB533" t="s">
        <v>413</v>
      </c>
    </row>
    <row r="534" spans="1:105" x14ac:dyDescent="0.25">
      <c r="A534" t="s">
        <v>2741</v>
      </c>
      <c r="B534" t="e">
        <f>_xlfn.XLOOKUP(C534,'[1]Image URL'!$E:$E,'[1]Image URL'!$A:$A)</f>
        <v>#N/A</v>
      </c>
      <c r="C534">
        <v>13207</v>
      </c>
      <c r="D534" t="s">
        <v>2743</v>
      </c>
      <c r="E534" t="s">
        <v>2744</v>
      </c>
      <c r="F534" t="s">
        <v>457</v>
      </c>
      <c r="G534" t="s">
        <v>549</v>
      </c>
      <c r="H534" t="s">
        <v>1875</v>
      </c>
      <c r="J534" t="s">
        <v>195</v>
      </c>
      <c r="U534" t="s">
        <v>1459</v>
      </c>
      <c r="V534" t="s">
        <v>1385</v>
      </c>
      <c r="W534">
        <v>77838212165</v>
      </c>
      <c r="X534">
        <v>10077838112165</v>
      </c>
      <c r="Y534" t="s">
        <v>806</v>
      </c>
      <c r="Z534" t="s">
        <v>864</v>
      </c>
      <c r="AA534" t="s">
        <v>893</v>
      </c>
      <c r="AB534" t="s">
        <v>1846</v>
      </c>
      <c r="AC534" t="s">
        <v>2745</v>
      </c>
      <c r="AD534" t="s">
        <v>2746</v>
      </c>
      <c r="AE534" t="s">
        <v>1319</v>
      </c>
      <c r="AF534" t="s">
        <v>268</v>
      </c>
      <c r="AG534">
        <v>392410.2</v>
      </c>
      <c r="AH534">
        <v>70</v>
      </c>
      <c r="AL534" t="s">
        <v>2747</v>
      </c>
      <c r="AT534" t="s">
        <v>1875</v>
      </c>
    </row>
    <row r="535" spans="1:105" x14ac:dyDescent="0.25">
      <c r="A535" t="s">
        <v>2748</v>
      </c>
      <c r="B535" t="e">
        <f>_xlfn.XLOOKUP(C535,'[1]Image URL'!$E:$E,'[1]Image URL'!$A:$A)</f>
        <v>#N/A</v>
      </c>
      <c r="C535">
        <v>4366607</v>
      </c>
      <c r="D535" t="s">
        <v>2750</v>
      </c>
      <c r="E535" t="s">
        <v>2751</v>
      </c>
      <c r="H535" t="s">
        <v>413</v>
      </c>
      <c r="I535" t="s">
        <v>194</v>
      </c>
      <c r="J535" t="s">
        <v>195</v>
      </c>
      <c r="U535" t="s">
        <v>196</v>
      </c>
      <c r="V535" t="s">
        <v>157</v>
      </c>
      <c r="W535">
        <v>77838225677</v>
      </c>
      <c r="X535">
        <v>10077838025670</v>
      </c>
      <c r="Y535" t="s">
        <v>1468</v>
      </c>
      <c r="Z535" t="s">
        <v>2038</v>
      </c>
      <c r="AA535" t="s">
        <v>1753</v>
      </c>
      <c r="AB535" t="s">
        <v>1510</v>
      </c>
      <c r="AC535" t="s">
        <v>532</v>
      </c>
      <c r="AD535" t="s">
        <v>446</v>
      </c>
      <c r="AE535" t="s">
        <v>184</v>
      </c>
      <c r="AF535" t="s">
        <v>302</v>
      </c>
      <c r="AG535">
        <v>392410.2</v>
      </c>
      <c r="AH535">
        <v>60</v>
      </c>
      <c r="AN535" t="s">
        <v>523</v>
      </c>
      <c r="AT535" t="s">
        <v>413</v>
      </c>
    </row>
    <row r="536" spans="1:105" x14ac:dyDescent="0.25">
      <c r="A536" t="s">
        <v>2752</v>
      </c>
      <c r="B536" t="e">
        <f>_xlfn.XLOOKUP(C536,'[1]Image URL'!$E:$E,'[1]Image URL'!$A:$A)</f>
        <v>#N/A</v>
      </c>
      <c r="C536" t="s">
        <v>2949</v>
      </c>
      <c r="D536" t="s">
        <v>2754</v>
      </c>
      <c r="E536" t="s">
        <v>1491</v>
      </c>
      <c r="H536" t="s">
        <v>1492</v>
      </c>
      <c r="J536" t="s">
        <v>195</v>
      </c>
      <c r="U536" t="s">
        <v>1459</v>
      </c>
      <c r="V536" t="s">
        <v>1385</v>
      </c>
      <c r="W536">
        <v>77838235096</v>
      </c>
      <c r="X536">
        <v>10077838035099</v>
      </c>
      <c r="Y536" t="s">
        <v>824</v>
      </c>
      <c r="Z536" t="s">
        <v>1493</v>
      </c>
      <c r="AA536" t="s">
        <v>994</v>
      </c>
      <c r="AB536" t="s">
        <v>994</v>
      </c>
      <c r="AC536" t="s">
        <v>192</v>
      </c>
      <c r="AD536" t="s">
        <v>301</v>
      </c>
      <c r="AE536" t="s">
        <v>184</v>
      </c>
      <c r="AF536" t="s">
        <v>164</v>
      </c>
      <c r="AG536">
        <v>392410.2</v>
      </c>
      <c r="AH536">
        <v>70</v>
      </c>
      <c r="AM536" t="s">
        <v>1494</v>
      </c>
      <c r="AN536" t="s">
        <v>1495</v>
      </c>
    </row>
    <row r="537" spans="1:105" x14ac:dyDescent="0.25">
      <c r="A537" t="s">
        <v>2755</v>
      </c>
      <c r="B537" t="e">
        <f>_xlfn.XLOOKUP(C537,'[1]Image URL'!$E:$E,'[1]Image URL'!$A:$A)</f>
        <v>#N/A</v>
      </c>
      <c r="C537" t="s">
        <v>2955</v>
      </c>
      <c r="D537" t="s">
        <v>2756</v>
      </c>
      <c r="E537" t="s">
        <v>2757</v>
      </c>
      <c r="F537" t="s">
        <v>242</v>
      </c>
      <c r="G537" t="s">
        <v>242</v>
      </c>
      <c r="H537" t="s">
        <v>1944</v>
      </c>
      <c r="J537" t="s">
        <v>195</v>
      </c>
      <c r="U537" t="s">
        <v>1459</v>
      </c>
      <c r="V537" t="s">
        <v>1385</v>
      </c>
      <c r="W537">
        <v>77838243824</v>
      </c>
      <c r="X537">
        <v>10077838143824</v>
      </c>
      <c r="Y537" t="s">
        <v>1125</v>
      </c>
      <c r="Z537" t="s">
        <v>1690</v>
      </c>
      <c r="AA537" t="s">
        <v>549</v>
      </c>
      <c r="AB537" t="s">
        <v>578</v>
      </c>
      <c r="AC537" t="s">
        <v>2518</v>
      </c>
      <c r="AD537" t="s">
        <v>975</v>
      </c>
      <c r="AE537" t="s">
        <v>349</v>
      </c>
      <c r="AF537" t="s">
        <v>268</v>
      </c>
      <c r="AG537">
        <v>392410.2</v>
      </c>
      <c r="AH537">
        <v>70</v>
      </c>
      <c r="AL537" t="s">
        <v>2001</v>
      </c>
      <c r="AM537" t="s">
        <v>230</v>
      </c>
      <c r="AT537" t="s">
        <v>1944</v>
      </c>
      <c r="CZ537" t="s">
        <v>2758</v>
      </c>
      <c r="DA537" t="s">
        <v>242</v>
      </c>
    </row>
    <row r="538" spans="1:105" x14ac:dyDescent="0.25">
      <c r="A538" t="s">
        <v>2759</v>
      </c>
      <c r="B538" t="e">
        <f>_xlfn.XLOOKUP(C538,'[1]Image URL'!$E:$E,'[1]Image URL'!$A:$A)</f>
        <v>#N/A</v>
      </c>
      <c r="C538" t="s">
        <v>2958</v>
      </c>
      <c r="D538" t="s">
        <v>2202</v>
      </c>
      <c r="E538" t="s">
        <v>1649</v>
      </c>
      <c r="F538" t="s">
        <v>211</v>
      </c>
      <c r="G538" t="s">
        <v>211</v>
      </c>
      <c r="H538" t="s">
        <v>1650</v>
      </c>
      <c r="J538" t="s">
        <v>195</v>
      </c>
      <c r="U538" t="s">
        <v>1459</v>
      </c>
      <c r="V538" t="s">
        <v>1385</v>
      </c>
      <c r="W538">
        <v>77838822968</v>
      </c>
      <c r="X538">
        <v>10077838822965</v>
      </c>
      <c r="Y538" t="s">
        <v>1651</v>
      </c>
      <c r="Z538" t="s">
        <v>1652</v>
      </c>
      <c r="AA538" t="s">
        <v>542</v>
      </c>
      <c r="AB538" t="s">
        <v>329</v>
      </c>
      <c r="AC538" t="s">
        <v>192</v>
      </c>
      <c r="AD538" t="s">
        <v>183</v>
      </c>
      <c r="AE538" t="s">
        <v>184</v>
      </c>
      <c r="AF538" t="s">
        <v>185</v>
      </c>
      <c r="AG538">
        <v>392410.2</v>
      </c>
      <c r="AH538">
        <v>60</v>
      </c>
      <c r="AL538" t="s">
        <v>1653</v>
      </c>
      <c r="AN538" t="s">
        <v>594</v>
      </c>
      <c r="AT538" t="s">
        <v>1650</v>
      </c>
    </row>
    <row r="539" spans="1:105" x14ac:dyDescent="0.25">
      <c r="A539" t="s">
        <v>2760</v>
      </c>
      <c r="B539" t="e">
        <f>_xlfn.XLOOKUP(C539,'[1]Image URL'!$E:$E,'[1]Image URL'!$A:$A)</f>
        <v>#N/A</v>
      </c>
      <c r="C539">
        <v>583218</v>
      </c>
      <c r="D539" t="s">
        <v>2761</v>
      </c>
      <c r="E539" t="s">
        <v>2161</v>
      </c>
      <c r="H539" t="s">
        <v>901</v>
      </c>
      <c r="J539" t="s">
        <v>195</v>
      </c>
      <c r="U539" t="s">
        <v>1459</v>
      </c>
      <c r="V539" t="s">
        <v>1385</v>
      </c>
      <c r="W539">
        <v>77838823750</v>
      </c>
      <c r="X539">
        <v>10077838823757</v>
      </c>
      <c r="Y539" t="s">
        <v>2162</v>
      </c>
      <c r="Z539" t="s">
        <v>2163</v>
      </c>
      <c r="AA539" t="s">
        <v>645</v>
      </c>
      <c r="AB539" t="s">
        <v>160</v>
      </c>
      <c r="AC539" t="s">
        <v>1692</v>
      </c>
      <c r="AD539" t="s">
        <v>402</v>
      </c>
      <c r="AE539" t="s">
        <v>303</v>
      </c>
      <c r="AF539" t="s">
        <v>235</v>
      </c>
      <c r="AG539">
        <v>392410.2</v>
      </c>
      <c r="AH539">
        <v>65</v>
      </c>
      <c r="AM539" t="s">
        <v>2164</v>
      </c>
      <c r="AN539" t="s">
        <v>2165</v>
      </c>
      <c r="AT539" t="s">
        <v>901</v>
      </c>
    </row>
    <row r="540" spans="1:105" x14ac:dyDescent="0.25">
      <c r="A540" t="s">
        <v>2762</v>
      </c>
      <c r="B540" t="e">
        <f>_xlfn.XLOOKUP(C540,'[1]Image URL'!$E:$E,'[1]Image URL'!$A:$A)</f>
        <v>#N/A</v>
      </c>
      <c r="C540">
        <v>564907</v>
      </c>
      <c r="D540" t="s">
        <v>2764</v>
      </c>
      <c r="E540" t="s">
        <v>1593</v>
      </c>
      <c r="H540" t="s">
        <v>1594</v>
      </c>
      <c r="J540" t="s">
        <v>195</v>
      </c>
      <c r="U540" t="s">
        <v>1459</v>
      </c>
      <c r="V540" t="s">
        <v>1385</v>
      </c>
      <c r="W540">
        <v>77838210932</v>
      </c>
      <c r="X540">
        <v>10077838110932</v>
      </c>
      <c r="Y540" t="s">
        <v>1595</v>
      </c>
      <c r="Z540" t="s">
        <v>1596</v>
      </c>
      <c r="AA540" t="s">
        <v>523</v>
      </c>
      <c r="AB540" t="s">
        <v>991</v>
      </c>
      <c r="AC540" t="s">
        <v>472</v>
      </c>
      <c r="AD540" t="s">
        <v>975</v>
      </c>
      <c r="AE540" t="s">
        <v>507</v>
      </c>
      <c r="AF540" t="s">
        <v>164</v>
      </c>
      <c r="AG540">
        <v>392410.2</v>
      </c>
      <c r="AH540">
        <v>70</v>
      </c>
      <c r="AM540" t="s">
        <v>1597</v>
      </c>
      <c r="AN540" t="s">
        <v>915</v>
      </c>
    </row>
    <row r="541" spans="1:105" x14ac:dyDescent="0.25">
      <c r="A541" t="s">
        <v>2765</v>
      </c>
      <c r="B541" t="e">
        <f>_xlfn.XLOOKUP(C541,'[1]Image URL'!$E:$E,'[1]Image URL'!$A:$A)</f>
        <v>#N/A</v>
      </c>
      <c r="C541">
        <v>564607</v>
      </c>
      <c r="D541" t="s">
        <v>2766</v>
      </c>
      <c r="E541" t="s">
        <v>1697</v>
      </c>
      <c r="H541" t="s">
        <v>1734</v>
      </c>
      <c r="J541" t="s">
        <v>195</v>
      </c>
      <c r="M541" t="s">
        <v>1269</v>
      </c>
      <c r="T541" t="s">
        <v>1735</v>
      </c>
      <c r="U541" t="s">
        <v>1459</v>
      </c>
      <c r="V541" t="s">
        <v>1385</v>
      </c>
      <c r="W541">
        <v>77838870235</v>
      </c>
      <c r="X541">
        <v>10077838870232</v>
      </c>
      <c r="Y541" t="s">
        <v>1736</v>
      </c>
      <c r="Z541" t="s">
        <v>1737</v>
      </c>
      <c r="AA541" t="s">
        <v>522</v>
      </c>
      <c r="AB541" t="s">
        <v>522</v>
      </c>
      <c r="AC541" t="s">
        <v>223</v>
      </c>
      <c r="AD541" t="s">
        <v>1142</v>
      </c>
      <c r="AE541" t="s">
        <v>184</v>
      </c>
      <c r="AF541" t="s">
        <v>349</v>
      </c>
      <c r="AG541">
        <v>392410.2</v>
      </c>
      <c r="AH541">
        <v>65</v>
      </c>
      <c r="AN541" t="s">
        <v>463</v>
      </c>
      <c r="CY541" t="s">
        <v>413</v>
      </c>
    </row>
    <row r="542" spans="1:105" x14ac:dyDescent="0.25">
      <c r="A542" t="s">
        <v>2767</v>
      </c>
      <c r="B542" t="e">
        <f>_xlfn.XLOOKUP(C542,'[1]Image URL'!$E:$E,'[1]Image URL'!$A:$A)</f>
        <v>#N/A</v>
      </c>
      <c r="C542">
        <v>522007</v>
      </c>
      <c r="D542" t="s">
        <v>2768</v>
      </c>
      <c r="E542" t="s">
        <v>1697</v>
      </c>
      <c r="H542" t="s">
        <v>186</v>
      </c>
      <c r="J542" t="s">
        <v>195</v>
      </c>
      <c r="M542" t="s">
        <v>1698</v>
      </c>
      <c r="T542" t="s">
        <v>1699</v>
      </c>
      <c r="U542" t="s">
        <v>1459</v>
      </c>
      <c r="V542" t="s">
        <v>1385</v>
      </c>
      <c r="W542">
        <v>77838888858</v>
      </c>
      <c r="X542">
        <v>10077838888855</v>
      </c>
      <c r="Y542" t="s">
        <v>1700</v>
      </c>
      <c r="Z542" t="s">
        <v>1701</v>
      </c>
      <c r="AA542" t="s">
        <v>1702</v>
      </c>
      <c r="AB542" t="s">
        <v>1702</v>
      </c>
      <c r="AC542" t="s">
        <v>1301</v>
      </c>
      <c r="AD542" t="s">
        <v>669</v>
      </c>
      <c r="AE542" t="s">
        <v>184</v>
      </c>
      <c r="AF542" t="s">
        <v>184</v>
      </c>
      <c r="AG542">
        <v>392410.2</v>
      </c>
      <c r="AH542">
        <v>70</v>
      </c>
      <c r="AN542" t="s">
        <v>192</v>
      </c>
    </row>
    <row r="543" spans="1:105" x14ac:dyDescent="0.25">
      <c r="A543" t="s">
        <v>2769</v>
      </c>
      <c r="B543" t="e">
        <f>_xlfn.XLOOKUP(C543,'[1]Image URL'!$E:$E,'[1]Image URL'!$A:$A)</f>
        <v>#N/A</v>
      </c>
      <c r="C543">
        <v>7090007</v>
      </c>
      <c r="D543" t="s">
        <v>2771</v>
      </c>
      <c r="E543" t="s">
        <v>2071</v>
      </c>
      <c r="H543" t="s">
        <v>1956</v>
      </c>
      <c r="J543" t="s">
        <v>195</v>
      </c>
      <c r="M543" t="s">
        <v>1269</v>
      </c>
      <c r="U543" t="s">
        <v>1459</v>
      </c>
      <c r="V543" t="s">
        <v>1385</v>
      </c>
      <c r="W543">
        <v>77838812884</v>
      </c>
      <c r="X543">
        <v>10077838812881</v>
      </c>
      <c r="Y543" t="s">
        <v>585</v>
      </c>
      <c r="Z543" t="s">
        <v>1266</v>
      </c>
      <c r="AA543" t="s">
        <v>472</v>
      </c>
      <c r="AB543" t="s">
        <v>2072</v>
      </c>
      <c r="AC543" t="s">
        <v>254</v>
      </c>
      <c r="AD543" t="s">
        <v>1644</v>
      </c>
      <c r="AE543" t="s">
        <v>204</v>
      </c>
      <c r="AF543" t="s">
        <v>268</v>
      </c>
      <c r="AG543">
        <v>392410.2</v>
      </c>
      <c r="AH543">
        <v>70</v>
      </c>
      <c r="AM543" t="s">
        <v>1958</v>
      </c>
      <c r="AN543" t="s">
        <v>766</v>
      </c>
    </row>
    <row r="544" spans="1:105" x14ac:dyDescent="0.25">
      <c r="A544" t="s">
        <v>2772</v>
      </c>
      <c r="B544" t="e">
        <f>_xlfn.XLOOKUP(C544,'[1]Image URL'!$E:$E,'[1]Image URL'!$A:$A)</f>
        <v>#N/A</v>
      </c>
      <c r="C544">
        <v>4367407</v>
      </c>
      <c r="D544" t="s">
        <v>2773</v>
      </c>
      <c r="E544" t="s">
        <v>2465</v>
      </c>
      <c r="F544" t="s">
        <v>242</v>
      </c>
      <c r="G544" t="s">
        <v>145</v>
      </c>
      <c r="H544" t="s">
        <v>1585</v>
      </c>
      <c r="J544" t="s">
        <v>195</v>
      </c>
      <c r="U544" t="s">
        <v>1459</v>
      </c>
      <c r="V544" t="s">
        <v>1385</v>
      </c>
      <c r="W544">
        <v>77838210147</v>
      </c>
      <c r="X544">
        <v>10077838110147</v>
      </c>
      <c r="Y544" t="s">
        <v>1559</v>
      </c>
      <c r="Z544" t="s">
        <v>844</v>
      </c>
      <c r="AA544" t="s">
        <v>2307</v>
      </c>
      <c r="AB544" t="s">
        <v>536</v>
      </c>
      <c r="AC544" t="s">
        <v>345</v>
      </c>
      <c r="AD544" t="s">
        <v>162</v>
      </c>
      <c r="AE544" t="s">
        <v>303</v>
      </c>
      <c r="AF544" t="s">
        <v>349</v>
      </c>
      <c r="AG544">
        <v>392410.2</v>
      </c>
      <c r="AH544">
        <v>60</v>
      </c>
      <c r="AT544" t="s">
        <v>1585</v>
      </c>
    </row>
    <row r="545" spans="1:101" x14ac:dyDescent="0.25">
      <c r="A545" t="s">
        <v>2774</v>
      </c>
      <c r="B545" t="e">
        <f>_xlfn.XLOOKUP(C545,'[1]Image URL'!$E:$E,'[1]Image URL'!$A:$A)</f>
        <v>#N/A</v>
      </c>
      <c r="C545">
        <v>521647</v>
      </c>
      <c r="D545" t="s">
        <v>2776</v>
      </c>
      <c r="E545" t="s">
        <v>2275</v>
      </c>
      <c r="H545" t="s">
        <v>1858</v>
      </c>
      <c r="J545" t="s">
        <v>195</v>
      </c>
      <c r="U545" t="s">
        <v>1459</v>
      </c>
      <c r="V545" t="s">
        <v>1385</v>
      </c>
      <c r="W545">
        <v>77838812785</v>
      </c>
      <c r="X545">
        <v>10077838812782</v>
      </c>
      <c r="Y545" t="s">
        <v>2276</v>
      </c>
      <c r="Z545" t="s">
        <v>2277</v>
      </c>
      <c r="AA545" t="s">
        <v>645</v>
      </c>
      <c r="AB545" t="s">
        <v>599</v>
      </c>
      <c r="AC545" t="s">
        <v>1692</v>
      </c>
      <c r="AD545" t="s">
        <v>402</v>
      </c>
      <c r="AE545" t="s">
        <v>303</v>
      </c>
      <c r="AF545" t="s">
        <v>235</v>
      </c>
      <c r="AG545">
        <v>392410.2</v>
      </c>
      <c r="AH545">
        <v>70</v>
      </c>
      <c r="AN545" t="s">
        <v>2278</v>
      </c>
      <c r="AT545" t="s">
        <v>1858</v>
      </c>
    </row>
    <row r="546" spans="1:101" x14ac:dyDescent="0.25">
      <c r="A546" t="s">
        <v>2777</v>
      </c>
      <c r="B546" t="e">
        <f>_xlfn.XLOOKUP(C546,'[1]Image URL'!$E:$E,'[1]Image URL'!$A:$A)</f>
        <v>#N/A</v>
      </c>
      <c r="C546">
        <v>580607</v>
      </c>
      <c r="D546" t="s">
        <v>2778</v>
      </c>
      <c r="E546" t="s">
        <v>2779</v>
      </c>
      <c r="F546" t="s">
        <v>2780</v>
      </c>
      <c r="G546" t="s">
        <v>2780</v>
      </c>
      <c r="H546" t="s">
        <v>1795</v>
      </c>
      <c r="I546" t="s">
        <v>194</v>
      </c>
      <c r="J546" t="s">
        <v>195</v>
      </c>
      <c r="U546" t="s">
        <v>196</v>
      </c>
      <c r="V546" t="s">
        <v>157</v>
      </c>
      <c r="W546">
        <v>77838517086</v>
      </c>
      <c r="X546">
        <v>10077838017088</v>
      </c>
      <c r="Y546" t="s">
        <v>387</v>
      </c>
      <c r="Z546" t="s">
        <v>1579</v>
      </c>
      <c r="AA546" t="s">
        <v>2781</v>
      </c>
      <c r="AB546" t="s">
        <v>2782</v>
      </c>
      <c r="AC546" t="s">
        <v>868</v>
      </c>
      <c r="AD546" t="s">
        <v>402</v>
      </c>
      <c r="AE546" t="s">
        <v>349</v>
      </c>
      <c r="AF546" t="s">
        <v>315</v>
      </c>
      <c r="AG546">
        <v>392410.2</v>
      </c>
      <c r="AH546">
        <v>70</v>
      </c>
      <c r="AL546" t="s">
        <v>2783</v>
      </c>
      <c r="AN546" t="s">
        <v>2780</v>
      </c>
    </row>
    <row r="547" spans="1:101" x14ac:dyDescent="0.25">
      <c r="A547" t="s">
        <v>2784</v>
      </c>
      <c r="B547" t="e">
        <f>_xlfn.XLOOKUP(C547,'[1]Image URL'!$E:$E,'[1]Image URL'!$A:$A)</f>
        <v>#N/A</v>
      </c>
      <c r="C547">
        <v>561007</v>
      </c>
      <c r="D547" t="s">
        <v>2785</v>
      </c>
      <c r="E547" t="s">
        <v>1514</v>
      </c>
      <c r="F547" t="s">
        <v>1515</v>
      </c>
      <c r="G547" t="s">
        <v>1515</v>
      </c>
      <c r="H547" t="s">
        <v>1516</v>
      </c>
      <c r="J547" t="s">
        <v>195</v>
      </c>
      <c r="U547" t="s">
        <v>1459</v>
      </c>
      <c r="V547" t="s">
        <v>1385</v>
      </c>
      <c r="W547">
        <v>77838295410</v>
      </c>
      <c r="X547">
        <v>10077838095413</v>
      </c>
      <c r="Y547" t="s">
        <v>1517</v>
      </c>
      <c r="Z547" t="s">
        <v>1518</v>
      </c>
      <c r="AA547" t="s">
        <v>994</v>
      </c>
      <c r="AB547" t="s">
        <v>994</v>
      </c>
      <c r="AC547" t="s">
        <v>221</v>
      </c>
      <c r="AD547" t="s">
        <v>555</v>
      </c>
      <c r="AE547" t="s">
        <v>184</v>
      </c>
      <c r="AF547" t="s">
        <v>235</v>
      </c>
      <c r="AG547">
        <v>392410.2</v>
      </c>
      <c r="AH547">
        <v>70</v>
      </c>
      <c r="AL547" t="s">
        <v>1519</v>
      </c>
      <c r="AM547" t="s">
        <v>1520</v>
      </c>
      <c r="AN547" t="s">
        <v>1515</v>
      </c>
      <c r="AT547" t="s">
        <v>1516</v>
      </c>
    </row>
    <row r="548" spans="1:101" x14ac:dyDescent="0.25">
      <c r="A548" t="s">
        <v>2786</v>
      </c>
      <c r="B548" t="e">
        <f>_xlfn.XLOOKUP(C548,'[1]Image URL'!$E:$E,'[1]Image URL'!$A:$A)</f>
        <v>#N/A</v>
      </c>
      <c r="C548">
        <v>561207</v>
      </c>
      <c r="D548" t="s">
        <v>2787</v>
      </c>
      <c r="E548" t="s">
        <v>1537</v>
      </c>
      <c r="F548" t="s">
        <v>1609</v>
      </c>
      <c r="G548" t="s">
        <v>2100</v>
      </c>
      <c r="H548" t="s">
        <v>2101</v>
      </c>
      <c r="M548" t="s">
        <v>2102</v>
      </c>
      <c r="T548" t="s">
        <v>2103</v>
      </c>
      <c r="U548" t="s">
        <v>1459</v>
      </c>
      <c r="V548" t="s">
        <v>1385</v>
      </c>
      <c r="W548">
        <v>77838887455</v>
      </c>
      <c r="X548">
        <v>10077838887452</v>
      </c>
      <c r="Y548" t="s">
        <v>2104</v>
      </c>
      <c r="Z548" t="s">
        <v>1294</v>
      </c>
      <c r="AA548" t="s">
        <v>775</v>
      </c>
      <c r="AB548" t="s">
        <v>1580</v>
      </c>
      <c r="AC548" t="s">
        <v>523</v>
      </c>
      <c r="AD548" t="s">
        <v>997</v>
      </c>
      <c r="AE548" t="s">
        <v>507</v>
      </c>
      <c r="AF548" t="s">
        <v>302</v>
      </c>
      <c r="AG548">
        <v>392410.2</v>
      </c>
      <c r="AH548">
        <v>70</v>
      </c>
      <c r="AL548" t="s">
        <v>2105</v>
      </c>
      <c r="CS548" t="s">
        <v>2106</v>
      </c>
      <c r="CT548" t="s">
        <v>2107</v>
      </c>
      <c r="CU548" t="s">
        <v>1609</v>
      </c>
      <c r="CV548" t="s">
        <v>2108</v>
      </c>
    </row>
    <row r="549" spans="1:101" x14ac:dyDescent="0.25">
      <c r="A549" t="s">
        <v>2788</v>
      </c>
      <c r="B549" t="e">
        <f>_xlfn.XLOOKUP(C549,'[1]Image URL'!$E:$E,'[1]Image URL'!$A:$A)</f>
        <v>#N/A</v>
      </c>
      <c r="C549">
        <v>522407</v>
      </c>
      <c r="D549" t="s">
        <v>2789</v>
      </c>
      <c r="E549" t="s">
        <v>1507</v>
      </c>
      <c r="F549" t="s">
        <v>1672</v>
      </c>
      <c r="G549" t="s">
        <v>1672</v>
      </c>
      <c r="H549" t="s">
        <v>1567</v>
      </c>
      <c r="J549" t="s">
        <v>195</v>
      </c>
      <c r="U549" t="s">
        <v>1459</v>
      </c>
      <c r="V549" t="s">
        <v>1385</v>
      </c>
      <c r="W549">
        <v>77838870396</v>
      </c>
      <c r="X549">
        <v>10077838870393</v>
      </c>
      <c r="Y549" t="s">
        <v>1568</v>
      </c>
      <c r="Z549" t="s">
        <v>1560</v>
      </c>
      <c r="AA549" t="s">
        <v>472</v>
      </c>
      <c r="AB549" t="s">
        <v>472</v>
      </c>
      <c r="AC549" t="s">
        <v>188</v>
      </c>
      <c r="AD549" t="s">
        <v>1569</v>
      </c>
      <c r="AE549" t="s">
        <v>507</v>
      </c>
      <c r="AF549" t="s">
        <v>268</v>
      </c>
      <c r="AG549">
        <v>392410.2</v>
      </c>
      <c r="AH549">
        <v>65</v>
      </c>
      <c r="AL549" t="s">
        <v>2281</v>
      </c>
      <c r="AN549" t="s">
        <v>1570</v>
      </c>
      <c r="CW549" t="s">
        <v>1571</v>
      </c>
    </row>
    <row r="550" spans="1:101" x14ac:dyDescent="0.25">
      <c r="A550" t="s">
        <v>2790</v>
      </c>
      <c r="B550" t="e">
        <f>_xlfn.XLOOKUP(C550,'[1]Image URL'!$E:$E,'[1]Image URL'!$A:$A)</f>
        <v>#N/A</v>
      </c>
      <c r="C550">
        <v>564407</v>
      </c>
      <c r="D550" t="s">
        <v>2791</v>
      </c>
      <c r="E550" t="s">
        <v>1548</v>
      </c>
      <c r="H550" t="s">
        <v>1549</v>
      </c>
      <c r="J550" t="s">
        <v>195</v>
      </c>
      <c r="U550" t="s">
        <v>1459</v>
      </c>
      <c r="V550" t="s">
        <v>1385</v>
      </c>
      <c r="W550">
        <v>77838210482</v>
      </c>
      <c r="X550">
        <v>10077838110482</v>
      </c>
      <c r="Y550" t="s">
        <v>1550</v>
      </c>
      <c r="Z550" t="s">
        <v>1551</v>
      </c>
      <c r="AA550" t="s">
        <v>807</v>
      </c>
      <c r="AB550" t="s">
        <v>1178</v>
      </c>
      <c r="AC550" t="s">
        <v>549</v>
      </c>
      <c r="AD550" t="s">
        <v>1552</v>
      </c>
      <c r="AE550" t="s">
        <v>349</v>
      </c>
      <c r="AF550" t="s">
        <v>164</v>
      </c>
      <c r="AG550">
        <v>392410.2</v>
      </c>
      <c r="AH550">
        <v>65</v>
      </c>
      <c r="AN550" t="s">
        <v>1553</v>
      </c>
      <c r="AT550" t="s">
        <v>1549</v>
      </c>
    </row>
    <row r="551" spans="1:101" x14ac:dyDescent="0.25">
      <c r="A551" t="s">
        <v>2792</v>
      </c>
      <c r="B551" t="e">
        <f>_xlfn.XLOOKUP(C551,'[1]Image URL'!$E:$E,'[1]Image URL'!$A:$A)</f>
        <v>#N/A</v>
      </c>
      <c r="C551">
        <v>581007</v>
      </c>
      <c r="D551" t="s">
        <v>2794</v>
      </c>
      <c r="E551" t="s">
        <v>2261</v>
      </c>
      <c r="I551" t="s">
        <v>194</v>
      </c>
      <c r="J551" t="s">
        <v>195</v>
      </c>
      <c r="U551" t="s">
        <v>196</v>
      </c>
      <c r="V551" t="s">
        <v>157</v>
      </c>
      <c r="W551">
        <v>77838224717</v>
      </c>
      <c r="X551">
        <v>10077838024710</v>
      </c>
      <c r="Y551" t="s">
        <v>955</v>
      </c>
      <c r="Z551" t="s">
        <v>1866</v>
      </c>
      <c r="AA551" t="s">
        <v>1420</v>
      </c>
      <c r="AB551" t="s">
        <v>329</v>
      </c>
      <c r="AC551" t="s">
        <v>329</v>
      </c>
      <c r="AD551" t="s">
        <v>2262</v>
      </c>
      <c r="AE551" t="s">
        <v>2263</v>
      </c>
      <c r="AF551" t="s">
        <v>185</v>
      </c>
      <c r="AG551">
        <v>392410.2</v>
      </c>
      <c r="AH551">
        <v>65</v>
      </c>
      <c r="AN551" t="s">
        <v>288</v>
      </c>
      <c r="AT551" t="s">
        <v>1500</v>
      </c>
    </row>
    <row r="552" spans="1:101" x14ac:dyDescent="0.25">
      <c r="A552" t="s">
        <v>2795</v>
      </c>
      <c r="B552" t="e">
        <f>_xlfn.XLOOKUP(C552,'[1]Image URL'!$E:$E,'[1]Image URL'!$A:$A)</f>
        <v>#N/A</v>
      </c>
      <c r="C552" t="s">
        <v>3025</v>
      </c>
      <c r="D552" t="s">
        <v>2797</v>
      </c>
      <c r="E552" t="s">
        <v>1910</v>
      </c>
      <c r="H552" t="s">
        <v>1911</v>
      </c>
      <c r="J552" t="s">
        <v>195</v>
      </c>
      <c r="U552" t="s">
        <v>1459</v>
      </c>
      <c r="V552" t="s">
        <v>1385</v>
      </c>
      <c r="W552">
        <v>77838210857</v>
      </c>
      <c r="X552">
        <v>10077838110857</v>
      </c>
      <c r="Y552" t="s">
        <v>967</v>
      </c>
      <c r="Z552" t="s">
        <v>1912</v>
      </c>
      <c r="AA552" t="s">
        <v>1913</v>
      </c>
      <c r="AB552" t="s">
        <v>462</v>
      </c>
      <c r="AC552" t="s">
        <v>866</v>
      </c>
      <c r="AD552" t="s">
        <v>301</v>
      </c>
      <c r="AE552" t="s">
        <v>349</v>
      </c>
      <c r="AF552" t="s">
        <v>235</v>
      </c>
      <c r="AG552">
        <v>392410.2</v>
      </c>
      <c r="AH552">
        <v>70</v>
      </c>
      <c r="AN552" t="s">
        <v>1553</v>
      </c>
      <c r="AT552" t="s">
        <v>1911</v>
      </c>
      <c r="CW552" t="s">
        <v>193</v>
      </c>
    </row>
    <row r="553" spans="1:101" x14ac:dyDescent="0.25">
      <c r="A553" t="s">
        <v>2798</v>
      </c>
      <c r="B553" t="e">
        <f>_xlfn.XLOOKUP(C553,'[1]Image URL'!$E:$E,'[1]Image URL'!$A:$A)</f>
        <v>#N/A</v>
      </c>
      <c r="C553" t="s">
        <v>3037</v>
      </c>
      <c r="D553" t="s">
        <v>2799</v>
      </c>
      <c r="E553" t="s">
        <v>1537</v>
      </c>
      <c r="F553" t="s">
        <v>1609</v>
      </c>
      <c r="G553" t="s">
        <v>2100</v>
      </c>
      <c r="H553" t="s">
        <v>2101</v>
      </c>
      <c r="M553" t="s">
        <v>2102</v>
      </c>
      <c r="T553" t="s">
        <v>2103</v>
      </c>
      <c r="U553" t="s">
        <v>1459</v>
      </c>
      <c r="V553" t="s">
        <v>1385</v>
      </c>
      <c r="W553">
        <v>77838887462</v>
      </c>
      <c r="X553">
        <v>10077838887469</v>
      </c>
      <c r="Y553" t="s">
        <v>2104</v>
      </c>
      <c r="Z553" t="s">
        <v>1294</v>
      </c>
      <c r="AA553" t="s">
        <v>775</v>
      </c>
      <c r="AB553" t="s">
        <v>1580</v>
      </c>
      <c r="AC553" t="s">
        <v>523</v>
      </c>
      <c r="AD553" t="s">
        <v>997</v>
      </c>
      <c r="AE553" t="s">
        <v>507</v>
      </c>
      <c r="AF553" t="s">
        <v>302</v>
      </c>
      <c r="AG553">
        <v>392410.2</v>
      </c>
      <c r="AH553">
        <v>70</v>
      </c>
      <c r="AL553" t="s">
        <v>2105</v>
      </c>
      <c r="CS553" t="s">
        <v>2106</v>
      </c>
      <c r="CT553" t="s">
        <v>2107</v>
      </c>
      <c r="CU553" t="s">
        <v>1609</v>
      </c>
      <c r="CV553" t="s">
        <v>2108</v>
      </c>
    </row>
    <row r="554" spans="1:101" x14ac:dyDescent="0.25">
      <c r="A554" t="s">
        <v>2800</v>
      </c>
      <c r="B554" t="e">
        <f>_xlfn.XLOOKUP(C554,'[1]Image URL'!$E:$E,'[1]Image URL'!$A:$A)</f>
        <v>#N/A</v>
      </c>
      <c r="C554" t="s">
        <v>3040</v>
      </c>
      <c r="D554" t="s">
        <v>2801</v>
      </c>
      <c r="E554" t="s">
        <v>2802</v>
      </c>
      <c r="F554" t="s">
        <v>1124</v>
      </c>
      <c r="G554" t="s">
        <v>1124</v>
      </c>
      <c r="H554" t="s">
        <v>413</v>
      </c>
      <c r="I554" t="s">
        <v>194</v>
      </c>
      <c r="J554" t="s">
        <v>195</v>
      </c>
      <c r="M554" t="s">
        <v>1869</v>
      </c>
      <c r="T554" t="s">
        <v>1711</v>
      </c>
      <c r="U554" t="s">
        <v>196</v>
      </c>
      <c r="V554" t="s">
        <v>157</v>
      </c>
      <c r="W554">
        <v>77838500408</v>
      </c>
      <c r="X554">
        <v>10077838000400</v>
      </c>
      <c r="Y554" t="s">
        <v>1559</v>
      </c>
      <c r="Z554" t="s">
        <v>892</v>
      </c>
      <c r="AA554" t="s">
        <v>2803</v>
      </c>
      <c r="AB554" t="s">
        <v>1169</v>
      </c>
      <c r="AC554" t="s">
        <v>1375</v>
      </c>
      <c r="AD554" t="s">
        <v>1562</v>
      </c>
      <c r="AE554" t="s">
        <v>184</v>
      </c>
      <c r="AF554" t="s">
        <v>268</v>
      </c>
      <c r="AG554">
        <v>392410.2</v>
      </c>
      <c r="AH554">
        <v>70</v>
      </c>
      <c r="AL554" t="s">
        <v>1519</v>
      </c>
      <c r="AN554" t="s">
        <v>1124</v>
      </c>
    </row>
    <row r="555" spans="1:101" x14ac:dyDescent="0.25">
      <c r="A555" t="s">
        <v>2804</v>
      </c>
      <c r="B555" t="e">
        <f>_xlfn.XLOOKUP(C555,'[1]Image URL'!$E:$E,'[1]Image URL'!$A:$A)</f>
        <v>#N/A</v>
      </c>
      <c r="C555">
        <v>550807</v>
      </c>
      <c r="D555" t="s">
        <v>1997</v>
      </c>
      <c r="E555" t="s">
        <v>2052</v>
      </c>
      <c r="F555" t="s">
        <v>1999</v>
      </c>
      <c r="G555" t="s">
        <v>1999</v>
      </c>
      <c r="H555" t="s">
        <v>2053</v>
      </c>
      <c r="J555" t="s">
        <v>195</v>
      </c>
      <c r="U555" t="s">
        <v>1459</v>
      </c>
      <c r="V555" t="s">
        <v>1385</v>
      </c>
      <c r="W555">
        <v>77838823095</v>
      </c>
      <c r="X555">
        <v>10077838823092</v>
      </c>
      <c r="Y555" t="s">
        <v>2054</v>
      </c>
      <c r="Z555" t="s">
        <v>1764</v>
      </c>
      <c r="AA555" t="s">
        <v>807</v>
      </c>
      <c r="AB555" t="s">
        <v>775</v>
      </c>
      <c r="AC555" t="s">
        <v>395</v>
      </c>
      <c r="AD555" t="s">
        <v>402</v>
      </c>
      <c r="AE555" t="s">
        <v>349</v>
      </c>
      <c r="AF555" t="s">
        <v>315</v>
      </c>
      <c r="AG555">
        <v>392410.2</v>
      </c>
      <c r="AH555">
        <v>65</v>
      </c>
      <c r="AL555" t="s">
        <v>1660</v>
      </c>
      <c r="AN555" t="s">
        <v>2055</v>
      </c>
      <c r="AT555" t="s">
        <v>2053</v>
      </c>
    </row>
    <row r="556" spans="1:101" x14ac:dyDescent="0.25">
      <c r="A556" t="s">
        <v>2805</v>
      </c>
      <c r="B556" t="e">
        <f>_xlfn.XLOOKUP(C556,'[1]Image URL'!$E:$E,'[1]Image URL'!$A:$A)</f>
        <v>#N/A</v>
      </c>
      <c r="C556">
        <v>582218</v>
      </c>
      <c r="D556" t="s">
        <v>2806</v>
      </c>
      <c r="E556" t="s">
        <v>1537</v>
      </c>
      <c r="F556" t="s">
        <v>2138</v>
      </c>
      <c r="G556" t="s">
        <v>2139</v>
      </c>
      <c r="H556" t="s">
        <v>186</v>
      </c>
      <c r="M556" t="s">
        <v>1774</v>
      </c>
      <c r="T556" t="s">
        <v>2131</v>
      </c>
      <c r="U556" t="s">
        <v>1459</v>
      </c>
      <c r="V556" t="s">
        <v>1385</v>
      </c>
      <c r="W556">
        <v>77838887509</v>
      </c>
      <c r="X556">
        <v>10077838887506</v>
      </c>
      <c r="Y556" t="s">
        <v>2140</v>
      </c>
      <c r="Z556" t="s">
        <v>159</v>
      </c>
      <c r="AA556" t="s">
        <v>2141</v>
      </c>
      <c r="AB556" t="s">
        <v>2141</v>
      </c>
      <c r="AC556" t="s">
        <v>150</v>
      </c>
      <c r="AD556" t="s">
        <v>1390</v>
      </c>
      <c r="AE556" t="s">
        <v>184</v>
      </c>
      <c r="AF556" t="s">
        <v>315</v>
      </c>
      <c r="AG556">
        <v>392410.2</v>
      </c>
      <c r="AH556">
        <v>85</v>
      </c>
      <c r="AL556" t="s">
        <v>681</v>
      </c>
      <c r="CS556" t="s">
        <v>2142</v>
      </c>
      <c r="CT556" t="s">
        <v>2143</v>
      </c>
      <c r="CU556" t="s">
        <v>2144</v>
      </c>
      <c r="CV556" t="s">
        <v>2145</v>
      </c>
    </row>
    <row r="557" spans="1:101" x14ac:dyDescent="0.25">
      <c r="A557" t="s">
        <v>2807</v>
      </c>
      <c r="B557" t="e">
        <f>_xlfn.XLOOKUP(C557,'[1]Image URL'!$E:$E,'[1]Image URL'!$A:$A)</f>
        <v>#N/A</v>
      </c>
      <c r="C557">
        <v>554607</v>
      </c>
      <c r="D557" t="s">
        <v>2808</v>
      </c>
      <c r="E557" t="s">
        <v>1723</v>
      </c>
      <c r="F557" t="s">
        <v>1724</v>
      </c>
      <c r="G557" t="s">
        <v>1725</v>
      </c>
      <c r="H557" t="s">
        <v>1726</v>
      </c>
      <c r="J557" t="s">
        <v>195</v>
      </c>
      <c r="U557" t="s">
        <v>1459</v>
      </c>
      <c r="V557" t="s">
        <v>1385</v>
      </c>
      <c r="W557">
        <v>77838824351</v>
      </c>
      <c r="X557">
        <v>10077838824358</v>
      </c>
      <c r="Y557" t="s">
        <v>387</v>
      </c>
      <c r="Z557" t="s">
        <v>1727</v>
      </c>
      <c r="AA557" t="s">
        <v>1728</v>
      </c>
      <c r="AB557" t="s">
        <v>1729</v>
      </c>
      <c r="AC557" t="s">
        <v>463</v>
      </c>
      <c r="AD557" t="s">
        <v>183</v>
      </c>
      <c r="AE557" t="s">
        <v>184</v>
      </c>
      <c r="AF557" t="s">
        <v>185</v>
      </c>
      <c r="AG557">
        <v>392410.2</v>
      </c>
      <c r="AH557">
        <v>65</v>
      </c>
      <c r="AT557" t="s">
        <v>1726</v>
      </c>
    </row>
    <row r="558" spans="1:101" x14ac:dyDescent="0.25">
      <c r="A558" t="s">
        <v>2809</v>
      </c>
      <c r="B558" t="e">
        <f>_xlfn.XLOOKUP(C558,'[1]Image URL'!$E:$E,'[1]Image URL'!$A:$A)</f>
        <v>#N/A</v>
      </c>
      <c r="C558" t="s">
        <v>3056</v>
      </c>
      <c r="D558" t="s">
        <v>2810</v>
      </c>
      <c r="E558" t="s">
        <v>1507</v>
      </c>
      <c r="F558" t="s">
        <v>549</v>
      </c>
      <c r="G558" t="s">
        <v>549</v>
      </c>
      <c r="H558" t="s">
        <v>2044</v>
      </c>
      <c r="J558" t="s">
        <v>195</v>
      </c>
      <c r="U558" t="s">
        <v>1459</v>
      </c>
      <c r="V558" t="s">
        <v>1385</v>
      </c>
      <c r="W558">
        <v>77838870860</v>
      </c>
      <c r="X558">
        <v>10077838870867</v>
      </c>
      <c r="Y558" t="s">
        <v>1568</v>
      </c>
      <c r="Z558" t="s">
        <v>1266</v>
      </c>
      <c r="AA558" t="s">
        <v>2405</v>
      </c>
      <c r="AB558" t="s">
        <v>2405</v>
      </c>
      <c r="AC558" t="s">
        <v>346</v>
      </c>
      <c r="AD558" t="s">
        <v>1390</v>
      </c>
      <c r="AE558" t="s">
        <v>184</v>
      </c>
      <c r="AF558" t="s">
        <v>315</v>
      </c>
      <c r="AG558">
        <v>392410.2</v>
      </c>
      <c r="AH558">
        <v>65</v>
      </c>
      <c r="AL558" t="s">
        <v>2281</v>
      </c>
    </row>
    <row r="559" spans="1:101" x14ac:dyDescent="0.25">
      <c r="A559" t="s">
        <v>2811</v>
      </c>
      <c r="B559" t="e">
        <f>_xlfn.XLOOKUP(C559,'[1]Image URL'!$E:$E,'[1]Image URL'!$A:$A)</f>
        <v>#N/A</v>
      </c>
      <c r="C559">
        <v>553207</v>
      </c>
      <c r="D559" t="s">
        <v>2812</v>
      </c>
      <c r="E559" t="s">
        <v>2813</v>
      </c>
      <c r="F559" t="s">
        <v>338</v>
      </c>
      <c r="G559" t="s">
        <v>338</v>
      </c>
      <c r="H559" t="s">
        <v>2814</v>
      </c>
      <c r="J559" t="s">
        <v>195</v>
      </c>
      <c r="U559" t="s">
        <v>1459</v>
      </c>
      <c r="V559" t="s">
        <v>1385</v>
      </c>
      <c r="W559">
        <v>77838097755</v>
      </c>
      <c r="X559">
        <v>10077838097752</v>
      </c>
      <c r="Y559" t="s">
        <v>240</v>
      </c>
      <c r="Z559" t="s">
        <v>632</v>
      </c>
      <c r="AA559" t="s">
        <v>2815</v>
      </c>
      <c r="AB559" t="s">
        <v>1374</v>
      </c>
      <c r="AC559" t="s">
        <v>1374</v>
      </c>
      <c r="AD559" t="s">
        <v>2816</v>
      </c>
      <c r="AE559" t="s">
        <v>507</v>
      </c>
      <c r="AF559" t="s">
        <v>1319</v>
      </c>
      <c r="AG559">
        <v>392410.2</v>
      </c>
      <c r="AH559">
        <v>70</v>
      </c>
      <c r="AL559" t="s">
        <v>2008</v>
      </c>
      <c r="AM559" t="s">
        <v>2817</v>
      </c>
      <c r="AT559" t="s">
        <v>2814</v>
      </c>
    </row>
    <row r="560" spans="1:101" x14ac:dyDescent="0.25">
      <c r="A560" t="s">
        <v>2818</v>
      </c>
      <c r="B560" t="e">
        <f>_xlfn.XLOOKUP(C560,'[1]Image URL'!$E:$E,'[1]Image URL'!$A:$A)</f>
        <v>#N/A</v>
      </c>
      <c r="C560">
        <v>521613</v>
      </c>
      <c r="D560" t="s">
        <v>2819</v>
      </c>
      <c r="E560" t="s">
        <v>1998</v>
      </c>
      <c r="F560" t="s">
        <v>1999</v>
      </c>
      <c r="G560" t="s">
        <v>1999</v>
      </c>
      <c r="H560" t="s">
        <v>2000</v>
      </c>
      <c r="J560" t="s">
        <v>195</v>
      </c>
      <c r="U560" t="s">
        <v>1459</v>
      </c>
      <c r="V560" t="s">
        <v>1385</v>
      </c>
      <c r="W560">
        <v>77838822975</v>
      </c>
      <c r="X560">
        <v>10077838822972</v>
      </c>
      <c r="Y560" t="s">
        <v>539</v>
      </c>
      <c r="Z560" t="s">
        <v>1141</v>
      </c>
      <c r="AA560" t="s">
        <v>587</v>
      </c>
      <c r="AB560" t="s">
        <v>523</v>
      </c>
      <c r="AC560" t="s">
        <v>696</v>
      </c>
      <c r="AD560" t="s">
        <v>1390</v>
      </c>
      <c r="AE560" t="s">
        <v>184</v>
      </c>
      <c r="AF560" t="s">
        <v>315</v>
      </c>
      <c r="AG560">
        <v>392410.2</v>
      </c>
      <c r="AH560">
        <v>65</v>
      </c>
      <c r="AL560" t="s">
        <v>2001</v>
      </c>
      <c r="AN560" t="s">
        <v>1999</v>
      </c>
      <c r="AT560" t="s">
        <v>2000</v>
      </c>
    </row>
    <row r="561" spans="1:107" x14ac:dyDescent="0.25">
      <c r="A561" t="s">
        <v>2820</v>
      </c>
      <c r="B561" t="e">
        <f>_xlfn.XLOOKUP(C561,'[1]Image URL'!$E:$E,'[1]Image URL'!$A:$A)</f>
        <v>#N/A</v>
      </c>
      <c r="C561" t="s">
        <v>3066</v>
      </c>
      <c r="D561" t="s">
        <v>2821</v>
      </c>
      <c r="E561" t="s">
        <v>1537</v>
      </c>
      <c r="F561" t="s">
        <v>1616</v>
      </c>
      <c r="G561" t="s">
        <v>1617</v>
      </c>
      <c r="H561" t="s">
        <v>848</v>
      </c>
      <c r="U561" t="s">
        <v>1459</v>
      </c>
      <c r="V561" t="s">
        <v>1385</v>
      </c>
      <c r="W561">
        <v>77838887233</v>
      </c>
      <c r="X561">
        <v>10077838887230</v>
      </c>
      <c r="Y561" t="s">
        <v>1618</v>
      </c>
      <c r="Z561" t="s">
        <v>1192</v>
      </c>
      <c r="AA561" t="s">
        <v>1619</v>
      </c>
      <c r="AB561" t="s">
        <v>1620</v>
      </c>
      <c r="AC561" t="s">
        <v>1107</v>
      </c>
      <c r="AD561" t="s">
        <v>1621</v>
      </c>
      <c r="AE561" t="s">
        <v>235</v>
      </c>
      <c r="AF561" t="s">
        <v>315</v>
      </c>
      <c r="AG561">
        <v>392410.2</v>
      </c>
      <c r="AH561">
        <v>70</v>
      </c>
      <c r="AL561" t="s">
        <v>1622</v>
      </c>
      <c r="CS561" t="s">
        <v>1623</v>
      </c>
      <c r="CT561" t="s">
        <v>1624</v>
      </c>
      <c r="CU561" t="s">
        <v>1625</v>
      </c>
      <c r="CV561" t="s">
        <v>1617</v>
      </c>
    </row>
    <row r="562" spans="1:107" x14ac:dyDescent="0.25">
      <c r="A562" t="s">
        <v>2822</v>
      </c>
      <c r="B562" t="e">
        <f>_xlfn.XLOOKUP(C562,'[1]Image URL'!$E:$E,'[1]Image URL'!$A:$A)</f>
        <v>#N/A</v>
      </c>
      <c r="C562">
        <v>111207</v>
      </c>
      <c r="D562" t="s">
        <v>2823</v>
      </c>
      <c r="E562" t="s">
        <v>1678</v>
      </c>
      <c r="F562" t="s">
        <v>1679</v>
      </c>
      <c r="G562" t="s">
        <v>1679</v>
      </c>
      <c r="H562" t="s">
        <v>1423</v>
      </c>
      <c r="J562" t="s">
        <v>195</v>
      </c>
      <c r="U562" t="s">
        <v>1459</v>
      </c>
      <c r="V562" t="s">
        <v>1385</v>
      </c>
      <c r="W562">
        <v>77838210765</v>
      </c>
      <c r="X562">
        <v>10077838110765</v>
      </c>
      <c r="Y562" t="s">
        <v>1680</v>
      </c>
      <c r="Z562" t="s">
        <v>408</v>
      </c>
      <c r="AA562" t="s">
        <v>161</v>
      </c>
      <c r="AB562" t="s">
        <v>766</v>
      </c>
      <c r="AC562" t="s">
        <v>549</v>
      </c>
      <c r="AD562" t="s">
        <v>1681</v>
      </c>
      <c r="AE562" t="s">
        <v>204</v>
      </c>
      <c r="AF562" t="s">
        <v>403</v>
      </c>
      <c r="AG562">
        <v>392410.2</v>
      </c>
      <c r="AH562">
        <v>65</v>
      </c>
      <c r="AL562" t="s">
        <v>1682</v>
      </c>
      <c r="AM562" t="s">
        <v>1683</v>
      </c>
      <c r="AN562" t="s">
        <v>1679</v>
      </c>
      <c r="AT562" t="s">
        <v>1423</v>
      </c>
    </row>
    <row r="563" spans="1:107" x14ac:dyDescent="0.25">
      <c r="A563" t="s">
        <v>2824</v>
      </c>
      <c r="B563" t="e">
        <f>_xlfn.XLOOKUP(C563,'[1]Image URL'!$E:$E,'[1]Image URL'!$A:$A)</f>
        <v>#N/A</v>
      </c>
      <c r="C563">
        <v>560307</v>
      </c>
      <c r="D563" t="s">
        <v>2826</v>
      </c>
      <c r="E563" t="s">
        <v>2827</v>
      </c>
      <c r="H563" t="s">
        <v>193</v>
      </c>
      <c r="I563" t="s">
        <v>194</v>
      </c>
      <c r="J563" t="s">
        <v>195</v>
      </c>
      <c r="U563" t="s">
        <v>196</v>
      </c>
      <c r="V563" t="s">
        <v>157</v>
      </c>
      <c r="W563">
        <v>77838025260</v>
      </c>
      <c r="X563">
        <v>10077838025267</v>
      </c>
      <c r="Y563" t="s">
        <v>2828</v>
      </c>
      <c r="Z563" t="s">
        <v>903</v>
      </c>
      <c r="AA563" t="s">
        <v>2829</v>
      </c>
      <c r="AB563" t="s">
        <v>2829</v>
      </c>
      <c r="AC563" t="s">
        <v>1532</v>
      </c>
      <c r="AD563" t="s">
        <v>301</v>
      </c>
      <c r="AE563" t="s">
        <v>204</v>
      </c>
      <c r="AF563" t="s">
        <v>456</v>
      </c>
      <c r="AG563">
        <v>392410.2</v>
      </c>
      <c r="AH563">
        <v>65</v>
      </c>
      <c r="AN563" t="s">
        <v>192</v>
      </c>
      <c r="AT563" t="s">
        <v>193</v>
      </c>
    </row>
    <row r="564" spans="1:107" x14ac:dyDescent="0.25">
      <c r="A564" t="s">
        <v>2830</v>
      </c>
      <c r="B564" t="e">
        <f>_xlfn.XLOOKUP(C564,'[1]Image URL'!$E:$E,'[1]Image URL'!$A:$A)</f>
        <v>#N/A</v>
      </c>
      <c r="C564">
        <v>110807</v>
      </c>
      <c r="D564" t="s">
        <v>2832</v>
      </c>
      <c r="E564" t="s">
        <v>2833</v>
      </c>
      <c r="I564" t="s">
        <v>194</v>
      </c>
      <c r="J564" t="s">
        <v>195</v>
      </c>
      <c r="U564" t="s">
        <v>196</v>
      </c>
      <c r="V564" t="s">
        <v>157</v>
      </c>
      <c r="W564">
        <v>77838222492</v>
      </c>
      <c r="X564">
        <v>10077838022495</v>
      </c>
      <c r="Y564" t="s">
        <v>2834</v>
      </c>
      <c r="Z564" t="s">
        <v>1701</v>
      </c>
      <c r="AA564" t="s">
        <v>2058</v>
      </c>
      <c r="AB564" t="s">
        <v>2058</v>
      </c>
      <c r="AC564" t="s">
        <v>543</v>
      </c>
      <c r="AD564" t="s">
        <v>396</v>
      </c>
      <c r="AE564" t="s">
        <v>163</v>
      </c>
      <c r="AF564" t="s">
        <v>268</v>
      </c>
      <c r="AG564">
        <v>392410.2</v>
      </c>
      <c r="AH564">
        <v>70</v>
      </c>
      <c r="AM564" t="s">
        <v>2835</v>
      </c>
      <c r="AN564" t="s">
        <v>386</v>
      </c>
      <c r="AT564" t="s">
        <v>201</v>
      </c>
    </row>
    <row r="565" spans="1:107" x14ac:dyDescent="0.25">
      <c r="A565" t="s">
        <v>2836</v>
      </c>
      <c r="B565" t="e">
        <f>_xlfn.XLOOKUP(C565,'[1]Image URL'!$E:$E,'[1]Image URL'!$A:$A)</f>
        <v>#N/A</v>
      </c>
      <c r="C565">
        <v>564107</v>
      </c>
      <c r="D565" t="s">
        <v>2837</v>
      </c>
      <c r="E565" t="s">
        <v>2035</v>
      </c>
      <c r="F565" t="s">
        <v>2036</v>
      </c>
      <c r="G565" t="s">
        <v>2036</v>
      </c>
      <c r="H565" t="s">
        <v>2037</v>
      </c>
      <c r="J565" t="s">
        <v>195</v>
      </c>
      <c r="U565" t="s">
        <v>1459</v>
      </c>
      <c r="V565" t="s">
        <v>1385</v>
      </c>
      <c r="W565">
        <v>77838295397</v>
      </c>
      <c r="X565">
        <v>10077838095390</v>
      </c>
      <c r="Y565" t="s">
        <v>556</v>
      </c>
      <c r="Z565" t="s">
        <v>2038</v>
      </c>
      <c r="AA565" t="s">
        <v>536</v>
      </c>
      <c r="AB565" t="s">
        <v>2039</v>
      </c>
      <c r="AC565" t="s">
        <v>2040</v>
      </c>
      <c r="AD565" t="s">
        <v>446</v>
      </c>
      <c r="AE565" t="s">
        <v>184</v>
      </c>
      <c r="AF565" t="s">
        <v>302</v>
      </c>
      <c r="AG565">
        <v>392410.2</v>
      </c>
      <c r="AH565">
        <v>70</v>
      </c>
      <c r="AL565" t="s">
        <v>2041</v>
      </c>
      <c r="AM565" t="s">
        <v>1699</v>
      </c>
      <c r="AN565" t="s">
        <v>2036</v>
      </c>
      <c r="AT565" t="s">
        <v>2037</v>
      </c>
    </row>
    <row r="566" spans="1:107" x14ac:dyDescent="0.25">
      <c r="A566" t="s">
        <v>2838</v>
      </c>
      <c r="B566" t="e">
        <f>_xlfn.XLOOKUP(C566,'[1]Image URL'!$E:$E,'[1]Image URL'!$A:$A)</f>
        <v>#N/A</v>
      </c>
      <c r="C566">
        <v>581207</v>
      </c>
      <c r="D566" t="s">
        <v>2839</v>
      </c>
      <c r="E566" t="s">
        <v>1857</v>
      </c>
      <c r="H566" t="s">
        <v>1858</v>
      </c>
      <c r="J566" t="s">
        <v>195</v>
      </c>
      <c r="U566" t="s">
        <v>1459</v>
      </c>
      <c r="V566" t="s">
        <v>1385</v>
      </c>
      <c r="W566">
        <v>77838201909</v>
      </c>
      <c r="X566">
        <v>10077838101909</v>
      </c>
      <c r="Y566" t="s">
        <v>1859</v>
      </c>
      <c r="Z566" t="s">
        <v>1803</v>
      </c>
      <c r="AA566" t="s">
        <v>1860</v>
      </c>
      <c r="AB566" t="s">
        <v>324</v>
      </c>
      <c r="AC566" t="s">
        <v>1273</v>
      </c>
      <c r="AD566" t="s">
        <v>402</v>
      </c>
      <c r="AE566" t="s">
        <v>303</v>
      </c>
      <c r="AF566" t="s">
        <v>235</v>
      </c>
      <c r="AG566">
        <v>392410.2</v>
      </c>
      <c r="AH566">
        <v>60</v>
      </c>
      <c r="AN566" t="s">
        <v>1375</v>
      </c>
      <c r="AT566" t="s">
        <v>1858</v>
      </c>
    </row>
    <row r="567" spans="1:107" x14ac:dyDescent="0.25">
      <c r="A567" t="s">
        <v>2840</v>
      </c>
      <c r="B567" t="e">
        <f>_xlfn.XLOOKUP(C567,'[1]Image URL'!$E:$E,'[1]Image URL'!$A:$A)</f>
        <v>#N/A</v>
      </c>
      <c r="C567" t="s">
        <v>3103</v>
      </c>
      <c r="D567" t="s">
        <v>2841</v>
      </c>
      <c r="E567" t="s">
        <v>1697</v>
      </c>
      <c r="H567" t="s">
        <v>2064</v>
      </c>
      <c r="J567" t="s">
        <v>195</v>
      </c>
      <c r="M567" t="s">
        <v>1461</v>
      </c>
      <c r="T567" t="s">
        <v>2065</v>
      </c>
      <c r="U567" t="s">
        <v>1459</v>
      </c>
      <c r="V567" t="s">
        <v>1385</v>
      </c>
      <c r="W567">
        <v>77838888902</v>
      </c>
      <c r="X567">
        <v>10077838888909</v>
      </c>
      <c r="Y567" t="s">
        <v>2066</v>
      </c>
      <c r="Z567" t="s">
        <v>1579</v>
      </c>
      <c r="AA567" t="s">
        <v>2067</v>
      </c>
      <c r="AB567" t="s">
        <v>298</v>
      </c>
      <c r="AC567" t="s">
        <v>288</v>
      </c>
      <c r="AD567" t="s">
        <v>997</v>
      </c>
      <c r="AE567" t="s">
        <v>268</v>
      </c>
      <c r="AF567" t="s">
        <v>268</v>
      </c>
      <c r="AG567">
        <v>392410.2</v>
      </c>
      <c r="AH567">
        <v>70</v>
      </c>
      <c r="AN567" t="s">
        <v>466</v>
      </c>
    </row>
    <row r="568" spans="1:107" x14ac:dyDescent="0.25">
      <c r="A568" t="s">
        <v>2842</v>
      </c>
      <c r="B568" t="e">
        <f>_xlfn.XLOOKUP(C568,'[1]Image URL'!$E:$E,'[1]Image URL'!$A:$A)</f>
        <v>#N/A</v>
      </c>
      <c r="C568">
        <v>550507</v>
      </c>
      <c r="D568" t="s">
        <v>2843</v>
      </c>
      <c r="E568" t="s">
        <v>1678</v>
      </c>
      <c r="F568" t="s">
        <v>1679</v>
      </c>
      <c r="G568" t="s">
        <v>1679</v>
      </c>
      <c r="H568" t="s">
        <v>1423</v>
      </c>
      <c r="J568" t="s">
        <v>195</v>
      </c>
      <c r="U568" t="s">
        <v>1459</v>
      </c>
      <c r="V568" t="s">
        <v>1385</v>
      </c>
      <c r="W568">
        <v>77838296059</v>
      </c>
      <c r="X568">
        <v>10077838096052</v>
      </c>
      <c r="Y568" t="s">
        <v>1680</v>
      </c>
      <c r="Z568" t="s">
        <v>408</v>
      </c>
      <c r="AA568" t="s">
        <v>161</v>
      </c>
      <c r="AB568" t="s">
        <v>766</v>
      </c>
      <c r="AC568" t="s">
        <v>549</v>
      </c>
      <c r="AD568" t="s">
        <v>1681</v>
      </c>
      <c r="AE568" t="s">
        <v>204</v>
      </c>
      <c r="AF568" t="s">
        <v>403</v>
      </c>
      <c r="AG568">
        <v>392410.2</v>
      </c>
      <c r="AH568">
        <v>65</v>
      </c>
      <c r="AL568" t="s">
        <v>1682</v>
      </c>
      <c r="AM568" t="s">
        <v>1683</v>
      </c>
      <c r="AN568" t="s">
        <v>1679</v>
      </c>
      <c r="AT568" t="s">
        <v>1423</v>
      </c>
    </row>
    <row r="569" spans="1:107" x14ac:dyDescent="0.25">
      <c r="A569" t="s">
        <v>2844</v>
      </c>
      <c r="B569" t="e">
        <f>_xlfn.XLOOKUP(C569,'[1]Image URL'!$E:$E,'[1]Image URL'!$A:$A)</f>
        <v>#N/A</v>
      </c>
      <c r="C569">
        <v>557007</v>
      </c>
      <c r="D569" t="s">
        <v>2846</v>
      </c>
      <c r="E569" t="s">
        <v>2267</v>
      </c>
      <c r="H569" t="s">
        <v>2268</v>
      </c>
      <c r="J569" t="s">
        <v>195</v>
      </c>
      <c r="U569" t="s">
        <v>1459</v>
      </c>
      <c r="V569" t="s">
        <v>1385</v>
      </c>
      <c r="W569">
        <v>77838211274</v>
      </c>
      <c r="X569">
        <v>10077838111274</v>
      </c>
      <c r="Y569" t="s">
        <v>2269</v>
      </c>
      <c r="Z569" t="s">
        <v>993</v>
      </c>
      <c r="AA569" t="s">
        <v>1441</v>
      </c>
      <c r="AB569" t="s">
        <v>1441</v>
      </c>
      <c r="AC569" t="s">
        <v>2196</v>
      </c>
      <c r="AD569" t="s">
        <v>301</v>
      </c>
      <c r="AE569" t="s">
        <v>184</v>
      </c>
      <c r="AF569" t="s">
        <v>164</v>
      </c>
      <c r="AG569">
        <v>392410.2</v>
      </c>
      <c r="AH569">
        <v>70</v>
      </c>
      <c r="AM569" t="s">
        <v>2270</v>
      </c>
      <c r="AN569" t="s">
        <v>2271</v>
      </c>
      <c r="DC569" t="s">
        <v>340</v>
      </c>
    </row>
    <row r="570" spans="1:107" x14ac:dyDescent="0.25">
      <c r="A570" t="s">
        <v>2847</v>
      </c>
      <c r="B570" t="e">
        <f>_xlfn.XLOOKUP(C570,'[1]Image URL'!$E:$E,'[1]Image URL'!$A:$A)</f>
        <v>#N/A</v>
      </c>
      <c r="C570">
        <v>560107</v>
      </c>
      <c r="D570" t="s">
        <v>2848</v>
      </c>
      <c r="E570" t="s">
        <v>1537</v>
      </c>
      <c r="F570" t="s">
        <v>1740</v>
      </c>
      <c r="G570" t="s">
        <v>1740</v>
      </c>
      <c r="H570" t="s">
        <v>1741</v>
      </c>
      <c r="U570" t="s">
        <v>1459</v>
      </c>
      <c r="V570" t="s">
        <v>1385</v>
      </c>
      <c r="W570">
        <v>77838887387</v>
      </c>
      <c r="X570">
        <v>10077838887384</v>
      </c>
      <c r="Y570" t="s">
        <v>1742</v>
      </c>
      <c r="Z570" t="s">
        <v>1743</v>
      </c>
      <c r="AA570" t="s">
        <v>169</v>
      </c>
      <c r="AB570" t="s">
        <v>169</v>
      </c>
      <c r="AC570" t="s">
        <v>242</v>
      </c>
      <c r="AD570" t="s">
        <v>301</v>
      </c>
      <c r="AE570" t="s">
        <v>184</v>
      </c>
      <c r="AF570" t="s">
        <v>164</v>
      </c>
      <c r="AG570">
        <v>392410.2</v>
      </c>
      <c r="AH570">
        <v>70</v>
      </c>
      <c r="AL570" t="s">
        <v>1744</v>
      </c>
      <c r="CC570" t="s">
        <v>1740</v>
      </c>
      <c r="CQ570" t="s">
        <v>1745</v>
      </c>
    </row>
    <row r="571" spans="1:107" x14ac:dyDescent="0.25">
      <c r="A571" t="s">
        <v>2849</v>
      </c>
      <c r="B571" t="e">
        <f>_xlfn.XLOOKUP(C571,'[1]Image URL'!$E:$E,'[1]Image URL'!$A:$A)</f>
        <v>#N/A</v>
      </c>
      <c r="C571">
        <v>401607</v>
      </c>
      <c r="D571" t="s">
        <v>2850</v>
      </c>
      <c r="E571" t="s">
        <v>2170</v>
      </c>
      <c r="F571" t="s">
        <v>2171</v>
      </c>
      <c r="G571" t="s">
        <v>2171</v>
      </c>
      <c r="H571" t="s">
        <v>330</v>
      </c>
      <c r="J571" t="s">
        <v>195</v>
      </c>
      <c r="U571" t="s">
        <v>1459</v>
      </c>
      <c r="V571" t="s">
        <v>1385</v>
      </c>
      <c r="W571">
        <v>77838295892</v>
      </c>
      <c r="X571">
        <v>10077838095895</v>
      </c>
      <c r="Y571" t="s">
        <v>2172</v>
      </c>
      <c r="Z571" t="s">
        <v>1266</v>
      </c>
      <c r="AA571" t="s">
        <v>1388</v>
      </c>
      <c r="AB571" t="s">
        <v>462</v>
      </c>
      <c r="AC571" t="s">
        <v>536</v>
      </c>
      <c r="AD571" t="s">
        <v>2173</v>
      </c>
      <c r="AE571" t="s">
        <v>204</v>
      </c>
      <c r="AF571" t="s">
        <v>185</v>
      </c>
      <c r="AG571">
        <v>392410.2</v>
      </c>
      <c r="AH571">
        <v>70</v>
      </c>
      <c r="AL571" t="s">
        <v>636</v>
      </c>
      <c r="AM571" t="s">
        <v>2174</v>
      </c>
      <c r="AN571" t="s">
        <v>2171</v>
      </c>
      <c r="AT571" t="s">
        <v>330</v>
      </c>
    </row>
    <row r="572" spans="1:107" x14ac:dyDescent="0.25">
      <c r="A572" t="s">
        <v>2851</v>
      </c>
      <c r="B572" t="e">
        <f>_xlfn.XLOOKUP(C572,'[1]Image URL'!$E:$E,'[1]Image URL'!$A:$A)</f>
        <v>#N/A</v>
      </c>
      <c r="C572">
        <v>564307</v>
      </c>
      <c r="D572" t="s">
        <v>2852</v>
      </c>
      <c r="E572" t="s">
        <v>2853</v>
      </c>
      <c r="F572" t="s">
        <v>364</v>
      </c>
      <c r="G572" t="s">
        <v>364</v>
      </c>
      <c r="H572" t="s">
        <v>1640</v>
      </c>
      <c r="I572" t="s">
        <v>194</v>
      </c>
      <c r="J572" t="s">
        <v>212</v>
      </c>
      <c r="U572" t="s">
        <v>2854</v>
      </c>
      <c r="V572" t="s">
        <v>157</v>
      </c>
      <c r="W572">
        <v>77838860090</v>
      </c>
      <c r="X572">
        <v>10077838860097</v>
      </c>
      <c r="Y572" t="s">
        <v>665</v>
      </c>
      <c r="Z572" t="s">
        <v>1612</v>
      </c>
      <c r="AA572" t="s">
        <v>192</v>
      </c>
      <c r="AB572" t="s">
        <v>2855</v>
      </c>
      <c r="AC572" t="s">
        <v>752</v>
      </c>
      <c r="AD572" t="s">
        <v>1765</v>
      </c>
      <c r="AE572" t="s">
        <v>204</v>
      </c>
      <c r="AF572" t="s">
        <v>164</v>
      </c>
      <c r="AG572">
        <v>392410.4</v>
      </c>
      <c r="AH572">
        <v>125</v>
      </c>
      <c r="AL572" t="s">
        <v>399</v>
      </c>
      <c r="AM572" t="s">
        <v>1717</v>
      </c>
      <c r="AN572" t="s">
        <v>1284</v>
      </c>
      <c r="BS572" t="s">
        <v>2856</v>
      </c>
      <c r="CC572" t="s">
        <v>1982</v>
      </c>
      <c r="CX572" t="s">
        <v>2857</v>
      </c>
    </row>
    <row r="573" spans="1:107" x14ac:dyDescent="0.25">
      <c r="A573" t="s">
        <v>2858</v>
      </c>
      <c r="B573" t="e">
        <f>_xlfn.XLOOKUP(C573,'[1]Image URL'!$E:$E,'[1]Image URL'!$A:$A)</f>
        <v>#N/A</v>
      </c>
      <c r="C573">
        <v>4306802</v>
      </c>
      <c r="D573" t="s">
        <v>2859</v>
      </c>
      <c r="E573" t="s">
        <v>2860</v>
      </c>
      <c r="F573" t="s">
        <v>223</v>
      </c>
      <c r="G573" t="s">
        <v>223</v>
      </c>
      <c r="H573" t="s">
        <v>201</v>
      </c>
      <c r="I573" t="s">
        <v>194</v>
      </c>
      <c r="J573" t="s">
        <v>195</v>
      </c>
      <c r="U573" t="s">
        <v>196</v>
      </c>
      <c r="V573" t="s">
        <v>1385</v>
      </c>
      <c r="W573">
        <v>77838861097</v>
      </c>
      <c r="X573">
        <v>10077838861094</v>
      </c>
      <c r="Y573" t="s">
        <v>197</v>
      </c>
      <c r="Z573" t="s">
        <v>1084</v>
      </c>
      <c r="AA573" t="s">
        <v>462</v>
      </c>
      <c r="AB573" t="s">
        <v>463</v>
      </c>
      <c r="AC573" t="s">
        <v>200</v>
      </c>
      <c r="AD573" t="s">
        <v>2861</v>
      </c>
      <c r="AE573" t="s">
        <v>555</v>
      </c>
      <c r="AF573" t="s">
        <v>164</v>
      </c>
      <c r="AG573">
        <v>392350</v>
      </c>
      <c r="AH573">
        <v>100</v>
      </c>
      <c r="AL573" t="s">
        <v>681</v>
      </c>
      <c r="AN573" t="s">
        <v>223</v>
      </c>
    </row>
    <row r="574" spans="1:107" x14ac:dyDescent="0.25">
      <c r="A574" t="s">
        <v>2862</v>
      </c>
      <c r="B574" t="e">
        <f>_xlfn.XLOOKUP(C574,'[1]Image URL'!$E:$E,'[1]Image URL'!$A:$A)</f>
        <v>#N/A</v>
      </c>
      <c r="C574" t="s">
        <v>3137</v>
      </c>
      <c r="D574" t="s">
        <v>2863</v>
      </c>
      <c r="E574" t="s">
        <v>2864</v>
      </c>
      <c r="F574" t="s">
        <v>394</v>
      </c>
      <c r="G574" t="s">
        <v>394</v>
      </c>
      <c r="H574" t="s">
        <v>215</v>
      </c>
      <c r="I574" t="s">
        <v>194</v>
      </c>
      <c r="J574" t="s">
        <v>195</v>
      </c>
      <c r="U574" t="s">
        <v>196</v>
      </c>
      <c r="V574" t="s">
        <v>157</v>
      </c>
      <c r="W574">
        <v>77838508282</v>
      </c>
      <c r="X574">
        <v>10077838008284</v>
      </c>
      <c r="Y574" t="s">
        <v>940</v>
      </c>
      <c r="Z574" t="s">
        <v>2865</v>
      </c>
      <c r="AA574" t="s">
        <v>1232</v>
      </c>
      <c r="AB574" t="s">
        <v>192</v>
      </c>
      <c r="AC574" t="s">
        <v>599</v>
      </c>
      <c r="AD574" t="s">
        <v>402</v>
      </c>
      <c r="AE574" t="s">
        <v>303</v>
      </c>
      <c r="AF574" t="s">
        <v>235</v>
      </c>
      <c r="AG574">
        <v>392410.4</v>
      </c>
      <c r="AH574">
        <v>125</v>
      </c>
      <c r="AL574" t="s">
        <v>343</v>
      </c>
      <c r="AM574" t="s">
        <v>1461</v>
      </c>
      <c r="CQ574" t="s">
        <v>2866</v>
      </c>
    </row>
    <row r="575" spans="1:107" x14ac:dyDescent="0.25">
      <c r="A575" t="s">
        <v>2867</v>
      </c>
      <c r="B575" t="e">
        <f>_xlfn.XLOOKUP(C575,'[1]Image URL'!$E:$E,'[1]Image URL'!$A:$A)</f>
        <v>#N/A</v>
      </c>
      <c r="C575">
        <v>521210</v>
      </c>
      <c r="D575" t="s">
        <v>2868</v>
      </c>
      <c r="E575" t="s">
        <v>2869</v>
      </c>
      <c r="F575" t="s">
        <v>2870</v>
      </c>
      <c r="G575" t="s">
        <v>2870</v>
      </c>
      <c r="H575" t="s">
        <v>288</v>
      </c>
      <c r="J575" t="s">
        <v>212</v>
      </c>
      <c r="M575" t="s">
        <v>2871</v>
      </c>
      <c r="U575" t="s">
        <v>584</v>
      </c>
      <c r="V575" t="s">
        <v>157</v>
      </c>
      <c r="W575">
        <v>77838806609</v>
      </c>
      <c r="X575">
        <v>10077838806606</v>
      </c>
      <c r="Y575" t="s">
        <v>2872</v>
      </c>
      <c r="Z575" t="s">
        <v>2873</v>
      </c>
      <c r="AA575" t="s">
        <v>1753</v>
      </c>
      <c r="AB575" t="s">
        <v>2196</v>
      </c>
      <c r="AC575" t="s">
        <v>2874</v>
      </c>
      <c r="AD575" t="s">
        <v>1621</v>
      </c>
      <c r="AE575" t="s">
        <v>314</v>
      </c>
      <c r="AF575" t="s">
        <v>456</v>
      </c>
      <c r="AG575">
        <v>392410.4</v>
      </c>
      <c r="AH575">
        <v>100</v>
      </c>
      <c r="AL575" t="s">
        <v>2041</v>
      </c>
      <c r="AN575" t="s">
        <v>2211</v>
      </c>
      <c r="CX575" t="s">
        <v>334</v>
      </c>
    </row>
    <row r="576" spans="1:107" x14ac:dyDescent="0.25">
      <c r="A576" t="s">
        <v>2875</v>
      </c>
      <c r="B576" t="e">
        <f>_xlfn.XLOOKUP(C576,'[1]Image URL'!$E:$E,'[1]Image URL'!$A:$A)</f>
        <v>#N/A</v>
      </c>
      <c r="C576">
        <v>551707</v>
      </c>
      <c r="D576" t="s">
        <v>2877</v>
      </c>
      <c r="E576" t="s">
        <v>2878</v>
      </c>
      <c r="F576" t="s">
        <v>2211</v>
      </c>
      <c r="G576" t="s">
        <v>2211</v>
      </c>
      <c r="H576" t="s">
        <v>152</v>
      </c>
      <c r="I576" t="s">
        <v>194</v>
      </c>
      <c r="J576" t="s">
        <v>195</v>
      </c>
      <c r="M576" t="s">
        <v>2879</v>
      </c>
      <c r="T576" t="s">
        <v>1528</v>
      </c>
      <c r="U576" t="s">
        <v>2854</v>
      </c>
      <c r="V576" t="s">
        <v>1385</v>
      </c>
      <c r="W576">
        <v>77838871478</v>
      </c>
      <c r="X576">
        <v>10077838871475</v>
      </c>
      <c r="Y576" t="s">
        <v>2880</v>
      </c>
      <c r="Z576" t="s">
        <v>1560</v>
      </c>
      <c r="AA576" t="s">
        <v>221</v>
      </c>
      <c r="AB576" t="s">
        <v>1692</v>
      </c>
      <c r="AC576" t="s">
        <v>1580</v>
      </c>
      <c r="AD576" t="s">
        <v>1142</v>
      </c>
      <c r="AE576" t="s">
        <v>163</v>
      </c>
      <c r="AF576" t="s">
        <v>302</v>
      </c>
      <c r="AG576">
        <v>392410.4</v>
      </c>
      <c r="AH576">
        <v>125</v>
      </c>
      <c r="AL576" t="s">
        <v>2313</v>
      </c>
      <c r="AN576" t="s">
        <v>2211</v>
      </c>
    </row>
    <row r="577" spans="1:102" x14ac:dyDescent="0.25">
      <c r="A577" t="s">
        <v>2881</v>
      </c>
      <c r="B577" t="e">
        <f>_xlfn.XLOOKUP(C577,'[1]Image URL'!$E:$E,'[1]Image URL'!$A:$A)</f>
        <v>#N/A</v>
      </c>
      <c r="C577" t="s">
        <v>3146</v>
      </c>
      <c r="D577" t="s">
        <v>2882</v>
      </c>
      <c r="E577" t="s">
        <v>2883</v>
      </c>
      <c r="F577" t="s">
        <v>664</v>
      </c>
      <c r="G577" t="s">
        <v>664</v>
      </c>
      <c r="H577" t="s">
        <v>1823</v>
      </c>
      <c r="J577" t="s">
        <v>212</v>
      </c>
      <c r="M577" t="s">
        <v>2884</v>
      </c>
      <c r="U577" t="s">
        <v>584</v>
      </c>
      <c r="V577" t="s">
        <v>157</v>
      </c>
      <c r="W577">
        <v>77838517550</v>
      </c>
      <c r="X577">
        <v>10077838017552</v>
      </c>
      <c r="Y577" t="s">
        <v>2885</v>
      </c>
      <c r="Z577" t="s">
        <v>1440</v>
      </c>
      <c r="AA577" t="s">
        <v>866</v>
      </c>
      <c r="AB577" t="s">
        <v>332</v>
      </c>
      <c r="AC577" t="s">
        <v>2886</v>
      </c>
      <c r="AD577" t="s">
        <v>600</v>
      </c>
      <c r="AE577" t="s">
        <v>185</v>
      </c>
      <c r="AF577" t="s">
        <v>235</v>
      </c>
      <c r="AG577">
        <v>392410.4</v>
      </c>
      <c r="AH577">
        <v>70</v>
      </c>
      <c r="AL577" t="s">
        <v>1519</v>
      </c>
      <c r="CC577" t="s">
        <v>664</v>
      </c>
      <c r="CQ577" t="s">
        <v>2857</v>
      </c>
    </row>
    <row r="578" spans="1:102" x14ac:dyDescent="0.25">
      <c r="A578" t="s">
        <v>2887</v>
      </c>
      <c r="B578" t="e">
        <f>_xlfn.XLOOKUP(C578,'[1]Image URL'!$E:$E,'[1]Image URL'!$A:$A)</f>
        <v>#N/A</v>
      </c>
      <c r="C578">
        <v>4306842</v>
      </c>
      <c r="D578" t="s">
        <v>2888</v>
      </c>
      <c r="E578" t="s">
        <v>2869</v>
      </c>
      <c r="F578" t="s">
        <v>1982</v>
      </c>
      <c r="G578" t="s">
        <v>1982</v>
      </c>
      <c r="H578" t="s">
        <v>1633</v>
      </c>
      <c r="J578" t="s">
        <v>212</v>
      </c>
      <c r="M578" t="s">
        <v>2236</v>
      </c>
      <c r="U578" t="s">
        <v>584</v>
      </c>
      <c r="V578" t="s">
        <v>157</v>
      </c>
      <c r="W578">
        <v>77838828465</v>
      </c>
      <c r="X578">
        <v>10077838828462</v>
      </c>
      <c r="Y578" t="s">
        <v>659</v>
      </c>
      <c r="Z578" t="s">
        <v>1743</v>
      </c>
      <c r="AA578" t="s">
        <v>996</v>
      </c>
      <c r="AB578" t="s">
        <v>221</v>
      </c>
      <c r="AC578" t="s">
        <v>646</v>
      </c>
      <c r="AD578" t="s">
        <v>301</v>
      </c>
      <c r="AE578" t="s">
        <v>303</v>
      </c>
      <c r="AF578" t="s">
        <v>302</v>
      </c>
      <c r="AG578">
        <v>392410.4</v>
      </c>
      <c r="AH578">
        <v>92.5</v>
      </c>
      <c r="AL578" t="s">
        <v>1477</v>
      </c>
      <c r="AN578" t="s">
        <v>1982</v>
      </c>
      <c r="CX578" t="s">
        <v>575</v>
      </c>
    </row>
    <row r="579" spans="1:102" x14ac:dyDescent="0.25">
      <c r="A579" t="s">
        <v>2889</v>
      </c>
      <c r="B579" t="e">
        <f>_xlfn.XLOOKUP(C579,'[1]Image URL'!$E:$E,'[1]Image URL'!$A:$A)</f>
        <v>#N/A</v>
      </c>
      <c r="C579">
        <v>521610</v>
      </c>
      <c r="D579" t="s">
        <v>2890</v>
      </c>
      <c r="E579" t="s">
        <v>2869</v>
      </c>
      <c r="F579" t="s">
        <v>1982</v>
      </c>
      <c r="G579" t="s">
        <v>1982</v>
      </c>
      <c r="H579" t="s">
        <v>188</v>
      </c>
      <c r="J579" t="s">
        <v>212</v>
      </c>
      <c r="M579" t="s">
        <v>2891</v>
      </c>
      <c r="U579" t="s">
        <v>584</v>
      </c>
      <c r="V579" t="s">
        <v>157</v>
      </c>
      <c r="W579">
        <v>77838889718</v>
      </c>
      <c r="X579">
        <v>10077838889715</v>
      </c>
      <c r="Y579" t="s">
        <v>2892</v>
      </c>
      <c r="Z579" t="s">
        <v>666</v>
      </c>
      <c r="AA579" t="s">
        <v>1580</v>
      </c>
      <c r="AB579" t="s">
        <v>445</v>
      </c>
      <c r="AC579" t="s">
        <v>2893</v>
      </c>
      <c r="AD579" t="s">
        <v>555</v>
      </c>
      <c r="AE579" t="s">
        <v>184</v>
      </c>
      <c r="AF579" t="s">
        <v>235</v>
      </c>
      <c r="AG579">
        <v>392410.4</v>
      </c>
      <c r="AH579">
        <v>92.5</v>
      </c>
      <c r="AL579" t="s">
        <v>1477</v>
      </c>
      <c r="AN579" t="s">
        <v>1982</v>
      </c>
      <c r="CX579" t="s">
        <v>2894</v>
      </c>
    </row>
    <row r="580" spans="1:102" x14ac:dyDescent="0.25">
      <c r="A580" t="s">
        <v>2895</v>
      </c>
      <c r="B580" t="e">
        <f>_xlfn.XLOOKUP(C580,'[1]Image URL'!$E:$E,'[1]Image URL'!$A:$A)</f>
        <v>#N/A</v>
      </c>
      <c r="C580">
        <v>550107</v>
      </c>
      <c r="D580" t="s">
        <v>2897</v>
      </c>
      <c r="E580" t="s">
        <v>2898</v>
      </c>
      <c r="H580" t="s">
        <v>2899</v>
      </c>
      <c r="J580" t="s">
        <v>212</v>
      </c>
      <c r="M580" t="s">
        <v>2900</v>
      </c>
      <c r="U580" t="s">
        <v>584</v>
      </c>
      <c r="V580" t="s">
        <v>157</v>
      </c>
      <c r="W580">
        <v>77838217115</v>
      </c>
      <c r="X580">
        <v>10077838117115</v>
      </c>
      <c r="Y580" t="s">
        <v>2901</v>
      </c>
      <c r="Z580" t="s">
        <v>2902</v>
      </c>
      <c r="AA580" t="s">
        <v>755</v>
      </c>
      <c r="AB580" t="s">
        <v>2608</v>
      </c>
      <c r="AC580" t="s">
        <v>1691</v>
      </c>
      <c r="AD580" t="s">
        <v>2903</v>
      </c>
      <c r="AE580" t="s">
        <v>403</v>
      </c>
      <c r="AF580" t="s">
        <v>456</v>
      </c>
      <c r="AG580">
        <v>392410.4</v>
      </c>
      <c r="AH580">
        <v>100</v>
      </c>
      <c r="CC580" t="s">
        <v>154</v>
      </c>
      <c r="CQ580" t="s">
        <v>1864</v>
      </c>
    </row>
    <row r="581" spans="1:102" x14ac:dyDescent="0.25">
      <c r="A581" t="s">
        <v>2904</v>
      </c>
      <c r="B581" t="e">
        <f>_xlfn.XLOOKUP(C581,'[1]Image URL'!$E:$E,'[1]Image URL'!$A:$A)</f>
        <v>#N/A</v>
      </c>
      <c r="C581">
        <v>522047</v>
      </c>
      <c r="D581" t="s">
        <v>2905</v>
      </c>
      <c r="E581" t="s">
        <v>2869</v>
      </c>
      <c r="F581" t="s">
        <v>664</v>
      </c>
      <c r="G581" t="s">
        <v>664</v>
      </c>
      <c r="H581" t="s">
        <v>145</v>
      </c>
      <c r="J581" t="s">
        <v>212</v>
      </c>
      <c r="M581" t="s">
        <v>2906</v>
      </c>
      <c r="U581" t="s">
        <v>584</v>
      </c>
      <c r="V581" t="s">
        <v>157</v>
      </c>
      <c r="W581">
        <v>77838806593</v>
      </c>
      <c r="X581">
        <v>10077838806590</v>
      </c>
      <c r="Y581" t="s">
        <v>2907</v>
      </c>
      <c r="Z581" t="s">
        <v>2908</v>
      </c>
      <c r="AA581" t="s">
        <v>1484</v>
      </c>
      <c r="AB581" t="s">
        <v>222</v>
      </c>
      <c r="AC581" t="s">
        <v>271</v>
      </c>
      <c r="AD581" t="s">
        <v>1621</v>
      </c>
      <c r="AE581" t="s">
        <v>314</v>
      </c>
      <c r="AF581" t="s">
        <v>456</v>
      </c>
      <c r="AG581">
        <v>392410.4</v>
      </c>
      <c r="AH581">
        <v>92.5</v>
      </c>
      <c r="AL581" t="s">
        <v>2041</v>
      </c>
      <c r="AN581" t="s">
        <v>664</v>
      </c>
      <c r="CX581" t="s">
        <v>334</v>
      </c>
    </row>
    <row r="582" spans="1:102" x14ac:dyDescent="0.25">
      <c r="A582" t="s">
        <v>2909</v>
      </c>
      <c r="B582" t="e">
        <f>_xlfn.XLOOKUP(C582,'[1]Image URL'!$E:$E,'[1]Image URL'!$A:$A)</f>
        <v>#N/A</v>
      </c>
      <c r="C582">
        <v>580818</v>
      </c>
      <c r="D582" t="s">
        <v>2910</v>
      </c>
      <c r="E582" t="s">
        <v>2869</v>
      </c>
      <c r="F582" t="s">
        <v>1982</v>
      </c>
      <c r="G582" t="s">
        <v>1982</v>
      </c>
      <c r="H582" t="s">
        <v>188</v>
      </c>
      <c r="J582" t="s">
        <v>212</v>
      </c>
      <c r="M582" t="s">
        <v>2891</v>
      </c>
      <c r="U582" t="s">
        <v>584</v>
      </c>
      <c r="V582" t="s">
        <v>157</v>
      </c>
      <c r="W582">
        <v>77838806586</v>
      </c>
      <c r="X582">
        <v>10077838806583</v>
      </c>
      <c r="Y582" t="s">
        <v>2892</v>
      </c>
      <c r="Z582" t="s">
        <v>666</v>
      </c>
      <c r="AA582" t="s">
        <v>1580</v>
      </c>
      <c r="AB582" t="s">
        <v>445</v>
      </c>
      <c r="AC582" t="s">
        <v>2893</v>
      </c>
      <c r="AD582" t="s">
        <v>555</v>
      </c>
      <c r="AE582" t="s">
        <v>184</v>
      </c>
      <c r="AF582" t="s">
        <v>235</v>
      </c>
      <c r="AG582">
        <v>392410.4</v>
      </c>
      <c r="AH582">
        <v>92.5</v>
      </c>
      <c r="AL582" t="s">
        <v>1477</v>
      </c>
      <c r="AN582" t="s">
        <v>1982</v>
      </c>
      <c r="CX582" t="s">
        <v>2894</v>
      </c>
    </row>
    <row r="583" spans="1:102" x14ac:dyDescent="0.25">
      <c r="A583" t="s">
        <v>2911</v>
      </c>
      <c r="B583" t="e">
        <f>_xlfn.XLOOKUP(C583,'[1]Image URL'!$E:$E,'[1]Image URL'!$A:$A)</f>
        <v>#N/A</v>
      </c>
      <c r="C583">
        <v>522413</v>
      </c>
      <c r="D583" t="s">
        <v>2912</v>
      </c>
      <c r="E583" t="s">
        <v>2913</v>
      </c>
      <c r="F583" t="s">
        <v>2429</v>
      </c>
      <c r="G583" t="s">
        <v>2429</v>
      </c>
      <c r="H583" t="s">
        <v>2914</v>
      </c>
      <c r="J583" t="s">
        <v>2915</v>
      </c>
      <c r="M583" t="s">
        <v>2916</v>
      </c>
      <c r="U583" t="s">
        <v>584</v>
      </c>
      <c r="V583" t="s">
        <v>157</v>
      </c>
      <c r="W583">
        <v>77838505205</v>
      </c>
      <c r="X583">
        <v>10077838005207</v>
      </c>
      <c r="Y583" t="s">
        <v>655</v>
      </c>
      <c r="Z583" t="s">
        <v>993</v>
      </c>
      <c r="AA583" t="s">
        <v>1845</v>
      </c>
      <c r="AB583" t="s">
        <v>421</v>
      </c>
      <c r="AC583" t="s">
        <v>868</v>
      </c>
      <c r="AD583" t="s">
        <v>997</v>
      </c>
      <c r="AE583" t="s">
        <v>268</v>
      </c>
      <c r="AF583" t="s">
        <v>268</v>
      </c>
      <c r="AG583">
        <v>392410.4</v>
      </c>
      <c r="AH583">
        <v>100</v>
      </c>
      <c r="AL583" t="s">
        <v>1477</v>
      </c>
      <c r="CC583" t="s">
        <v>2429</v>
      </c>
      <c r="CQ583" t="s">
        <v>2917</v>
      </c>
    </row>
    <row r="584" spans="1:102" x14ac:dyDescent="0.25">
      <c r="A584" t="s">
        <v>2918</v>
      </c>
      <c r="B584" t="e">
        <f>_xlfn.XLOOKUP(C584,'[1]Image URL'!$E:$E,'[1]Image URL'!$A:$A)</f>
        <v>#N/A</v>
      </c>
      <c r="C584">
        <v>565207</v>
      </c>
      <c r="D584" t="s">
        <v>2920</v>
      </c>
      <c r="E584" t="s">
        <v>2898</v>
      </c>
      <c r="H584" t="s">
        <v>1515</v>
      </c>
      <c r="J584" t="s">
        <v>212</v>
      </c>
      <c r="M584" t="s">
        <v>1528</v>
      </c>
      <c r="U584" t="s">
        <v>584</v>
      </c>
      <c r="V584" t="s">
        <v>157</v>
      </c>
      <c r="W584">
        <v>77838205846</v>
      </c>
      <c r="X584">
        <v>10077838105846</v>
      </c>
      <c r="Y584" t="s">
        <v>2076</v>
      </c>
      <c r="Z584" t="s">
        <v>2921</v>
      </c>
      <c r="AA584" t="s">
        <v>817</v>
      </c>
      <c r="AB584" t="s">
        <v>587</v>
      </c>
      <c r="AC584" t="s">
        <v>444</v>
      </c>
      <c r="AD584" t="s">
        <v>2903</v>
      </c>
      <c r="AE584" t="s">
        <v>403</v>
      </c>
      <c r="AF584" t="s">
        <v>456</v>
      </c>
      <c r="AG584">
        <v>392410.4</v>
      </c>
      <c r="AH584">
        <v>85</v>
      </c>
      <c r="AL584" t="s">
        <v>2922</v>
      </c>
      <c r="CC584" t="s">
        <v>2923</v>
      </c>
      <c r="CQ584" t="s">
        <v>2924</v>
      </c>
    </row>
    <row r="585" spans="1:102" x14ac:dyDescent="0.25">
      <c r="A585" t="s">
        <v>2925</v>
      </c>
      <c r="B585" t="e">
        <f>_xlfn.XLOOKUP(C585,'[1]Image URL'!$E:$E,'[1]Image URL'!$A:$A)</f>
        <v>#N/A</v>
      </c>
      <c r="C585" t="s">
        <v>3171</v>
      </c>
      <c r="D585" t="s">
        <v>2926</v>
      </c>
      <c r="E585" t="s">
        <v>2927</v>
      </c>
      <c r="F585" t="s">
        <v>2928</v>
      </c>
      <c r="G585" t="s">
        <v>2928</v>
      </c>
      <c r="H585" t="s">
        <v>2929</v>
      </c>
      <c r="I585" t="s">
        <v>194</v>
      </c>
      <c r="J585" t="s">
        <v>212</v>
      </c>
      <c r="U585" t="s">
        <v>217</v>
      </c>
      <c r="V585" t="s">
        <v>1385</v>
      </c>
      <c r="W585">
        <v>77838859247</v>
      </c>
      <c r="X585">
        <v>10077838859244</v>
      </c>
      <c r="Y585" t="s">
        <v>343</v>
      </c>
      <c r="Z585" t="s">
        <v>198</v>
      </c>
      <c r="AA585" t="s">
        <v>345</v>
      </c>
      <c r="AB585" t="s">
        <v>200</v>
      </c>
      <c r="AC585" t="s">
        <v>200</v>
      </c>
      <c r="AD585" t="s">
        <v>2930</v>
      </c>
      <c r="AE585" t="s">
        <v>1562</v>
      </c>
      <c r="AF585" t="s">
        <v>349</v>
      </c>
      <c r="AG585">
        <v>392350</v>
      </c>
      <c r="AH585">
        <v>92.5</v>
      </c>
      <c r="AL585" t="s">
        <v>343</v>
      </c>
    </row>
    <row r="586" spans="1:102" x14ac:dyDescent="0.25">
      <c r="A586" t="s">
        <v>2931</v>
      </c>
      <c r="B586" t="e">
        <f>_xlfn.XLOOKUP(C586,'[1]Image URL'!$E:$E,'[1]Image URL'!$A:$A)</f>
        <v>#N/A</v>
      </c>
      <c r="C586">
        <v>522410</v>
      </c>
      <c r="D586" t="s">
        <v>2932</v>
      </c>
      <c r="E586" t="s">
        <v>2853</v>
      </c>
      <c r="F586" t="s">
        <v>364</v>
      </c>
      <c r="G586" t="s">
        <v>364</v>
      </c>
      <c r="H586" t="s">
        <v>1640</v>
      </c>
      <c r="I586" t="s">
        <v>194</v>
      </c>
      <c r="J586" t="s">
        <v>212</v>
      </c>
      <c r="U586" t="s">
        <v>2854</v>
      </c>
      <c r="V586" t="s">
        <v>157</v>
      </c>
      <c r="W586">
        <v>77838860113</v>
      </c>
      <c r="X586">
        <v>10077838860110</v>
      </c>
      <c r="Y586" t="s">
        <v>665</v>
      </c>
      <c r="Z586" t="s">
        <v>1612</v>
      </c>
      <c r="AA586" t="s">
        <v>192</v>
      </c>
      <c r="AB586" t="s">
        <v>2855</v>
      </c>
      <c r="AC586" t="s">
        <v>752</v>
      </c>
      <c r="AD586" t="s">
        <v>1765</v>
      </c>
      <c r="AE586" t="s">
        <v>204</v>
      </c>
      <c r="AF586" t="s">
        <v>164</v>
      </c>
      <c r="AG586">
        <v>392410.4</v>
      </c>
      <c r="AH586">
        <v>125</v>
      </c>
      <c r="AL586" t="s">
        <v>399</v>
      </c>
      <c r="AM586" t="s">
        <v>1717</v>
      </c>
      <c r="AN586" t="s">
        <v>1284</v>
      </c>
      <c r="BS586" t="s">
        <v>2856</v>
      </c>
      <c r="CC586" t="s">
        <v>1982</v>
      </c>
      <c r="CX586" t="s">
        <v>2857</v>
      </c>
    </row>
    <row r="587" spans="1:102" x14ac:dyDescent="0.25">
      <c r="A587" t="s">
        <v>2933</v>
      </c>
      <c r="B587" t="e">
        <f>_xlfn.XLOOKUP(C587,'[1]Image URL'!$E:$E,'[1]Image URL'!$A:$A)</f>
        <v>#N/A</v>
      </c>
      <c r="C587">
        <v>554007</v>
      </c>
      <c r="D587" t="s">
        <v>2934</v>
      </c>
      <c r="E587" t="s">
        <v>2898</v>
      </c>
      <c r="H587" t="s">
        <v>583</v>
      </c>
      <c r="J587" t="s">
        <v>212</v>
      </c>
      <c r="M587" t="s">
        <v>2935</v>
      </c>
      <c r="U587" t="s">
        <v>584</v>
      </c>
      <c r="V587" t="s">
        <v>157</v>
      </c>
      <c r="W587">
        <v>77838510216</v>
      </c>
      <c r="X587">
        <v>10077838010218</v>
      </c>
      <c r="Y587" t="s">
        <v>2276</v>
      </c>
      <c r="Z587" t="s">
        <v>1440</v>
      </c>
      <c r="AA587" t="s">
        <v>421</v>
      </c>
      <c r="AB587" t="s">
        <v>1178</v>
      </c>
      <c r="AC587" t="s">
        <v>180</v>
      </c>
      <c r="AD587" t="s">
        <v>1942</v>
      </c>
      <c r="AE587" t="s">
        <v>303</v>
      </c>
      <c r="AF587" t="s">
        <v>456</v>
      </c>
      <c r="AG587">
        <v>392410.4</v>
      </c>
      <c r="AH587">
        <v>85</v>
      </c>
      <c r="CC587" t="s">
        <v>340</v>
      </c>
      <c r="CQ587" t="s">
        <v>575</v>
      </c>
    </row>
    <row r="588" spans="1:102" x14ac:dyDescent="0.25">
      <c r="A588" t="s">
        <v>2936</v>
      </c>
      <c r="B588" t="e">
        <f>_xlfn.XLOOKUP(C588,'[1]Image URL'!$E:$E,'[1]Image URL'!$A:$A)</f>
        <v>#N/A</v>
      </c>
      <c r="C588">
        <v>523210</v>
      </c>
      <c r="D588" t="s">
        <v>2937</v>
      </c>
      <c r="E588" t="s">
        <v>2938</v>
      </c>
      <c r="F588" t="s">
        <v>153</v>
      </c>
      <c r="G588" t="s">
        <v>153</v>
      </c>
      <c r="H588" t="s">
        <v>182</v>
      </c>
      <c r="J588" t="s">
        <v>212</v>
      </c>
      <c r="M588" t="s">
        <v>2939</v>
      </c>
      <c r="U588" t="s">
        <v>584</v>
      </c>
      <c r="V588" t="s">
        <v>157</v>
      </c>
      <c r="W588">
        <v>77838206751</v>
      </c>
      <c r="X588">
        <v>10077838006754</v>
      </c>
      <c r="Y588" t="s">
        <v>2940</v>
      </c>
      <c r="Z588" t="s">
        <v>1112</v>
      </c>
      <c r="AA588" t="s">
        <v>1018</v>
      </c>
      <c r="AB588" t="s">
        <v>180</v>
      </c>
      <c r="AC588" t="s">
        <v>457</v>
      </c>
      <c r="AD588" t="s">
        <v>600</v>
      </c>
      <c r="AE588" t="s">
        <v>185</v>
      </c>
      <c r="AF588" t="s">
        <v>235</v>
      </c>
      <c r="AG588">
        <v>392410.4</v>
      </c>
      <c r="AH588">
        <v>100</v>
      </c>
      <c r="AL588" t="s">
        <v>1519</v>
      </c>
      <c r="CC588" t="s">
        <v>153</v>
      </c>
      <c r="CQ588" t="s">
        <v>2941</v>
      </c>
    </row>
    <row r="589" spans="1:102" x14ac:dyDescent="0.25">
      <c r="A589" t="s">
        <v>2942</v>
      </c>
      <c r="B589" t="e">
        <f>_xlfn.XLOOKUP(C589,'[1]Image URL'!$E:$E,'[1]Image URL'!$A:$A)</f>
        <v>#N/A</v>
      </c>
      <c r="C589">
        <v>521213</v>
      </c>
      <c r="D589" t="s">
        <v>2943</v>
      </c>
      <c r="E589" t="s">
        <v>2944</v>
      </c>
      <c r="F589" t="s">
        <v>340</v>
      </c>
      <c r="H589" t="s">
        <v>463</v>
      </c>
      <c r="I589" t="s">
        <v>194</v>
      </c>
      <c r="J589" t="s">
        <v>195</v>
      </c>
      <c r="M589" t="s">
        <v>2945</v>
      </c>
      <c r="U589" t="s">
        <v>196</v>
      </c>
      <c r="V589" t="s">
        <v>157</v>
      </c>
      <c r="W589">
        <v>77838660805</v>
      </c>
      <c r="X589">
        <v>10077838160807</v>
      </c>
      <c r="Y589" t="s">
        <v>2946</v>
      </c>
      <c r="Z589" t="s">
        <v>1743</v>
      </c>
      <c r="AA589" t="s">
        <v>181</v>
      </c>
      <c r="AB589" t="s">
        <v>329</v>
      </c>
      <c r="AC589" t="s">
        <v>1990</v>
      </c>
      <c r="AD589" t="s">
        <v>301</v>
      </c>
      <c r="AE589" t="s">
        <v>349</v>
      </c>
      <c r="AF589" t="s">
        <v>235</v>
      </c>
      <c r="AG589">
        <v>392410.4</v>
      </c>
      <c r="AH589">
        <v>92.5</v>
      </c>
      <c r="CC589" t="s">
        <v>340</v>
      </c>
      <c r="CQ589" t="s">
        <v>2947</v>
      </c>
    </row>
    <row r="590" spans="1:102" x14ac:dyDescent="0.25">
      <c r="A590" t="s">
        <v>2948</v>
      </c>
      <c r="B590" t="e">
        <f>_xlfn.XLOOKUP(C590,'[1]Image URL'!$E:$E,'[1]Image URL'!$A:$A)</f>
        <v>#N/A</v>
      </c>
      <c r="C590">
        <v>110407</v>
      </c>
      <c r="D590" t="s">
        <v>2950</v>
      </c>
      <c r="E590" t="s">
        <v>2878</v>
      </c>
      <c r="F590" t="s">
        <v>1570</v>
      </c>
      <c r="G590" t="s">
        <v>394</v>
      </c>
      <c r="H590" t="s">
        <v>462</v>
      </c>
      <c r="I590" t="s">
        <v>194</v>
      </c>
      <c r="J590" t="s">
        <v>195</v>
      </c>
      <c r="M590" t="s">
        <v>2951</v>
      </c>
      <c r="T590" t="s">
        <v>216</v>
      </c>
      <c r="U590" t="s">
        <v>2854</v>
      </c>
      <c r="V590" t="s">
        <v>1385</v>
      </c>
      <c r="W590">
        <v>77838871508</v>
      </c>
      <c r="X590">
        <v>10077838871505</v>
      </c>
      <c r="Y590" t="s">
        <v>178</v>
      </c>
      <c r="Z590" t="s">
        <v>2952</v>
      </c>
      <c r="AA590" t="s">
        <v>421</v>
      </c>
      <c r="AB590" t="s">
        <v>1932</v>
      </c>
      <c r="AC590" t="s">
        <v>859</v>
      </c>
      <c r="AD590" t="s">
        <v>301</v>
      </c>
      <c r="AE590" t="s">
        <v>184</v>
      </c>
      <c r="AF590" t="s">
        <v>164</v>
      </c>
      <c r="AG590">
        <v>392410.4</v>
      </c>
      <c r="AH590">
        <v>125</v>
      </c>
      <c r="AL590" t="s">
        <v>2953</v>
      </c>
      <c r="AN590" t="s">
        <v>223</v>
      </c>
    </row>
    <row r="591" spans="1:102" x14ac:dyDescent="0.25">
      <c r="A591" t="s">
        <v>2954</v>
      </c>
      <c r="B591" t="e">
        <f>_xlfn.XLOOKUP(C591,'[1]Image URL'!$E:$E,'[1]Image URL'!$A:$A)</f>
        <v>#N/A</v>
      </c>
      <c r="C591">
        <v>582018</v>
      </c>
      <c r="D591" t="s">
        <v>2956</v>
      </c>
      <c r="E591" t="s">
        <v>2878</v>
      </c>
      <c r="F591" t="s">
        <v>1570</v>
      </c>
      <c r="G591" t="s">
        <v>394</v>
      </c>
      <c r="H591" t="s">
        <v>462</v>
      </c>
      <c r="I591" t="s">
        <v>194</v>
      </c>
      <c r="J591" t="s">
        <v>195</v>
      </c>
      <c r="M591" t="s">
        <v>2951</v>
      </c>
      <c r="T591" t="s">
        <v>216</v>
      </c>
      <c r="U591" t="s">
        <v>2854</v>
      </c>
      <c r="V591" t="s">
        <v>1385</v>
      </c>
      <c r="W591">
        <v>77838871522</v>
      </c>
      <c r="X591">
        <v>10077838871529</v>
      </c>
      <c r="Y591" t="s">
        <v>178</v>
      </c>
      <c r="Z591" t="s">
        <v>2952</v>
      </c>
      <c r="AA591" t="s">
        <v>421</v>
      </c>
      <c r="AB591" t="s">
        <v>1932</v>
      </c>
      <c r="AC591" t="s">
        <v>859</v>
      </c>
      <c r="AD591" t="s">
        <v>301</v>
      </c>
      <c r="AE591" t="s">
        <v>184</v>
      </c>
      <c r="AF591" t="s">
        <v>164</v>
      </c>
      <c r="AG591">
        <v>392410.4</v>
      </c>
      <c r="AH591">
        <v>125</v>
      </c>
      <c r="AL591" t="s">
        <v>2953</v>
      </c>
      <c r="AN591" t="s">
        <v>223</v>
      </c>
    </row>
    <row r="592" spans="1:102" x14ac:dyDescent="0.25">
      <c r="A592" t="s">
        <v>2957</v>
      </c>
      <c r="B592" t="e">
        <f>_xlfn.XLOOKUP(C592,'[1]Image URL'!$E:$E,'[1]Image URL'!$A:$A)</f>
        <v>#N/A</v>
      </c>
      <c r="C592">
        <v>110507</v>
      </c>
      <c r="D592" t="s">
        <v>2959</v>
      </c>
      <c r="E592" t="s">
        <v>2898</v>
      </c>
      <c r="H592" t="s">
        <v>2960</v>
      </c>
      <c r="J592" t="s">
        <v>212</v>
      </c>
      <c r="M592" t="s">
        <v>2961</v>
      </c>
      <c r="U592" t="s">
        <v>584</v>
      </c>
      <c r="V592" t="s">
        <v>157</v>
      </c>
      <c r="W592">
        <v>77838500040</v>
      </c>
      <c r="X592">
        <v>10077838000042</v>
      </c>
      <c r="Y592" t="s">
        <v>2962</v>
      </c>
      <c r="Z592" t="s">
        <v>2963</v>
      </c>
      <c r="AA592" t="s">
        <v>180</v>
      </c>
      <c r="AB592" t="s">
        <v>599</v>
      </c>
      <c r="AC592" t="s">
        <v>1062</v>
      </c>
      <c r="AD592" t="s">
        <v>867</v>
      </c>
      <c r="AE592" t="s">
        <v>635</v>
      </c>
      <c r="AF592" t="s">
        <v>235</v>
      </c>
      <c r="AG592">
        <v>392410.4</v>
      </c>
      <c r="AH592">
        <v>85</v>
      </c>
      <c r="CC592" t="s">
        <v>374</v>
      </c>
      <c r="CQ592" t="s">
        <v>2964</v>
      </c>
    </row>
    <row r="593" spans="1:105" x14ac:dyDescent="0.25">
      <c r="A593" t="s">
        <v>2965</v>
      </c>
      <c r="B593" t="e">
        <f>_xlfn.XLOOKUP(C593,'[1]Image URL'!$E:$E,'[1]Image URL'!$A:$A)</f>
        <v>#N/A</v>
      </c>
      <c r="C593">
        <v>401207</v>
      </c>
      <c r="D593" t="s">
        <v>2966</v>
      </c>
      <c r="E593" t="s">
        <v>2869</v>
      </c>
      <c r="F593" t="s">
        <v>386</v>
      </c>
      <c r="G593" t="s">
        <v>386</v>
      </c>
      <c r="H593" t="s">
        <v>211</v>
      </c>
      <c r="J593" t="s">
        <v>212</v>
      </c>
      <c r="M593" t="s">
        <v>2967</v>
      </c>
      <c r="U593" t="s">
        <v>584</v>
      </c>
      <c r="V593" t="s">
        <v>157</v>
      </c>
      <c r="W593">
        <v>77838889756</v>
      </c>
      <c r="X593">
        <v>10077838889753</v>
      </c>
      <c r="Y593" t="s">
        <v>2968</v>
      </c>
      <c r="Z593" t="s">
        <v>2350</v>
      </c>
      <c r="AA593" t="s">
        <v>1274</v>
      </c>
      <c r="AB593" t="s">
        <v>2969</v>
      </c>
      <c r="AC593" t="s">
        <v>2970</v>
      </c>
      <c r="AD593" t="s">
        <v>1942</v>
      </c>
      <c r="AE593" t="s">
        <v>303</v>
      </c>
      <c r="AF593" t="s">
        <v>456</v>
      </c>
      <c r="AG593">
        <v>392410.4</v>
      </c>
      <c r="AH593">
        <v>92.5</v>
      </c>
      <c r="AL593" t="s">
        <v>2971</v>
      </c>
      <c r="AN593" t="s">
        <v>386</v>
      </c>
      <c r="CX593" t="s">
        <v>2450</v>
      </c>
    </row>
    <row r="594" spans="1:105" x14ac:dyDescent="0.25">
      <c r="A594" t="s">
        <v>2972</v>
      </c>
      <c r="B594" t="e">
        <f>_xlfn.XLOOKUP(C594,'[1]Image URL'!$E:$E,'[1]Image URL'!$A:$A)</f>
        <v>#N/A</v>
      </c>
      <c r="C594">
        <v>550607</v>
      </c>
      <c r="D594" t="s">
        <v>2973</v>
      </c>
      <c r="E594" t="s">
        <v>2974</v>
      </c>
      <c r="F594" t="s">
        <v>340</v>
      </c>
      <c r="G594" t="s">
        <v>340</v>
      </c>
      <c r="H594" t="s">
        <v>2975</v>
      </c>
      <c r="I594" t="s">
        <v>194</v>
      </c>
      <c r="J594" t="s">
        <v>195</v>
      </c>
      <c r="U594" t="s">
        <v>196</v>
      </c>
      <c r="V594" t="s">
        <v>1385</v>
      </c>
      <c r="W594">
        <v>77838859353</v>
      </c>
      <c r="X594">
        <v>10077838859350</v>
      </c>
      <c r="Y594" t="s">
        <v>2976</v>
      </c>
      <c r="Z594" t="s">
        <v>2977</v>
      </c>
      <c r="AA594" t="s">
        <v>807</v>
      </c>
      <c r="AB594" t="s">
        <v>1171</v>
      </c>
      <c r="AC594" t="s">
        <v>1804</v>
      </c>
      <c r="AD594" t="s">
        <v>1635</v>
      </c>
      <c r="AE594" t="s">
        <v>185</v>
      </c>
      <c r="AF594" t="s">
        <v>302</v>
      </c>
      <c r="AG594">
        <v>392410.4</v>
      </c>
      <c r="AH594">
        <v>125</v>
      </c>
      <c r="AL594" t="s">
        <v>2978</v>
      </c>
      <c r="CC594" t="s">
        <v>340</v>
      </c>
      <c r="CX594" t="s">
        <v>201</v>
      </c>
    </row>
    <row r="595" spans="1:105" x14ac:dyDescent="0.25">
      <c r="A595" t="s">
        <v>2979</v>
      </c>
      <c r="B595" t="e">
        <f>_xlfn.XLOOKUP(C595,'[1]Image URL'!$E:$E,'[1]Image URL'!$A:$A)</f>
        <v>#N/A</v>
      </c>
      <c r="C595" t="s">
        <v>3209</v>
      </c>
      <c r="D595" t="s">
        <v>2980</v>
      </c>
      <c r="E595" t="s">
        <v>2981</v>
      </c>
      <c r="F595" t="s">
        <v>255</v>
      </c>
      <c r="G595" t="s">
        <v>255</v>
      </c>
      <c r="H595" t="s">
        <v>1447</v>
      </c>
      <c r="I595" t="s">
        <v>194</v>
      </c>
      <c r="J595" t="s">
        <v>195</v>
      </c>
      <c r="U595" t="s">
        <v>196</v>
      </c>
      <c r="V595" t="s">
        <v>1385</v>
      </c>
      <c r="W595">
        <v>77838842003</v>
      </c>
      <c r="X595">
        <v>10077838842000</v>
      </c>
      <c r="Y595" t="s">
        <v>2982</v>
      </c>
      <c r="Z595" t="s">
        <v>2983</v>
      </c>
      <c r="AA595" t="s">
        <v>313</v>
      </c>
      <c r="AB595" t="s">
        <v>506</v>
      </c>
      <c r="AC595" t="s">
        <v>444</v>
      </c>
      <c r="AD595" t="s">
        <v>314</v>
      </c>
      <c r="AE595" t="s">
        <v>235</v>
      </c>
      <c r="AF595" t="s">
        <v>456</v>
      </c>
      <c r="AG595">
        <v>392410.4</v>
      </c>
      <c r="AH595">
        <v>250</v>
      </c>
      <c r="AL595" t="s">
        <v>1477</v>
      </c>
      <c r="AM595" t="s">
        <v>1666</v>
      </c>
      <c r="CQ595" t="s">
        <v>2450</v>
      </c>
      <c r="DA595" t="s">
        <v>255</v>
      </c>
    </row>
    <row r="596" spans="1:105" x14ac:dyDescent="0.25">
      <c r="A596" t="s">
        <v>2984</v>
      </c>
      <c r="B596" t="e">
        <f>_xlfn.XLOOKUP(C596,'[1]Image URL'!$E:$E,'[1]Image URL'!$A:$A)</f>
        <v>#N/A</v>
      </c>
      <c r="C596">
        <v>554013</v>
      </c>
      <c r="D596" t="s">
        <v>2985</v>
      </c>
      <c r="E596" t="s">
        <v>2898</v>
      </c>
      <c r="H596" t="s">
        <v>288</v>
      </c>
      <c r="J596" t="s">
        <v>212</v>
      </c>
      <c r="M596" t="s">
        <v>2986</v>
      </c>
      <c r="U596" t="s">
        <v>584</v>
      </c>
      <c r="V596" t="s">
        <v>157</v>
      </c>
      <c r="W596">
        <v>77838510551</v>
      </c>
      <c r="X596">
        <v>10077838010553</v>
      </c>
      <c r="Y596" t="s">
        <v>2987</v>
      </c>
      <c r="Z596" t="s">
        <v>2988</v>
      </c>
      <c r="AA596" t="s">
        <v>2893</v>
      </c>
      <c r="AB596" t="s">
        <v>1804</v>
      </c>
      <c r="AC596" t="s">
        <v>765</v>
      </c>
      <c r="AD596" t="s">
        <v>2903</v>
      </c>
      <c r="AE596" t="s">
        <v>403</v>
      </c>
      <c r="AF596" t="s">
        <v>456</v>
      </c>
      <c r="AG596">
        <v>392410.4</v>
      </c>
      <c r="AH596">
        <v>85</v>
      </c>
      <c r="AL596" t="s">
        <v>2922</v>
      </c>
      <c r="CC596" t="s">
        <v>2989</v>
      </c>
      <c r="CQ596" t="s">
        <v>334</v>
      </c>
    </row>
    <row r="597" spans="1:105" x14ac:dyDescent="0.25">
      <c r="A597" t="s">
        <v>2990</v>
      </c>
      <c r="B597" t="e">
        <f>_xlfn.XLOOKUP(C597,'[1]Image URL'!$E:$E,'[1]Image URL'!$A:$A)</f>
        <v>#N/A</v>
      </c>
      <c r="C597">
        <v>111007</v>
      </c>
      <c r="D597" t="s">
        <v>2991</v>
      </c>
      <c r="E597" t="s">
        <v>2992</v>
      </c>
      <c r="F597" t="s">
        <v>2993</v>
      </c>
      <c r="G597" t="s">
        <v>2993</v>
      </c>
      <c r="H597" t="s">
        <v>868</v>
      </c>
      <c r="I597" t="s">
        <v>194</v>
      </c>
      <c r="J597" t="s">
        <v>195</v>
      </c>
      <c r="M597" t="s">
        <v>1473</v>
      </c>
      <c r="T597" t="s">
        <v>1774</v>
      </c>
      <c r="U597" t="s">
        <v>196</v>
      </c>
      <c r="V597" t="s">
        <v>1385</v>
      </c>
      <c r="W597">
        <v>77838859193</v>
      </c>
      <c r="X597">
        <v>10077838859190</v>
      </c>
      <c r="Y597" t="s">
        <v>891</v>
      </c>
      <c r="Z597" t="s">
        <v>1727</v>
      </c>
      <c r="AA597" t="s">
        <v>457</v>
      </c>
      <c r="AB597" t="s">
        <v>462</v>
      </c>
      <c r="AC597" t="s">
        <v>361</v>
      </c>
      <c r="AD597" t="s">
        <v>2402</v>
      </c>
      <c r="AE597" t="s">
        <v>303</v>
      </c>
      <c r="AF597" t="s">
        <v>185</v>
      </c>
      <c r="AG597">
        <v>392410.4</v>
      </c>
      <c r="AH597">
        <v>175</v>
      </c>
      <c r="AL597" t="s">
        <v>1078</v>
      </c>
      <c r="BH597" t="s">
        <v>2994</v>
      </c>
    </row>
    <row r="598" spans="1:105" x14ac:dyDescent="0.25">
      <c r="A598" t="s">
        <v>2995</v>
      </c>
      <c r="B598" t="e">
        <f>_xlfn.XLOOKUP(C598,'[1]Image URL'!$E:$E,'[1]Image URL'!$A:$A)</f>
        <v>#N/A</v>
      </c>
      <c r="C598">
        <v>558307</v>
      </c>
      <c r="D598" t="s">
        <v>2996</v>
      </c>
      <c r="E598" t="s">
        <v>2944</v>
      </c>
      <c r="F598" t="s">
        <v>664</v>
      </c>
      <c r="G598" t="s">
        <v>664</v>
      </c>
      <c r="H598" t="s">
        <v>1447</v>
      </c>
      <c r="I598" t="s">
        <v>194</v>
      </c>
      <c r="J598" t="s">
        <v>195</v>
      </c>
      <c r="M598" t="s">
        <v>2997</v>
      </c>
      <c r="U598" t="s">
        <v>196</v>
      </c>
      <c r="V598" t="s">
        <v>157</v>
      </c>
      <c r="W598">
        <v>77838658345</v>
      </c>
      <c r="X598">
        <v>10077838158347</v>
      </c>
      <c r="Y598" t="s">
        <v>2410</v>
      </c>
      <c r="Z598" t="s">
        <v>2998</v>
      </c>
      <c r="AA598" t="s">
        <v>425</v>
      </c>
      <c r="AB598" t="s">
        <v>328</v>
      </c>
      <c r="AC598" t="s">
        <v>1845</v>
      </c>
      <c r="AD598" t="s">
        <v>1621</v>
      </c>
      <c r="AE598" t="s">
        <v>315</v>
      </c>
      <c r="AF598" t="s">
        <v>235</v>
      </c>
      <c r="AG598">
        <v>392410.4</v>
      </c>
      <c r="AH598">
        <v>85</v>
      </c>
      <c r="AL598" t="s">
        <v>2041</v>
      </c>
      <c r="CC598" t="s">
        <v>664</v>
      </c>
      <c r="CQ598" t="s">
        <v>2894</v>
      </c>
    </row>
    <row r="599" spans="1:105" x14ac:dyDescent="0.25">
      <c r="A599" t="s">
        <v>2999</v>
      </c>
      <c r="B599" t="e">
        <f>_xlfn.XLOOKUP(C599,'[1]Image URL'!$E:$E,'[1]Image URL'!$A:$A)</f>
        <v>#N/A</v>
      </c>
      <c r="C599" t="s">
        <v>3225</v>
      </c>
      <c r="D599" t="s">
        <v>3000</v>
      </c>
      <c r="E599" t="s">
        <v>2898</v>
      </c>
      <c r="H599" t="s">
        <v>1515</v>
      </c>
      <c r="J599" t="s">
        <v>212</v>
      </c>
      <c r="M599" t="s">
        <v>1528</v>
      </c>
      <c r="U599" t="s">
        <v>584</v>
      </c>
      <c r="V599" t="s">
        <v>157</v>
      </c>
      <c r="W599">
        <v>77838623565</v>
      </c>
      <c r="X599">
        <v>10077838123567</v>
      </c>
      <c r="Y599" t="s">
        <v>2076</v>
      </c>
      <c r="Z599" t="s">
        <v>2921</v>
      </c>
      <c r="AA599" t="s">
        <v>817</v>
      </c>
      <c r="AB599" t="s">
        <v>587</v>
      </c>
      <c r="AC599" t="s">
        <v>444</v>
      </c>
      <c r="AD599" t="s">
        <v>2903</v>
      </c>
      <c r="AE599" t="s">
        <v>403</v>
      </c>
      <c r="AF599" t="s">
        <v>456</v>
      </c>
      <c r="AG599">
        <v>392410.4</v>
      </c>
      <c r="AH599">
        <v>85</v>
      </c>
      <c r="AL599" t="s">
        <v>2922</v>
      </c>
      <c r="CC599" t="s">
        <v>2923</v>
      </c>
      <c r="CQ599" t="s">
        <v>2924</v>
      </c>
    </row>
    <row r="600" spans="1:105" x14ac:dyDescent="0.25">
      <c r="A600" t="s">
        <v>3001</v>
      </c>
      <c r="B600" t="e">
        <f>_xlfn.XLOOKUP(C600,'[1]Image URL'!$E:$E,'[1]Image URL'!$A:$A)</f>
        <v>#N/A</v>
      </c>
      <c r="C600">
        <v>52203550</v>
      </c>
      <c r="D600" t="s">
        <v>3002</v>
      </c>
      <c r="E600" t="s">
        <v>2869</v>
      </c>
      <c r="F600" t="s">
        <v>1864</v>
      </c>
      <c r="G600" t="s">
        <v>1864</v>
      </c>
      <c r="H600" t="s">
        <v>664</v>
      </c>
      <c r="J600" t="s">
        <v>212</v>
      </c>
      <c r="M600" t="s">
        <v>1269</v>
      </c>
      <c r="U600" t="s">
        <v>584</v>
      </c>
      <c r="V600" t="s">
        <v>157</v>
      </c>
      <c r="W600">
        <v>77838828441</v>
      </c>
      <c r="X600">
        <v>10077838828448</v>
      </c>
      <c r="Y600" t="s">
        <v>309</v>
      </c>
      <c r="Z600" t="s">
        <v>159</v>
      </c>
      <c r="AA600" t="s">
        <v>1349</v>
      </c>
      <c r="AB600" t="s">
        <v>530</v>
      </c>
      <c r="AC600" t="s">
        <v>1349</v>
      </c>
      <c r="AD600" t="s">
        <v>162</v>
      </c>
      <c r="AE600" t="s">
        <v>163</v>
      </c>
      <c r="AF600" t="s">
        <v>164</v>
      </c>
      <c r="AG600">
        <v>392410.4</v>
      </c>
      <c r="AH600">
        <v>85</v>
      </c>
      <c r="AL600" t="s">
        <v>3003</v>
      </c>
      <c r="AN600" t="s">
        <v>1864</v>
      </c>
      <c r="CX600" t="s">
        <v>201</v>
      </c>
    </row>
    <row r="601" spans="1:105" x14ac:dyDescent="0.25">
      <c r="A601" t="s">
        <v>3004</v>
      </c>
      <c r="B601" t="e">
        <f>_xlfn.XLOOKUP(C601,'[1]Image URL'!$E:$E,'[1]Image URL'!$A:$A)</f>
        <v>#N/A</v>
      </c>
      <c r="C601">
        <v>561407</v>
      </c>
      <c r="D601" t="s">
        <v>3005</v>
      </c>
      <c r="E601" t="s">
        <v>3006</v>
      </c>
      <c r="F601" t="s">
        <v>2964</v>
      </c>
      <c r="G601" t="s">
        <v>2964</v>
      </c>
      <c r="H601" t="s">
        <v>3007</v>
      </c>
      <c r="J601" t="s">
        <v>212</v>
      </c>
      <c r="U601" t="s">
        <v>584</v>
      </c>
      <c r="V601" t="s">
        <v>1385</v>
      </c>
      <c r="W601">
        <v>77838817148</v>
      </c>
      <c r="X601">
        <v>10077838817145</v>
      </c>
      <c r="Y601" t="s">
        <v>3008</v>
      </c>
      <c r="Z601" t="s">
        <v>941</v>
      </c>
      <c r="AA601" t="s">
        <v>817</v>
      </c>
      <c r="AB601" t="s">
        <v>1804</v>
      </c>
      <c r="AC601" t="s">
        <v>836</v>
      </c>
      <c r="AD601" t="s">
        <v>245</v>
      </c>
      <c r="AE601" t="s">
        <v>349</v>
      </c>
      <c r="AF601" t="s">
        <v>185</v>
      </c>
      <c r="AG601">
        <v>392410.4</v>
      </c>
      <c r="AH601">
        <v>92.5</v>
      </c>
      <c r="AL601" t="s">
        <v>399</v>
      </c>
      <c r="AM601" t="s">
        <v>1473</v>
      </c>
      <c r="BH601" t="s">
        <v>2064</v>
      </c>
      <c r="CQ601" t="s">
        <v>1831</v>
      </c>
      <c r="DA601" t="s">
        <v>2064</v>
      </c>
    </row>
    <row r="602" spans="1:105" x14ac:dyDescent="0.25">
      <c r="A602" t="s">
        <v>3009</v>
      </c>
      <c r="B602" t="e">
        <f>_xlfn.XLOOKUP(C602,'[1]Image URL'!$E:$E,'[1]Image URL'!$A:$A)</f>
        <v>#N/A</v>
      </c>
      <c r="C602">
        <v>521607</v>
      </c>
      <c r="D602" t="s">
        <v>3010</v>
      </c>
      <c r="E602" t="s">
        <v>3006</v>
      </c>
      <c r="F602" t="s">
        <v>2870</v>
      </c>
      <c r="G602" t="s">
        <v>2870</v>
      </c>
      <c r="H602" t="s">
        <v>3011</v>
      </c>
      <c r="I602" t="s">
        <v>194</v>
      </c>
      <c r="J602" t="s">
        <v>195</v>
      </c>
      <c r="U602" t="s">
        <v>584</v>
      </c>
      <c r="V602" t="s">
        <v>1385</v>
      </c>
      <c r="W602">
        <v>77838817155</v>
      </c>
      <c r="X602">
        <v>10077838817152</v>
      </c>
      <c r="Y602" t="s">
        <v>3012</v>
      </c>
      <c r="Z602" t="s">
        <v>1579</v>
      </c>
      <c r="AA602" t="s">
        <v>1441</v>
      </c>
      <c r="AB602" t="s">
        <v>220</v>
      </c>
      <c r="AC602" t="s">
        <v>1510</v>
      </c>
      <c r="AD602" t="s">
        <v>975</v>
      </c>
      <c r="AE602" t="s">
        <v>204</v>
      </c>
      <c r="AF602" t="s">
        <v>302</v>
      </c>
      <c r="AG602">
        <v>392410.4</v>
      </c>
      <c r="AH602">
        <v>85</v>
      </c>
      <c r="AL602" t="s">
        <v>2041</v>
      </c>
      <c r="AM602" t="s">
        <v>1717</v>
      </c>
      <c r="BH602" t="s">
        <v>2211</v>
      </c>
      <c r="CQ602" t="s">
        <v>3013</v>
      </c>
      <c r="DA602" t="s">
        <v>2211</v>
      </c>
    </row>
    <row r="603" spans="1:105" x14ac:dyDescent="0.25">
      <c r="A603" t="s">
        <v>3014</v>
      </c>
      <c r="B603" t="e">
        <f>_xlfn.XLOOKUP(C603,'[1]Image URL'!$E:$E,'[1]Image URL'!$A:$A)</f>
        <v>#N/A</v>
      </c>
      <c r="C603">
        <v>4396507</v>
      </c>
      <c r="D603" t="s">
        <v>3015</v>
      </c>
      <c r="E603" t="s">
        <v>2898</v>
      </c>
      <c r="H603" t="s">
        <v>2899</v>
      </c>
      <c r="J603" t="s">
        <v>212</v>
      </c>
      <c r="M603" t="s">
        <v>2900</v>
      </c>
      <c r="U603" t="s">
        <v>584</v>
      </c>
      <c r="V603" t="s">
        <v>157</v>
      </c>
      <c r="W603">
        <v>77838615621</v>
      </c>
      <c r="X603">
        <v>10077838115623</v>
      </c>
      <c r="Y603" t="s">
        <v>2901</v>
      </c>
      <c r="Z603" t="s">
        <v>2902</v>
      </c>
      <c r="AA603" t="s">
        <v>755</v>
      </c>
      <c r="AB603" t="s">
        <v>2608</v>
      </c>
      <c r="AC603" t="s">
        <v>1691</v>
      </c>
      <c r="AD603" t="s">
        <v>2903</v>
      </c>
      <c r="AE603" t="s">
        <v>403</v>
      </c>
      <c r="AF603" t="s">
        <v>456</v>
      </c>
      <c r="AG603">
        <v>392410.4</v>
      </c>
      <c r="AH603">
        <v>85</v>
      </c>
      <c r="CC603" t="s">
        <v>154</v>
      </c>
      <c r="CQ603" t="s">
        <v>1864</v>
      </c>
    </row>
    <row r="604" spans="1:105" x14ac:dyDescent="0.25">
      <c r="A604" t="s">
        <v>3016</v>
      </c>
      <c r="B604" t="e">
        <f>_xlfn.XLOOKUP(C604,'[1]Image URL'!$E:$E,'[1]Image URL'!$A:$A)</f>
        <v>#N/A</v>
      </c>
      <c r="C604">
        <v>522013</v>
      </c>
      <c r="D604" t="s">
        <v>3017</v>
      </c>
      <c r="E604" t="s">
        <v>2974</v>
      </c>
      <c r="F604" t="s">
        <v>340</v>
      </c>
      <c r="G604" t="s">
        <v>340</v>
      </c>
      <c r="H604" t="s">
        <v>192</v>
      </c>
      <c r="I604" t="s">
        <v>194</v>
      </c>
      <c r="J604" t="s">
        <v>195</v>
      </c>
      <c r="U604" t="s">
        <v>196</v>
      </c>
      <c r="V604" t="s">
        <v>1385</v>
      </c>
      <c r="W604">
        <v>77838831342</v>
      </c>
      <c r="X604">
        <v>10077838831349</v>
      </c>
      <c r="Y604" t="s">
        <v>1249</v>
      </c>
      <c r="Z604" t="s">
        <v>3018</v>
      </c>
      <c r="AA604" t="s">
        <v>3019</v>
      </c>
      <c r="AB604" t="s">
        <v>311</v>
      </c>
      <c r="AC604" t="s">
        <v>775</v>
      </c>
      <c r="AD604" t="s">
        <v>588</v>
      </c>
      <c r="AE604" t="s">
        <v>349</v>
      </c>
      <c r="AF604" t="s">
        <v>302</v>
      </c>
      <c r="AG604">
        <v>392410.4</v>
      </c>
      <c r="AH604">
        <v>175</v>
      </c>
      <c r="AL604" t="s">
        <v>399</v>
      </c>
      <c r="AM604" t="s">
        <v>1269</v>
      </c>
      <c r="CQ604" t="s">
        <v>340</v>
      </c>
      <c r="DA604" t="s">
        <v>1665</v>
      </c>
    </row>
    <row r="605" spans="1:105" x14ac:dyDescent="0.25">
      <c r="A605" t="s">
        <v>3020</v>
      </c>
      <c r="B605" t="e">
        <f>_xlfn.XLOOKUP(C605,'[1]Image URL'!$E:$E,'[1]Image URL'!$A:$A)</f>
        <v>#N/A</v>
      </c>
      <c r="C605">
        <v>552607</v>
      </c>
      <c r="D605" t="s">
        <v>3021</v>
      </c>
      <c r="E605" t="s">
        <v>2869</v>
      </c>
      <c r="F605" t="s">
        <v>2450</v>
      </c>
      <c r="G605" t="s">
        <v>2450</v>
      </c>
      <c r="H605" t="s">
        <v>2144</v>
      </c>
      <c r="J605" t="s">
        <v>212</v>
      </c>
      <c r="M605" t="s">
        <v>3022</v>
      </c>
      <c r="U605" t="s">
        <v>584</v>
      </c>
      <c r="V605" t="s">
        <v>157</v>
      </c>
      <c r="W605">
        <v>77838806562</v>
      </c>
      <c r="X605">
        <v>10077838806569</v>
      </c>
      <c r="Y605" t="s">
        <v>3023</v>
      </c>
      <c r="Z605" t="s">
        <v>1475</v>
      </c>
      <c r="AA605" t="s">
        <v>2210</v>
      </c>
      <c r="AB605" t="s">
        <v>329</v>
      </c>
      <c r="AC605" t="s">
        <v>312</v>
      </c>
      <c r="AD605" t="s">
        <v>2402</v>
      </c>
      <c r="AE605" t="s">
        <v>303</v>
      </c>
      <c r="AF605" t="s">
        <v>185</v>
      </c>
      <c r="AG605">
        <v>392410.4</v>
      </c>
      <c r="AH605">
        <v>125</v>
      </c>
      <c r="AL605" t="s">
        <v>1682</v>
      </c>
      <c r="AN605" t="s">
        <v>1575</v>
      </c>
      <c r="CX605" t="s">
        <v>2947</v>
      </c>
    </row>
    <row r="606" spans="1:105" x14ac:dyDescent="0.25">
      <c r="A606" t="s">
        <v>3024</v>
      </c>
      <c r="B606" t="e">
        <f>_xlfn.XLOOKUP(C606,'[1]Image URL'!$E:$E,'[1]Image URL'!$A:$A)</f>
        <v>#N/A</v>
      </c>
      <c r="C606">
        <v>581418</v>
      </c>
      <c r="D606" t="s">
        <v>3026</v>
      </c>
      <c r="E606" t="s">
        <v>3027</v>
      </c>
      <c r="F606" t="s">
        <v>1944</v>
      </c>
      <c r="G606" t="s">
        <v>1944</v>
      </c>
      <c r="H606" t="s">
        <v>3028</v>
      </c>
      <c r="I606" t="s">
        <v>3029</v>
      </c>
      <c r="J606" t="s">
        <v>3030</v>
      </c>
      <c r="U606" t="s">
        <v>3031</v>
      </c>
      <c r="V606" t="s">
        <v>282</v>
      </c>
      <c r="W606">
        <v>77838813492</v>
      </c>
      <c r="X606">
        <v>10077838813499</v>
      </c>
      <c r="Y606" t="s">
        <v>3032</v>
      </c>
      <c r="Z606" t="s">
        <v>3033</v>
      </c>
      <c r="AA606" t="s">
        <v>633</v>
      </c>
      <c r="AB606" t="s">
        <v>1275</v>
      </c>
      <c r="AC606" t="s">
        <v>3034</v>
      </c>
      <c r="AD606" t="s">
        <v>348</v>
      </c>
      <c r="AE606" t="s">
        <v>802</v>
      </c>
      <c r="AF606" t="s">
        <v>456</v>
      </c>
      <c r="AG606">
        <v>392350</v>
      </c>
      <c r="AH606">
        <v>175</v>
      </c>
      <c r="AL606" t="s">
        <v>3035</v>
      </c>
      <c r="AN606" t="s">
        <v>1944</v>
      </c>
    </row>
    <row r="607" spans="1:105" x14ac:dyDescent="0.25">
      <c r="A607" t="s">
        <v>3036</v>
      </c>
      <c r="B607" t="e">
        <f>_xlfn.XLOOKUP(C607,'[1]Image URL'!$E:$E,'[1]Image URL'!$A:$A)</f>
        <v>#N/A</v>
      </c>
      <c r="C607" t="s">
        <v>3251</v>
      </c>
      <c r="D607" t="s">
        <v>3026</v>
      </c>
      <c r="E607" t="s">
        <v>3027</v>
      </c>
      <c r="F607" t="s">
        <v>2870</v>
      </c>
      <c r="G607" t="s">
        <v>2870</v>
      </c>
      <c r="H607" t="s">
        <v>3028</v>
      </c>
      <c r="I607" t="s">
        <v>3029</v>
      </c>
      <c r="J607" t="s">
        <v>3030</v>
      </c>
      <c r="U607" t="s">
        <v>3031</v>
      </c>
      <c r="V607" t="s">
        <v>282</v>
      </c>
      <c r="W607">
        <v>77838813515</v>
      </c>
      <c r="X607">
        <v>10077838813512</v>
      </c>
      <c r="Y607" t="s">
        <v>992</v>
      </c>
      <c r="Z607" t="s">
        <v>1126</v>
      </c>
      <c r="AA607" t="s">
        <v>531</v>
      </c>
      <c r="AB607" t="s">
        <v>660</v>
      </c>
      <c r="AC607" t="s">
        <v>3019</v>
      </c>
      <c r="AD607" t="s">
        <v>1113</v>
      </c>
      <c r="AE607" t="s">
        <v>184</v>
      </c>
      <c r="AF607" t="s">
        <v>316</v>
      </c>
      <c r="AG607">
        <v>392350</v>
      </c>
      <c r="AH607">
        <v>175</v>
      </c>
      <c r="AL607" t="s">
        <v>3038</v>
      </c>
      <c r="AN607" t="s">
        <v>2870</v>
      </c>
    </row>
    <row r="608" spans="1:105" x14ac:dyDescent="0.25">
      <c r="A608" t="s">
        <v>3039</v>
      </c>
      <c r="B608" t="e">
        <f>_xlfn.XLOOKUP(C608,'[1]Image URL'!$E:$E,'[1]Image URL'!$A:$A)</f>
        <v>#N/A</v>
      </c>
      <c r="C608">
        <v>581818</v>
      </c>
      <c r="D608" t="s">
        <v>3041</v>
      </c>
      <c r="E608" t="s">
        <v>2878</v>
      </c>
      <c r="F608" t="s">
        <v>2211</v>
      </c>
      <c r="G608" t="s">
        <v>2211</v>
      </c>
      <c r="H608" t="s">
        <v>200</v>
      </c>
      <c r="I608" t="s">
        <v>194</v>
      </c>
      <c r="J608" t="s">
        <v>195</v>
      </c>
      <c r="M608" t="s">
        <v>2017</v>
      </c>
      <c r="T608" t="s">
        <v>1717</v>
      </c>
      <c r="U608" t="s">
        <v>2854</v>
      </c>
      <c r="V608" t="s">
        <v>1385</v>
      </c>
      <c r="W608">
        <v>77838871416</v>
      </c>
      <c r="X608">
        <v>10077838871413</v>
      </c>
      <c r="Y608" t="s">
        <v>3042</v>
      </c>
      <c r="Z608" t="s">
        <v>1643</v>
      </c>
      <c r="AA608" t="s">
        <v>466</v>
      </c>
      <c r="AB608" t="s">
        <v>221</v>
      </c>
      <c r="AC608" t="s">
        <v>599</v>
      </c>
      <c r="AD608" t="s">
        <v>234</v>
      </c>
      <c r="AE608" t="s">
        <v>163</v>
      </c>
      <c r="AF608" t="s">
        <v>235</v>
      </c>
      <c r="AG608">
        <v>392410.4</v>
      </c>
      <c r="AH608">
        <v>125</v>
      </c>
      <c r="AL608" t="s">
        <v>2783</v>
      </c>
      <c r="AN608" t="s">
        <v>2211</v>
      </c>
    </row>
    <row r="609" spans="1:108" x14ac:dyDescent="0.25">
      <c r="A609" t="s">
        <v>3043</v>
      </c>
      <c r="B609" t="e">
        <f>_xlfn.XLOOKUP(C609,'[1]Image URL'!$E:$E,'[1]Image URL'!$A:$A)</f>
        <v>#N/A</v>
      </c>
      <c r="C609">
        <v>581218</v>
      </c>
      <c r="D609" t="s">
        <v>3044</v>
      </c>
      <c r="E609" t="s">
        <v>3045</v>
      </c>
      <c r="F609" t="s">
        <v>334</v>
      </c>
      <c r="G609" t="s">
        <v>334</v>
      </c>
      <c r="H609" t="s">
        <v>3046</v>
      </c>
      <c r="J609" t="s">
        <v>212</v>
      </c>
      <c r="M609" t="s">
        <v>1666</v>
      </c>
      <c r="U609" t="s">
        <v>584</v>
      </c>
      <c r="V609" t="s">
        <v>157</v>
      </c>
      <c r="W609">
        <v>77838505311</v>
      </c>
      <c r="X609">
        <v>10077838005313</v>
      </c>
      <c r="Y609" t="s">
        <v>3047</v>
      </c>
      <c r="Z609" t="s">
        <v>1803</v>
      </c>
      <c r="AA609" t="s">
        <v>2238</v>
      </c>
      <c r="AB609" t="s">
        <v>1374</v>
      </c>
      <c r="AC609" t="s">
        <v>953</v>
      </c>
      <c r="AD609" t="s">
        <v>1884</v>
      </c>
      <c r="AE609" t="s">
        <v>403</v>
      </c>
      <c r="AF609" t="s">
        <v>315</v>
      </c>
      <c r="AG609">
        <v>392410.4</v>
      </c>
      <c r="AH609">
        <v>100</v>
      </c>
      <c r="AL609" t="s">
        <v>1682</v>
      </c>
      <c r="CC609" t="s">
        <v>334</v>
      </c>
      <c r="CQ609" t="s">
        <v>1526</v>
      </c>
    </row>
    <row r="610" spans="1:108" x14ac:dyDescent="0.25">
      <c r="A610" t="s">
        <v>3048</v>
      </c>
      <c r="B610" t="e">
        <f>_xlfn.XLOOKUP(C610,'[1]Image URL'!$E:$E,'[1]Image URL'!$A:$A)</f>
        <v>#N/A</v>
      </c>
      <c r="C610" t="s">
        <v>3259</v>
      </c>
      <c r="D610" t="s">
        <v>3049</v>
      </c>
      <c r="E610" t="s">
        <v>2869</v>
      </c>
      <c r="F610" t="s">
        <v>2870</v>
      </c>
      <c r="G610" t="s">
        <v>2870</v>
      </c>
      <c r="H610" t="s">
        <v>288</v>
      </c>
      <c r="J610" t="s">
        <v>212</v>
      </c>
      <c r="M610" t="s">
        <v>2871</v>
      </c>
      <c r="U610" t="s">
        <v>584</v>
      </c>
      <c r="V610" t="s">
        <v>157</v>
      </c>
      <c r="W610">
        <v>77838889749</v>
      </c>
      <c r="X610">
        <v>10077838889746</v>
      </c>
      <c r="Y610" t="s">
        <v>2872</v>
      </c>
      <c r="Z610" t="s">
        <v>2873</v>
      </c>
      <c r="AA610" t="s">
        <v>1753</v>
      </c>
      <c r="AB610" t="s">
        <v>2196</v>
      </c>
      <c r="AC610" t="s">
        <v>2874</v>
      </c>
      <c r="AD610" t="s">
        <v>1621</v>
      </c>
      <c r="AE610" t="s">
        <v>314</v>
      </c>
      <c r="AF610" t="s">
        <v>456</v>
      </c>
      <c r="AG610">
        <v>392410.4</v>
      </c>
      <c r="AH610">
        <v>100</v>
      </c>
      <c r="AL610" t="s">
        <v>2041</v>
      </c>
      <c r="AN610" t="s">
        <v>2211</v>
      </c>
      <c r="CX610" t="s">
        <v>334</v>
      </c>
    </row>
    <row r="611" spans="1:108" x14ac:dyDescent="0.25">
      <c r="A611" t="s">
        <v>3050</v>
      </c>
      <c r="B611" t="e">
        <f>_xlfn.XLOOKUP(C611,'[1]Image URL'!$E:$E,'[1]Image URL'!$A:$A)</f>
        <v>#N/A</v>
      </c>
      <c r="C611" t="s">
        <v>3263</v>
      </c>
      <c r="D611" t="s">
        <v>3051</v>
      </c>
      <c r="E611" t="s">
        <v>3052</v>
      </c>
      <c r="F611" t="s">
        <v>463</v>
      </c>
      <c r="G611" t="s">
        <v>463</v>
      </c>
      <c r="H611" t="s">
        <v>1457</v>
      </c>
      <c r="U611" t="s">
        <v>584</v>
      </c>
      <c r="V611" t="s">
        <v>157</v>
      </c>
      <c r="W611">
        <v>77838887813</v>
      </c>
      <c r="X611">
        <v>10077838887810</v>
      </c>
      <c r="Y611" t="s">
        <v>240</v>
      </c>
      <c r="Z611" t="s">
        <v>2998</v>
      </c>
      <c r="AA611" t="s">
        <v>3053</v>
      </c>
      <c r="AB611" t="s">
        <v>576</v>
      </c>
      <c r="AC611" t="s">
        <v>1457</v>
      </c>
      <c r="AD611" t="s">
        <v>3054</v>
      </c>
      <c r="AE611" t="s">
        <v>403</v>
      </c>
      <c r="AF611" t="s">
        <v>164</v>
      </c>
      <c r="AG611">
        <v>392410.4</v>
      </c>
      <c r="AH611">
        <v>175</v>
      </c>
      <c r="AL611" t="s">
        <v>247</v>
      </c>
      <c r="AM611" t="s">
        <v>2102</v>
      </c>
      <c r="CC611" t="s">
        <v>463</v>
      </c>
      <c r="CQ611" t="s">
        <v>2870</v>
      </c>
    </row>
    <row r="612" spans="1:108" x14ac:dyDescent="0.25">
      <c r="A612" t="s">
        <v>3055</v>
      </c>
      <c r="B612" t="e">
        <f>_xlfn.XLOOKUP(C612,'[1]Image URL'!$E:$E,'[1]Image URL'!$A:$A)</f>
        <v>#N/A</v>
      </c>
      <c r="C612">
        <v>111607</v>
      </c>
      <c r="D612" t="s">
        <v>3057</v>
      </c>
      <c r="E612" t="s">
        <v>2878</v>
      </c>
      <c r="F612" t="s">
        <v>2211</v>
      </c>
      <c r="G612" t="s">
        <v>2211</v>
      </c>
      <c r="H612" t="s">
        <v>200</v>
      </c>
      <c r="I612" t="s">
        <v>194</v>
      </c>
      <c r="J612" t="s">
        <v>195</v>
      </c>
      <c r="M612" t="s">
        <v>2017</v>
      </c>
      <c r="T612" t="s">
        <v>1717</v>
      </c>
      <c r="U612" t="s">
        <v>2854</v>
      </c>
      <c r="V612" t="s">
        <v>1385</v>
      </c>
      <c r="W612">
        <v>77838871423</v>
      </c>
      <c r="X612">
        <v>10077838871420</v>
      </c>
      <c r="Y612" t="s">
        <v>3042</v>
      </c>
      <c r="Z612" t="s">
        <v>1643</v>
      </c>
      <c r="AA612" t="s">
        <v>466</v>
      </c>
      <c r="AB612" t="s">
        <v>221</v>
      </c>
      <c r="AC612" t="s">
        <v>599</v>
      </c>
      <c r="AD612" t="s">
        <v>234</v>
      </c>
      <c r="AE612" t="s">
        <v>163</v>
      </c>
      <c r="AF612" t="s">
        <v>235</v>
      </c>
      <c r="AG612">
        <v>392410.4</v>
      </c>
      <c r="AH612">
        <v>125</v>
      </c>
      <c r="AL612" t="s">
        <v>2783</v>
      </c>
      <c r="AN612" t="s">
        <v>2211</v>
      </c>
    </row>
    <row r="613" spans="1:108" x14ac:dyDescent="0.25">
      <c r="A613" t="s">
        <v>3058</v>
      </c>
      <c r="B613" t="e">
        <f>_xlfn.XLOOKUP(C613,'[1]Image URL'!$E:$E,'[1]Image URL'!$A:$A)</f>
        <v>#N/A</v>
      </c>
      <c r="C613" t="s">
        <v>3274</v>
      </c>
      <c r="D613" t="s">
        <v>3059</v>
      </c>
      <c r="E613" t="s">
        <v>2898</v>
      </c>
      <c r="H613" t="s">
        <v>1810</v>
      </c>
      <c r="J613" t="s">
        <v>212</v>
      </c>
      <c r="M613" t="s">
        <v>3060</v>
      </c>
      <c r="U613" t="s">
        <v>584</v>
      </c>
      <c r="V613" t="s">
        <v>157</v>
      </c>
      <c r="W613">
        <v>77838505809</v>
      </c>
      <c r="X613">
        <v>10077838005801</v>
      </c>
      <c r="Y613" t="s">
        <v>3061</v>
      </c>
      <c r="Z613" t="s">
        <v>951</v>
      </c>
      <c r="AA613" t="s">
        <v>633</v>
      </c>
      <c r="AB613" t="s">
        <v>1127</v>
      </c>
      <c r="AC613" t="s">
        <v>472</v>
      </c>
      <c r="AD613" t="s">
        <v>507</v>
      </c>
      <c r="AE613" t="s">
        <v>302</v>
      </c>
      <c r="AF613" t="s">
        <v>302</v>
      </c>
      <c r="AG613">
        <v>392410.4</v>
      </c>
      <c r="AH613">
        <v>100</v>
      </c>
      <c r="CC613" t="s">
        <v>3062</v>
      </c>
      <c r="CQ613" t="s">
        <v>340</v>
      </c>
    </row>
    <row r="614" spans="1:108" x14ac:dyDescent="0.25">
      <c r="A614" t="s">
        <v>3063</v>
      </c>
      <c r="B614" t="e">
        <f>_xlfn.XLOOKUP(C614,'[1]Image URL'!$E:$E,'[1]Image URL'!$A:$A)</f>
        <v>#N/A</v>
      </c>
      <c r="C614">
        <v>4366307</v>
      </c>
      <c r="D614" t="s">
        <v>3064</v>
      </c>
      <c r="E614" t="s">
        <v>2898</v>
      </c>
      <c r="H614" t="s">
        <v>1515</v>
      </c>
      <c r="J614" t="s">
        <v>212</v>
      </c>
      <c r="M614" t="s">
        <v>1528</v>
      </c>
      <c r="U614" t="s">
        <v>584</v>
      </c>
      <c r="V614" t="s">
        <v>157</v>
      </c>
      <c r="W614">
        <v>77838510780</v>
      </c>
      <c r="X614">
        <v>10077838010782</v>
      </c>
      <c r="Y614" t="s">
        <v>2076</v>
      </c>
      <c r="Z614" t="s">
        <v>2921</v>
      </c>
      <c r="AA614" t="s">
        <v>817</v>
      </c>
      <c r="AB614" t="s">
        <v>587</v>
      </c>
      <c r="AC614" t="s">
        <v>444</v>
      </c>
      <c r="AD614" t="s">
        <v>2903</v>
      </c>
      <c r="AE614" t="s">
        <v>403</v>
      </c>
      <c r="AF614" t="s">
        <v>456</v>
      </c>
      <c r="AG614">
        <v>392410.4</v>
      </c>
      <c r="AH614">
        <v>85</v>
      </c>
      <c r="AL614" t="s">
        <v>2922</v>
      </c>
      <c r="CC614" t="s">
        <v>2923</v>
      </c>
      <c r="CQ614" t="s">
        <v>2924</v>
      </c>
    </row>
    <row r="615" spans="1:108" x14ac:dyDescent="0.25">
      <c r="A615" t="s">
        <v>3065</v>
      </c>
      <c r="B615" t="e">
        <f>_xlfn.XLOOKUP(C615,'[1]Image URL'!$E:$E,'[1]Image URL'!$A:$A)</f>
        <v>#N/A</v>
      </c>
      <c r="C615">
        <v>561607</v>
      </c>
      <c r="D615" t="s">
        <v>3067</v>
      </c>
      <c r="E615" t="s">
        <v>2878</v>
      </c>
      <c r="F615" t="s">
        <v>1526</v>
      </c>
      <c r="G615" t="s">
        <v>1526</v>
      </c>
      <c r="H615" t="s">
        <v>3011</v>
      </c>
      <c r="I615" t="s">
        <v>194</v>
      </c>
      <c r="J615" t="s">
        <v>195</v>
      </c>
      <c r="M615" t="s">
        <v>3068</v>
      </c>
      <c r="T615" t="s">
        <v>3069</v>
      </c>
      <c r="U615" t="s">
        <v>2854</v>
      </c>
      <c r="V615" t="s">
        <v>1385</v>
      </c>
      <c r="W615">
        <v>77838871447</v>
      </c>
      <c r="X615">
        <v>10077838871444</v>
      </c>
      <c r="Y615" t="s">
        <v>3070</v>
      </c>
      <c r="Z615" t="s">
        <v>632</v>
      </c>
      <c r="AA615" t="s">
        <v>2745</v>
      </c>
      <c r="AB615" t="s">
        <v>2745</v>
      </c>
      <c r="AC615" t="s">
        <v>1349</v>
      </c>
      <c r="AD615" t="s">
        <v>396</v>
      </c>
      <c r="AE615" t="s">
        <v>446</v>
      </c>
      <c r="AF615" t="s">
        <v>164</v>
      </c>
      <c r="AG615">
        <v>392410.4</v>
      </c>
      <c r="AH615">
        <v>100</v>
      </c>
      <c r="AL615" t="s">
        <v>3071</v>
      </c>
      <c r="AN615" t="s">
        <v>1526</v>
      </c>
    </row>
    <row r="616" spans="1:108" x14ac:dyDescent="0.25">
      <c r="A616" t="s">
        <v>3072</v>
      </c>
      <c r="B616" t="e">
        <f>_xlfn.XLOOKUP(C616,'[1]Image URL'!$E:$E,'[1]Image URL'!$A:$A)</f>
        <v>#N/A</v>
      </c>
      <c r="C616">
        <v>554707</v>
      </c>
      <c r="D616" t="s">
        <v>3073</v>
      </c>
      <c r="E616" t="s">
        <v>3074</v>
      </c>
      <c r="F616" t="s">
        <v>3075</v>
      </c>
      <c r="G616" t="s">
        <v>3075</v>
      </c>
      <c r="H616" t="s">
        <v>3076</v>
      </c>
      <c r="J616" t="s">
        <v>212</v>
      </c>
      <c r="M616" t="s">
        <v>3077</v>
      </c>
      <c r="U616" t="s">
        <v>584</v>
      </c>
      <c r="V616" t="s">
        <v>157</v>
      </c>
      <c r="W616">
        <v>77838206713</v>
      </c>
      <c r="X616">
        <v>10077838006716</v>
      </c>
      <c r="Y616" t="s">
        <v>3078</v>
      </c>
      <c r="Z616" t="s">
        <v>1469</v>
      </c>
      <c r="AA616" t="s">
        <v>1441</v>
      </c>
      <c r="AB616" t="s">
        <v>2969</v>
      </c>
      <c r="AC616" t="s">
        <v>1532</v>
      </c>
      <c r="AD616" t="s">
        <v>1552</v>
      </c>
      <c r="AE616" t="s">
        <v>349</v>
      </c>
      <c r="AF616" t="s">
        <v>164</v>
      </c>
      <c r="AG616">
        <v>392410.4</v>
      </c>
      <c r="AH616">
        <v>85</v>
      </c>
      <c r="AL616" t="s">
        <v>636</v>
      </c>
      <c r="CC616" t="s">
        <v>3075</v>
      </c>
      <c r="CQ616" t="s">
        <v>477</v>
      </c>
    </row>
    <row r="617" spans="1:108" x14ac:dyDescent="0.25">
      <c r="A617" t="s">
        <v>3079</v>
      </c>
      <c r="B617" t="e">
        <f>_xlfn.XLOOKUP(C617,'[1]Image URL'!$E:$E,'[1]Image URL'!$A:$A)</f>
        <v>#N/A</v>
      </c>
      <c r="C617">
        <v>564007</v>
      </c>
      <c r="D617" t="s">
        <v>3080</v>
      </c>
      <c r="E617" t="s">
        <v>3006</v>
      </c>
      <c r="F617" t="s">
        <v>1831</v>
      </c>
      <c r="G617" t="s">
        <v>1831</v>
      </c>
      <c r="H617" t="s">
        <v>2629</v>
      </c>
      <c r="J617" t="s">
        <v>212</v>
      </c>
      <c r="U617" t="s">
        <v>584</v>
      </c>
      <c r="V617" t="s">
        <v>1385</v>
      </c>
      <c r="W617">
        <v>77838817124</v>
      </c>
      <c r="X617">
        <v>10077838817121</v>
      </c>
      <c r="Y617" t="s">
        <v>158</v>
      </c>
      <c r="Z617" t="s">
        <v>3081</v>
      </c>
      <c r="AA617" t="s">
        <v>1178</v>
      </c>
      <c r="AB617" t="s">
        <v>915</v>
      </c>
      <c r="AC617" t="s">
        <v>915</v>
      </c>
      <c r="AD617" t="s">
        <v>3082</v>
      </c>
      <c r="AE617" t="s">
        <v>203</v>
      </c>
      <c r="AF617" t="s">
        <v>315</v>
      </c>
      <c r="AG617">
        <v>392410.4</v>
      </c>
      <c r="AH617">
        <v>85</v>
      </c>
      <c r="AL617" t="s">
        <v>205</v>
      </c>
      <c r="AM617" t="s">
        <v>3083</v>
      </c>
      <c r="BH617" t="s">
        <v>3084</v>
      </c>
      <c r="CQ617" t="s">
        <v>186</v>
      </c>
      <c r="DA617" t="s">
        <v>3084</v>
      </c>
    </row>
    <row r="618" spans="1:108" x14ac:dyDescent="0.25">
      <c r="A618" t="s">
        <v>3085</v>
      </c>
      <c r="B618" t="e">
        <f>_xlfn.XLOOKUP(C618,'[1]Image URL'!$E:$E,'[1]Image URL'!$A:$A)</f>
        <v>#N/A</v>
      </c>
      <c r="C618" t="s">
        <v>3294</v>
      </c>
      <c r="D618" t="s">
        <v>3086</v>
      </c>
      <c r="E618" t="s">
        <v>3087</v>
      </c>
      <c r="F618" t="s">
        <v>3088</v>
      </c>
      <c r="G618" t="s">
        <v>3088</v>
      </c>
      <c r="H618" t="s">
        <v>3089</v>
      </c>
      <c r="J618" t="s">
        <v>212</v>
      </c>
      <c r="M618" t="s">
        <v>2835</v>
      </c>
      <c r="U618" t="s">
        <v>584</v>
      </c>
      <c r="V618" t="s">
        <v>157</v>
      </c>
      <c r="W618">
        <v>77838206669</v>
      </c>
      <c r="X618">
        <v>10077838006662</v>
      </c>
      <c r="Y618" t="s">
        <v>2907</v>
      </c>
      <c r="Z618" t="s">
        <v>3090</v>
      </c>
      <c r="AA618" t="s">
        <v>1510</v>
      </c>
      <c r="AB618" t="s">
        <v>2210</v>
      </c>
      <c r="AC618" t="s">
        <v>2874</v>
      </c>
      <c r="AD618" t="s">
        <v>1552</v>
      </c>
      <c r="AE618" t="s">
        <v>349</v>
      </c>
      <c r="AF618" t="s">
        <v>164</v>
      </c>
      <c r="AG618">
        <v>392410.4</v>
      </c>
      <c r="AH618">
        <v>92.5</v>
      </c>
      <c r="AL618" t="s">
        <v>1830</v>
      </c>
      <c r="CC618" t="s">
        <v>3088</v>
      </c>
      <c r="CQ618" t="s">
        <v>3091</v>
      </c>
      <c r="DD618" t="s">
        <v>3092</v>
      </c>
    </row>
    <row r="619" spans="1:108" x14ac:dyDescent="0.25">
      <c r="A619" t="s">
        <v>3093</v>
      </c>
      <c r="B619" t="e">
        <f>_xlfn.XLOOKUP(C619,'[1]Image URL'!$E:$E,'[1]Image URL'!$A:$A)</f>
        <v>#N/A</v>
      </c>
      <c r="C619">
        <v>7090307</v>
      </c>
      <c r="D619" t="s">
        <v>3094</v>
      </c>
      <c r="E619" t="s">
        <v>3095</v>
      </c>
      <c r="F619" t="s">
        <v>200</v>
      </c>
      <c r="G619" t="s">
        <v>200</v>
      </c>
      <c r="H619" t="s">
        <v>1457</v>
      </c>
      <c r="I619" t="s">
        <v>194</v>
      </c>
      <c r="J619" t="s">
        <v>195</v>
      </c>
      <c r="U619" t="s">
        <v>196</v>
      </c>
      <c r="V619" t="s">
        <v>1385</v>
      </c>
      <c r="W619">
        <v>77838825761</v>
      </c>
      <c r="X619">
        <v>10077838825768</v>
      </c>
      <c r="Y619" t="s">
        <v>3096</v>
      </c>
      <c r="Z619" t="s">
        <v>3097</v>
      </c>
      <c r="AA619" t="s">
        <v>3034</v>
      </c>
      <c r="AB619" t="s">
        <v>1541</v>
      </c>
      <c r="AC619" t="s">
        <v>379</v>
      </c>
      <c r="AD619" t="s">
        <v>184</v>
      </c>
      <c r="AE619" t="s">
        <v>235</v>
      </c>
      <c r="AF619" t="s">
        <v>316</v>
      </c>
      <c r="AG619">
        <v>392410.4</v>
      </c>
      <c r="AH619">
        <v>250</v>
      </c>
      <c r="AL619" t="s">
        <v>971</v>
      </c>
      <c r="AM619" t="s">
        <v>2065</v>
      </c>
      <c r="BH619" t="s">
        <v>200</v>
      </c>
      <c r="CQ619" t="s">
        <v>1982</v>
      </c>
      <c r="DA619" t="s">
        <v>374</v>
      </c>
    </row>
    <row r="620" spans="1:108" x14ac:dyDescent="0.25">
      <c r="A620" t="s">
        <v>3098</v>
      </c>
      <c r="B620" t="e">
        <f>_xlfn.XLOOKUP(C620,'[1]Image URL'!$E:$E,'[1]Image URL'!$A:$A)</f>
        <v>#N/A</v>
      </c>
      <c r="C620">
        <v>580618</v>
      </c>
      <c r="D620" t="s">
        <v>3099</v>
      </c>
      <c r="E620" t="s">
        <v>2869</v>
      </c>
      <c r="F620" t="s">
        <v>3100</v>
      </c>
      <c r="G620" t="s">
        <v>3100</v>
      </c>
      <c r="H620" t="s">
        <v>1143</v>
      </c>
      <c r="J620" t="s">
        <v>212</v>
      </c>
      <c r="M620" t="s">
        <v>3077</v>
      </c>
      <c r="U620" t="s">
        <v>584</v>
      </c>
      <c r="V620" t="s">
        <v>157</v>
      </c>
      <c r="W620">
        <v>77838806579</v>
      </c>
      <c r="X620">
        <v>10077838806576</v>
      </c>
      <c r="Y620" t="s">
        <v>1448</v>
      </c>
      <c r="Z620" t="s">
        <v>1781</v>
      </c>
      <c r="AA620" t="s">
        <v>587</v>
      </c>
      <c r="AB620" t="s">
        <v>866</v>
      </c>
      <c r="AC620" t="s">
        <v>859</v>
      </c>
      <c r="AD620" t="s">
        <v>975</v>
      </c>
      <c r="AE620" t="s">
        <v>204</v>
      </c>
      <c r="AF620" t="s">
        <v>302</v>
      </c>
      <c r="AG620">
        <v>392410.4</v>
      </c>
      <c r="AH620">
        <v>92.5</v>
      </c>
      <c r="AL620" t="s">
        <v>2189</v>
      </c>
      <c r="AN620" t="s">
        <v>3101</v>
      </c>
      <c r="CX620" t="s">
        <v>2947</v>
      </c>
    </row>
    <row r="621" spans="1:108" x14ac:dyDescent="0.25">
      <c r="A621" t="s">
        <v>3102</v>
      </c>
      <c r="B621" t="e">
        <f>_xlfn.XLOOKUP(C621,'[1]Image URL'!$E:$E,'[1]Image URL'!$A:$A)</f>
        <v>#N/A</v>
      </c>
      <c r="C621">
        <v>551907</v>
      </c>
      <c r="D621" t="s">
        <v>3104</v>
      </c>
      <c r="E621" t="s">
        <v>2898</v>
      </c>
      <c r="H621" t="s">
        <v>1515</v>
      </c>
      <c r="J621" t="s">
        <v>212</v>
      </c>
      <c r="M621" t="s">
        <v>1528</v>
      </c>
      <c r="U621" t="s">
        <v>584</v>
      </c>
      <c r="V621" t="s">
        <v>157</v>
      </c>
      <c r="W621">
        <v>77838207659</v>
      </c>
      <c r="X621">
        <v>10077838107659</v>
      </c>
      <c r="Y621" t="s">
        <v>2076</v>
      </c>
      <c r="Z621" t="s">
        <v>2921</v>
      </c>
      <c r="AA621" t="s">
        <v>817</v>
      </c>
      <c r="AB621" t="s">
        <v>587</v>
      </c>
      <c r="AC621" t="s">
        <v>444</v>
      </c>
      <c r="AD621" t="s">
        <v>2903</v>
      </c>
      <c r="AE621" t="s">
        <v>403</v>
      </c>
      <c r="AF621" t="s">
        <v>456</v>
      </c>
      <c r="AG621">
        <v>392410.4</v>
      </c>
      <c r="AH621">
        <v>85</v>
      </c>
      <c r="AL621" t="s">
        <v>2922</v>
      </c>
      <c r="CC621" t="s">
        <v>2923</v>
      </c>
      <c r="CQ621" t="s">
        <v>2924</v>
      </c>
    </row>
    <row r="622" spans="1:108" x14ac:dyDescent="0.25">
      <c r="A622" t="s">
        <v>3105</v>
      </c>
      <c r="B622" t="e">
        <f>_xlfn.XLOOKUP(C622,'[1]Image URL'!$E:$E,'[1]Image URL'!$A:$A)</f>
        <v>#N/A</v>
      </c>
      <c r="C622">
        <v>560907</v>
      </c>
      <c r="D622" t="s">
        <v>3106</v>
      </c>
      <c r="E622" t="s">
        <v>3045</v>
      </c>
      <c r="F622" t="s">
        <v>1526</v>
      </c>
      <c r="G622" t="s">
        <v>1526</v>
      </c>
      <c r="H622" t="s">
        <v>3107</v>
      </c>
      <c r="J622" t="s">
        <v>212</v>
      </c>
      <c r="M622" t="s">
        <v>3108</v>
      </c>
      <c r="U622" t="s">
        <v>584</v>
      </c>
      <c r="V622" t="s">
        <v>157</v>
      </c>
      <c r="W622">
        <v>77838505243</v>
      </c>
      <c r="X622">
        <v>10077838005245</v>
      </c>
      <c r="Y622" t="s">
        <v>3109</v>
      </c>
      <c r="Z622" t="s">
        <v>884</v>
      </c>
      <c r="AA622" t="s">
        <v>3110</v>
      </c>
      <c r="AB622" t="s">
        <v>181</v>
      </c>
      <c r="AC622" t="s">
        <v>1267</v>
      </c>
      <c r="AD622" t="s">
        <v>1765</v>
      </c>
      <c r="AE622" t="s">
        <v>349</v>
      </c>
      <c r="AF622" t="s">
        <v>349</v>
      </c>
      <c r="AG622">
        <v>392410.4</v>
      </c>
      <c r="AH622">
        <v>125</v>
      </c>
      <c r="AL622" t="s">
        <v>3003</v>
      </c>
      <c r="CC622" t="s">
        <v>1526</v>
      </c>
      <c r="CQ622" t="s">
        <v>1939</v>
      </c>
    </row>
    <row r="623" spans="1:108" x14ac:dyDescent="0.25">
      <c r="A623" t="s">
        <v>3111</v>
      </c>
      <c r="B623" t="e">
        <f>_xlfn.XLOOKUP(C623,'[1]Image URL'!$E:$E,'[1]Image URL'!$A:$A)</f>
        <v>#N/A</v>
      </c>
      <c r="C623">
        <v>400807</v>
      </c>
      <c r="D623" t="s">
        <v>3112</v>
      </c>
      <c r="E623" t="s">
        <v>3113</v>
      </c>
      <c r="F623" t="s">
        <v>391</v>
      </c>
      <c r="G623" t="s">
        <v>391</v>
      </c>
      <c r="H623" t="s">
        <v>1589</v>
      </c>
      <c r="I623" t="s">
        <v>194</v>
      </c>
      <c r="J623" t="s">
        <v>195</v>
      </c>
      <c r="U623" t="s">
        <v>196</v>
      </c>
      <c r="V623" t="s">
        <v>1385</v>
      </c>
      <c r="W623">
        <v>77838114513</v>
      </c>
      <c r="X623">
        <v>10077838114510</v>
      </c>
      <c r="Y623" t="s">
        <v>1559</v>
      </c>
      <c r="Z623" t="s">
        <v>2988</v>
      </c>
      <c r="AA623" t="s">
        <v>3114</v>
      </c>
      <c r="AB623" t="s">
        <v>994</v>
      </c>
      <c r="AC623" t="s">
        <v>181</v>
      </c>
      <c r="AD623" t="s">
        <v>588</v>
      </c>
      <c r="AE623" t="s">
        <v>268</v>
      </c>
      <c r="AF623" t="s">
        <v>164</v>
      </c>
      <c r="AG623">
        <v>392410.4</v>
      </c>
      <c r="AH623">
        <v>125</v>
      </c>
      <c r="AL623" t="s">
        <v>3115</v>
      </c>
      <c r="AM623" t="s">
        <v>3116</v>
      </c>
      <c r="CC623" t="s">
        <v>391</v>
      </c>
      <c r="CQ623" t="s">
        <v>3046</v>
      </c>
    </row>
    <row r="624" spans="1:108" x14ac:dyDescent="0.25">
      <c r="A624" t="s">
        <v>3117</v>
      </c>
      <c r="B624" t="e">
        <f>_xlfn.XLOOKUP(C624,'[1]Image URL'!$E:$E,'[1]Image URL'!$A:$A)</f>
        <v>#N/A</v>
      </c>
      <c r="C624" t="s">
        <v>3324</v>
      </c>
      <c r="D624" t="s">
        <v>3118</v>
      </c>
      <c r="E624" t="s">
        <v>3006</v>
      </c>
      <c r="F624" t="s">
        <v>1516</v>
      </c>
      <c r="G624" t="s">
        <v>1516</v>
      </c>
      <c r="H624" t="s">
        <v>3119</v>
      </c>
      <c r="J624" t="s">
        <v>212</v>
      </c>
      <c r="U624" t="s">
        <v>584</v>
      </c>
      <c r="V624" t="s">
        <v>1385</v>
      </c>
      <c r="W624">
        <v>77838817100</v>
      </c>
      <c r="X624">
        <v>10077838817107</v>
      </c>
      <c r="Y624" t="s">
        <v>1238</v>
      </c>
      <c r="Z624" t="s">
        <v>2627</v>
      </c>
      <c r="AA624" t="s">
        <v>332</v>
      </c>
      <c r="AB624" t="s">
        <v>1267</v>
      </c>
      <c r="AC624" t="s">
        <v>696</v>
      </c>
      <c r="AD624" t="s">
        <v>3120</v>
      </c>
      <c r="AE624" t="s">
        <v>1552</v>
      </c>
      <c r="AF624" t="s">
        <v>315</v>
      </c>
      <c r="AG624">
        <v>392410.4</v>
      </c>
      <c r="AH624">
        <v>70</v>
      </c>
      <c r="AL624" t="s">
        <v>3121</v>
      </c>
      <c r="AM624" t="s">
        <v>3122</v>
      </c>
      <c r="BH624" t="s">
        <v>3123</v>
      </c>
      <c r="CQ624" t="s">
        <v>413</v>
      </c>
      <c r="DA624" t="s">
        <v>3123</v>
      </c>
    </row>
    <row r="625" spans="1:108" x14ac:dyDescent="0.25">
      <c r="A625" t="s">
        <v>3124</v>
      </c>
      <c r="B625" t="e">
        <f>_xlfn.XLOOKUP(C625,'[1]Image URL'!$E:$E,'[1]Image URL'!$A:$A)</f>
        <v>#N/A</v>
      </c>
      <c r="C625">
        <v>581018</v>
      </c>
      <c r="D625" t="s">
        <v>3125</v>
      </c>
      <c r="E625" t="s">
        <v>2883</v>
      </c>
      <c r="F625" t="s">
        <v>333</v>
      </c>
      <c r="G625" t="s">
        <v>333</v>
      </c>
      <c r="H625" t="s">
        <v>254</v>
      </c>
      <c r="J625" t="s">
        <v>212</v>
      </c>
      <c r="M625" t="s">
        <v>2891</v>
      </c>
      <c r="U625" t="s">
        <v>584</v>
      </c>
      <c r="V625" t="s">
        <v>157</v>
      </c>
      <c r="W625">
        <v>77838500576</v>
      </c>
      <c r="X625">
        <v>10077838000578</v>
      </c>
      <c r="Y625" t="s">
        <v>3126</v>
      </c>
      <c r="Z625" t="s">
        <v>903</v>
      </c>
      <c r="AA625" t="s">
        <v>866</v>
      </c>
      <c r="AB625" t="s">
        <v>329</v>
      </c>
      <c r="AC625" t="s">
        <v>3127</v>
      </c>
      <c r="AD625" t="s">
        <v>3128</v>
      </c>
      <c r="AE625" t="s">
        <v>185</v>
      </c>
      <c r="AF625" t="s">
        <v>185</v>
      </c>
      <c r="AG625">
        <v>392410.4</v>
      </c>
      <c r="AH625">
        <v>70</v>
      </c>
      <c r="AL625" t="s">
        <v>2740</v>
      </c>
      <c r="CC625" t="s">
        <v>333</v>
      </c>
      <c r="CQ625" t="s">
        <v>3129</v>
      </c>
    </row>
    <row r="626" spans="1:108" x14ac:dyDescent="0.25">
      <c r="A626" t="s">
        <v>3130</v>
      </c>
      <c r="B626" t="e">
        <f>_xlfn.XLOOKUP(C626,'[1]Image URL'!$E:$E,'[1]Image URL'!$A:$A)</f>
        <v>#N/A</v>
      </c>
      <c r="C626">
        <v>550907</v>
      </c>
      <c r="D626" t="s">
        <v>3131</v>
      </c>
      <c r="E626" t="s">
        <v>3132</v>
      </c>
      <c r="F626" t="s">
        <v>1982</v>
      </c>
      <c r="G626" t="s">
        <v>1982</v>
      </c>
      <c r="H626" t="s">
        <v>549</v>
      </c>
      <c r="I626" t="s">
        <v>194</v>
      </c>
      <c r="J626" t="s">
        <v>195</v>
      </c>
      <c r="U626" t="s">
        <v>196</v>
      </c>
      <c r="V626" t="s">
        <v>1385</v>
      </c>
      <c r="W626">
        <v>77838825785</v>
      </c>
      <c r="X626">
        <v>10077838825782</v>
      </c>
      <c r="Y626" t="s">
        <v>3008</v>
      </c>
      <c r="Z626" t="s">
        <v>453</v>
      </c>
      <c r="AA626" t="s">
        <v>1541</v>
      </c>
      <c r="AB626" t="s">
        <v>1374</v>
      </c>
      <c r="AC626" t="s">
        <v>1913</v>
      </c>
      <c r="AD626" t="s">
        <v>479</v>
      </c>
      <c r="AE626" t="s">
        <v>185</v>
      </c>
      <c r="AF626" t="s">
        <v>164</v>
      </c>
      <c r="AG626">
        <v>392410.4</v>
      </c>
      <c r="AH626">
        <v>250</v>
      </c>
      <c r="AL626" t="s">
        <v>1790</v>
      </c>
      <c r="AM626" t="s">
        <v>3133</v>
      </c>
      <c r="BH626" t="s">
        <v>1982</v>
      </c>
      <c r="CQ626" t="s">
        <v>1982</v>
      </c>
      <c r="DA626" t="s">
        <v>575</v>
      </c>
      <c r="DD626" t="s">
        <v>3092</v>
      </c>
    </row>
    <row r="627" spans="1:108" x14ac:dyDescent="0.25">
      <c r="A627" t="s">
        <v>3134</v>
      </c>
      <c r="B627" t="e">
        <f>_xlfn.XLOOKUP(C627,'[1]Image URL'!$E:$E,'[1]Image URL'!$A:$A)</f>
        <v>#N/A</v>
      </c>
      <c r="C627" t="s">
        <v>3334</v>
      </c>
      <c r="D627" t="s">
        <v>3135</v>
      </c>
      <c r="E627" t="s">
        <v>2853</v>
      </c>
      <c r="F627" t="s">
        <v>364</v>
      </c>
      <c r="G627" t="s">
        <v>364</v>
      </c>
      <c r="H627" t="s">
        <v>1640</v>
      </c>
      <c r="I627" t="s">
        <v>194</v>
      </c>
      <c r="J627" t="s">
        <v>212</v>
      </c>
      <c r="U627" t="s">
        <v>2854</v>
      </c>
      <c r="V627" t="s">
        <v>157</v>
      </c>
      <c r="W627">
        <v>77838860083</v>
      </c>
      <c r="X627">
        <v>10077838860080</v>
      </c>
      <c r="Y627" t="s">
        <v>665</v>
      </c>
      <c r="Z627" t="s">
        <v>1612</v>
      </c>
      <c r="AA627" t="s">
        <v>192</v>
      </c>
      <c r="AB627" t="s">
        <v>2855</v>
      </c>
      <c r="AC627" t="s">
        <v>752</v>
      </c>
      <c r="AD627" t="s">
        <v>1765</v>
      </c>
      <c r="AE627" t="s">
        <v>204</v>
      </c>
      <c r="AF627" t="s">
        <v>164</v>
      </c>
      <c r="AG627">
        <v>392410.4</v>
      </c>
      <c r="AH627">
        <v>125</v>
      </c>
      <c r="AL627" t="s">
        <v>399</v>
      </c>
      <c r="AM627" t="s">
        <v>1717</v>
      </c>
      <c r="AN627" t="s">
        <v>1284</v>
      </c>
      <c r="BS627" t="s">
        <v>2856</v>
      </c>
      <c r="CC627" t="s">
        <v>1982</v>
      </c>
      <c r="CX627" t="s">
        <v>2857</v>
      </c>
    </row>
    <row r="628" spans="1:108" x14ac:dyDescent="0.25">
      <c r="A628" t="s">
        <v>3136</v>
      </c>
      <c r="B628" t="e">
        <f>_xlfn.XLOOKUP(C628,'[1]Image URL'!$E:$E,'[1]Image URL'!$A:$A)</f>
        <v>#N/A</v>
      </c>
      <c r="C628">
        <v>402007</v>
      </c>
      <c r="D628" t="s">
        <v>3138</v>
      </c>
      <c r="E628" t="s">
        <v>2898</v>
      </c>
      <c r="H628" t="s">
        <v>288</v>
      </c>
      <c r="J628" t="s">
        <v>212</v>
      </c>
      <c r="M628" t="s">
        <v>2986</v>
      </c>
      <c r="U628" t="s">
        <v>584</v>
      </c>
      <c r="V628" t="s">
        <v>157</v>
      </c>
      <c r="W628">
        <v>77838299586</v>
      </c>
      <c r="X628">
        <v>10077838099589</v>
      </c>
      <c r="Y628" t="s">
        <v>2987</v>
      </c>
      <c r="Z628" t="s">
        <v>2988</v>
      </c>
      <c r="AA628" t="s">
        <v>2893</v>
      </c>
      <c r="AB628" t="s">
        <v>1804</v>
      </c>
      <c r="AC628" t="s">
        <v>765</v>
      </c>
      <c r="AD628" t="s">
        <v>2903</v>
      </c>
      <c r="AE628" t="s">
        <v>403</v>
      </c>
      <c r="AF628" t="s">
        <v>456</v>
      </c>
      <c r="AG628">
        <v>392410.4</v>
      </c>
      <c r="AH628">
        <v>85</v>
      </c>
      <c r="AL628" t="s">
        <v>2922</v>
      </c>
      <c r="CC628" t="s">
        <v>2989</v>
      </c>
      <c r="CQ628" t="s">
        <v>334</v>
      </c>
    </row>
    <row r="629" spans="1:108" x14ac:dyDescent="0.25">
      <c r="A629" t="s">
        <v>3139</v>
      </c>
      <c r="B629" t="e">
        <f>_xlfn.XLOOKUP(C629,'[1]Image URL'!$E:$E,'[1]Image URL'!$A:$A)</f>
        <v>#N/A</v>
      </c>
      <c r="C629">
        <v>564807</v>
      </c>
      <c r="D629" t="s">
        <v>3140</v>
      </c>
      <c r="E629" t="s">
        <v>2898</v>
      </c>
      <c r="H629" t="s">
        <v>583</v>
      </c>
      <c r="J629" t="s">
        <v>212</v>
      </c>
      <c r="M629" t="s">
        <v>2935</v>
      </c>
      <c r="U629" t="s">
        <v>584</v>
      </c>
      <c r="V629" t="s">
        <v>157</v>
      </c>
      <c r="W629">
        <v>77838510162</v>
      </c>
      <c r="X629">
        <v>10077838010164</v>
      </c>
      <c r="Y629" t="s">
        <v>2276</v>
      </c>
      <c r="Z629" t="s">
        <v>1440</v>
      </c>
      <c r="AA629" t="s">
        <v>421</v>
      </c>
      <c r="AB629" t="s">
        <v>1178</v>
      </c>
      <c r="AC629" t="s">
        <v>180</v>
      </c>
      <c r="AD629" t="s">
        <v>1942</v>
      </c>
      <c r="AE629" t="s">
        <v>303</v>
      </c>
      <c r="AF629" t="s">
        <v>456</v>
      </c>
      <c r="AG629">
        <v>392410.4</v>
      </c>
      <c r="AH629">
        <v>85</v>
      </c>
      <c r="CC629" t="s">
        <v>340</v>
      </c>
      <c r="CQ629" t="s">
        <v>575</v>
      </c>
    </row>
    <row r="630" spans="1:108" x14ac:dyDescent="0.25">
      <c r="A630" t="s">
        <v>3141</v>
      </c>
      <c r="B630" t="e">
        <f>_xlfn.XLOOKUP(C630,'[1]Image URL'!$E:$E,'[1]Image URL'!$A:$A)</f>
        <v>#N/A</v>
      </c>
      <c r="C630" t="s">
        <v>3343</v>
      </c>
      <c r="D630" t="s">
        <v>3142</v>
      </c>
      <c r="E630" t="s">
        <v>2913</v>
      </c>
      <c r="F630" t="s">
        <v>340</v>
      </c>
      <c r="G630" t="s">
        <v>340</v>
      </c>
      <c r="H630" t="s">
        <v>3143</v>
      </c>
      <c r="J630" t="s">
        <v>2915</v>
      </c>
      <c r="M630" t="s">
        <v>2549</v>
      </c>
      <c r="U630" t="s">
        <v>584</v>
      </c>
      <c r="V630" t="s">
        <v>157</v>
      </c>
      <c r="W630">
        <v>77838505366</v>
      </c>
      <c r="X630">
        <v>10077838005368</v>
      </c>
      <c r="Y630" t="s">
        <v>2892</v>
      </c>
      <c r="Z630" t="s">
        <v>2998</v>
      </c>
      <c r="AA630" t="s">
        <v>3114</v>
      </c>
      <c r="AB630" t="s">
        <v>312</v>
      </c>
      <c r="AC630" t="s">
        <v>836</v>
      </c>
      <c r="AD630" t="s">
        <v>3144</v>
      </c>
      <c r="AE630" t="s">
        <v>185</v>
      </c>
      <c r="AF630" t="s">
        <v>268</v>
      </c>
      <c r="AG630">
        <v>392410.4</v>
      </c>
      <c r="AH630">
        <v>175</v>
      </c>
      <c r="AL630" t="s">
        <v>399</v>
      </c>
      <c r="CC630" t="s">
        <v>340</v>
      </c>
      <c r="CQ630" t="s">
        <v>374</v>
      </c>
    </row>
    <row r="631" spans="1:108" x14ac:dyDescent="0.25">
      <c r="A631" t="s">
        <v>3145</v>
      </c>
      <c r="B631" t="e">
        <f>_xlfn.XLOOKUP(C631,'[1]Image URL'!$E:$E,'[1]Image URL'!$A:$A)</f>
        <v>#N/A</v>
      </c>
      <c r="C631">
        <v>560207</v>
      </c>
      <c r="D631" t="s">
        <v>3026</v>
      </c>
      <c r="E631" t="s">
        <v>3027</v>
      </c>
      <c r="F631" t="s">
        <v>340</v>
      </c>
      <c r="G631" t="s">
        <v>340</v>
      </c>
      <c r="H631" t="s">
        <v>3028</v>
      </c>
      <c r="I631" t="s">
        <v>3029</v>
      </c>
      <c r="J631" t="s">
        <v>3030</v>
      </c>
      <c r="U631" t="s">
        <v>3031</v>
      </c>
      <c r="V631" t="s">
        <v>282</v>
      </c>
      <c r="W631">
        <v>77838813485</v>
      </c>
      <c r="X631">
        <v>10077838813482</v>
      </c>
      <c r="Y631" t="s">
        <v>3032</v>
      </c>
      <c r="Z631" t="s">
        <v>3033</v>
      </c>
      <c r="AA631" t="s">
        <v>633</v>
      </c>
      <c r="AB631" t="s">
        <v>1275</v>
      </c>
      <c r="AC631" t="s">
        <v>3034</v>
      </c>
      <c r="AD631" t="s">
        <v>348</v>
      </c>
      <c r="AE631" t="s">
        <v>802</v>
      </c>
      <c r="AF631" t="s">
        <v>456</v>
      </c>
      <c r="AG631">
        <v>392350</v>
      </c>
      <c r="AH631">
        <v>175</v>
      </c>
      <c r="AL631" t="s">
        <v>3038</v>
      </c>
      <c r="AN631" t="s">
        <v>340</v>
      </c>
    </row>
    <row r="632" spans="1:108" x14ac:dyDescent="0.25">
      <c r="A632" t="s">
        <v>3147</v>
      </c>
      <c r="B632" t="e">
        <f>_xlfn.XLOOKUP(C632,'[1]Image URL'!$E:$E,'[1]Image URL'!$A:$A)</f>
        <v>#N/A</v>
      </c>
      <c r="C632">
        <v>564507</v>
      </c>
      <c r="D632" t="s">
        <v>3148</v>
      </c>
      <c r="E632" t="s">
        <v>2853</v>
      </c>
      <c r="F632" t="s">
        <v>364</v>
      </c>
      <c r="G632" t="s">
        <v>364</v>
      </c>
      <c r="H632" t="s">
        <v>1640</v>
      </c>
      <c r="I632" t="s">
        <v>194</v>
      </c>
      <c r="J632" t="s">
        <v>212</v>
      </c>
      <c r="U632" t="s">
        <v>2854</v>
      </c>
      <c r="V632" t="s">
        <v>157</v>
      </c>
      <c r="W632">
        <v>77838860137</v>
      </c>
      <c r="X632">
        <v>10077838860134</v>
      </c>
      <c r="Y632" t="s">
        <v>665</v>
      </c>
      <c r="Z632" t="s">
        <v>1612</v>
      </c>
      <c r="AA632" t="s">
        <v>192</v>
      </c>
      <c r="AB632" t="s">
        <v>2855</v>
      </c>
      <c r="AC632" t="s">
        <v>752</v>
      </c>
      <c r="AD632" t="s">
        <v>1765</v>
      </c>
      <c r="AE632" t="s">
        <v>204</v>
      </c>
      <c r="AF632" t="s">
        <v>164</v>
      </c>
      <c r="AG632">
        <v>392410.4</v>
      </c>
      <c r="AH632">
        <v>125</v>
      </c>
      <c r="AL632" t="s">
        <v>399</v>
      </c>
      <c r="AM632" t="s">
        <v>1717</v>
      </c>
      <c r="AN632" t="s">
        <v>1284</v>
      </c>
      <c r="BS632" t="s">
        <v>2856</v>
      </c>
      <c r="CC632" t="s">
        <v>1982</v>
      </c>
      <c r="CX632" t="s">
        <v>2857</v>
      </c>
    </row>
    <row r="633" spans="1:108" x14ac:dyDescent="0.25">
      <c r="A633" t="s">
        <v>3149</v>
      </c>
      <c r="B633" t="e">
        <f>_xlfn.XLOOKUP(C633,'[1]Image URL'!$E:$E,'[1]Image URL'!$A:$A)</f>
        <v>#N/A</v>
      </c>
      <c r="C633">
        <v>4366807</v>
      </c>
      <c r="D633" t="s">
        <v>3150</v>
      </c>
      <c r="E633" t="s">
        <v>2898</v>
      </c>
      <c r="H633" t="s">
        <v>1515</v>
      </c>
      <c r="J633" t="s">
        <v>212</v>
      </c>
      <c r="M633" t="s">
        <v>1528</v>
      </c>
      <c r="U633" t="s">
        <v>584</v>
      </c>
      <c r="V633" t="s">
        <v>157</v>
      </c>
      <c r="W633">
        <v>77838510773</v>
      </c>
      <c r="X633">
        <v>10077838010775</v>
      </c>
      <c r="Y633" t="s">
        <v>2076</v>
      </c>
      <c r="Z633" t="s">
        <v>2921</v>
      </c>
      <c r="AA633" t="s">
        <v>817</v>
      </c>
      <c r="AB633" t="s">
        <v>587</v>
      </c>
      <c r="AC633" t="s">
        <v>444</v>
      </c>
      <c r="AD633" t="s">
        <v>2903</v>
      </c>
      <c r="AE633" t="s">
        <v>403</v>
      </c>
      <c r="AF633" t="s">
        <v>456</v>
      </c>
      <c r="AG633">
        <v>392410.4</v>
      </c>
      <c r="AH633">
        <v>85</v>
      </c>
      <c r="AL633" t="s">
        <v>2922</v>
      </c>
      <c r="CC633" t="s">
        <v>2923</v>
      </c>
      <c r="CQ633" t="s">
        <v>2924</v>
      </c>
    </row>
    <row r="634" spans="1:108" x14ac:dyDescent="0.25">
      <c r="A634" t="s">
        <v>3151</v>
      </c>
      <c r="B634" t="e">
        <f>_xlfn.XLOOKUP(C634,'[1]Image URL'!$E:$E,'[1]Image URL'!$A:$A)</f>
        <v>#N/A</v>
      </c>
      <c r="C634">
        <v>564207</v>
      </c>
      <c r="D634" t="s">
        <v>3152</v>
      </c>
      <c r="E634" t="s">
        <v>2898</v>
      </c>
      <c r="H634" t="s">
        <v>3153</v>
      </c>
      <c r="J634" t="s">
        <v>212</v>
      </c>
      <c r="M634" t="s">
        <v>3154</v>
      </c>
      <c r="U634" t="s">
        <v>584</v>
      </c>
      <c r="V634" t="s">
        <v>157</v>
      </c>
      <c r="W634">
        <v>77838510346</v>
      </c>
      <c r="X634">
        <v>10077838010348</v>
      </c>
      <c r="Y634" t="s">
        <v>3155</v>
      </c>
      <c r="Z634" t="s">
        <v>1781</v>
      </c>
      <c r="AA634" t="s">
        <v>776</v>
      </c>
      <c r="AB634" t="s">
        <v>1062</v>
      </c>
      <c r="AC634" t="s">
        <v>532</v>
      </c>
      <c r="AD634" t="s">
        <v>1562</v>
      </c>
      <c r="AE634" t="s">
        <v>1113</v>
      </c>
      <c r="AF634" t="s">
        <v>302</v>
      </c>
      <c r="AG634">
        <v>392410.4</v>
      </c>
      <c r="AH634">
        <v>92.5</v>
      </c>
      <c r="CC634" t="s">
        <v>3156</v>
      </c>
      <c r="CQ634" t="s">
        <v>550</v>
      </c>
    </row>
    <row r="635" spans="1:108" x14ac:dyDescent="0.25">
      <c r="A635" t="s">
        <v>3157</v>
      </c>
      <c r="B635" t="e">
        <f>_xlfn.XLOOKUP(C635,'[1]Image URL'!$E:$E,'[1]Image URL'!$A:$A)</f>
        <v>#N/A</v>
      </c>
      <c r="C635">
        <v>402907</v>
      </c>
      <c r="D635" t="s">
        <v>3158</v>
      </c>
      <c r="E635" t="s">
        <v>2898</v>
      </c>
      <c r="H635" t="s">
        <v>288</v>
      </c>
      <c r="J635" t="s">
        <v>212</v>
      </c>
      <c r="M635" t="s">
        <v>2986</v>
      </c>
      <c r="U635" t="s">
        <v>584</v>
      </c>
      <c r="V635" t="s">
        <v>157</v>
      </c>
      <c r="W635">
        <v>77838614471</v>
      </c>
      <c r="X635">
        <v>10077838114473</v>
      </c>
      <c r="Y635" t="s">
        <v>2987</v>
      </c>
      <c r="Z635" t="s">
        <v>2988</v>
      </c>
      <c r="AA635" t="s">
        <v>2893</v>
      </c>
      <c r="AB635" t="s">
        <v>1804</v>
      </c>
      <c r="AC635" t="s">
        <v>765</v>
      </c>
      <c r="AD635" t="s">
        <v>2903</v>
      </c>
      <c r="AE635" t="s">
        <v>403</v>
      </c>
      <c r="AF635" t="s">
        <v>456</v>
      </c>
      <c r="AG635">
        <v>392410.4</v>
      </c>
      <c r="AH635">
        <v>85</v>
      </c>
      <c r="AL635" t="s">
        <v>2922</v>
      </c>
      <c r="CC635" t="s">
        <v>2989</v>
      </c>
      <c r="CQ635" t="s">
        <v>334</v>
      </c>
    </row>
    <row r="636" spans="1:108" x14ac:dyDescent="0.25">
      <c r="A636" t="s">
        <v>3159</v>
      </c>
      <c r="B636" t="e">
        <f>_xlfn.XLOOKUP(C636,'[1]Image URL'!$E:$E,'[1]Image URL'!$A:$A)</f>
        <v>#N/A</v>
      </c>
      <c r="C636">
        <v>12007</v>
      </c>
      <c r="D636" t="s">
        <v>3160</v>
      </c>
      <c r="E636" t="s">
        <v>3161</v>
      </c>
      <c r="F636" t="s">
        <v>340</v>
      </c>
      <c r="G636" t="s">
        <v>340</v>
      </c>
      <c r="H636" t="s">
        <v>3162</v>
      </c>
      <c r="J636" t="s">
        <v>212</v>
      </c>
      <c r="U636" t="s">
        <v>584</v>
      </c>
      <c r="V636" t="s">
        <v>157</v>
      </c>
      <c r="W636">
        <v>77838889671</v>
      </c>
      <c r="X636">
        <v>10077838889678</v>
      </c>
      <c r="Y636" t="s">
        <v>240</v>
      </c>
      <c r="Z636" t="s">
        <v>1141</v>
      </c>
      <c r="AA636" t="s">
        <v>775</v>
      </c>
      <c r="AB636" t="s">
        <v>182</v>
      </c>
      <c r="AC636" t="s">
        <v>462</v>
      </c>
      <c r="AD636" t="s">
        <v>2173</v>
      </c>
      <c r="AE636" t="s">
        <v>204</v>
      </c>
      <c r="AF636" t="s">
        <v>185</v>
      </c>
      <c r="AG636">
        <v>392410.4</v>
      </c>
      <c r="AH636">
        <v>92.5</v>
      </c>
      <c r="AL636" t="s">
        <v>681</v>
      </c>
      <c r="AM636" t="s">
        <v>1774</v>
      </c>
      <c r="CC636" t="s">
        <v>340</v>
      </c>
      <c r="CX636" t="s">
        <v>575</v>
      </c>
    </row>
    <row r="637" spans="1:108" x14ac:dyDescent="0.25">
      <c r="A637" t="s">
        <v>3163</v>
      </c>
      <c r="B637" t="e">
        <f>_xlfn.XLOOKUP(C637,'[1]Image URL'!$E:$E,'[1]Image URL'!$A:$A)</f>
        <v>#N/A</v>
      </c>
      <c r="C637">
        <v>523207</v>
      </c>
      <c r="D637" t="s">
        <v>3164</v>
      </c>
      <c r="E637" t="s">
        <v>2898</v>
      </c>
      <c r="H637" t="s">
        <v>2899</v>
      </c>
      <c r="J637" t="s">
        <v>212</v>
      </c>
      <c r="M637" t="s">
        <v>2900</v>
      </c>
      <c r="U637" t="s">
        <v>584</v>
      </c>
      <c r="V637" t="s">
        <v>157</v>
      </c>
      <c r="W637">
        <v>77838615645</v>
      </c>
      <c r="X637">
        <v>10077838115647</v>
      </c>
      <c r="Y637" t="s">
        <v>2901</v>
      </c>
      <c r="Z637" t="s">
        <v>2902</v>
      </c>
      <c r="AA637" t="s">
        <v>755</v>
      </c>
      <c r="AB637" t="s">
        <v>2608</v>
      </c>
      <c r="AC637" t="s">
        <v>1691</v>
      </c>
      <c r="AD637" t="s">
        <v>2903</v>
      </c>
      <c r="AE637" t="s">
        <v>403</v>
      </c>
      <c r="AF637" t="s">
        <v>456</v>
      </c>
      <c r="AG637">
        <v>392410.4</v>
      </c>
      <c r="AH637">
        <v>85</v>
      </c>
      <c r="CC637" t="s">
        <v>154</v>
      </c>
      <c r="CQ637" t="s">
        <v>1864</v>
      </c>
    </row>
    <row r="638" spans="1:108" x14ac:dyDescent="0.25">
      <c r="A638" t="s">
        <v>3165</v>
      </c>
      <c r="B638" t="e">
        <f>_xlfn.XLOOKUP(C638,'[1]Image URL'!$E:$E,'[1]Image URL'!$A:$A)</f>
        <v>#N/A</v>
      </c>
      <c r="C638">
        <v>7090107</v>
      </c>
      <c r="D638" t="s">
        <v>3166</v>
      </c>
      <c r="E638" t="s">
        <v>2974</v>
      </c>
      <c r="F638" t="s">
        <v>223</v>
      </c>
      <c r="G638" t="s">
        <v>223</v>
      </c>
      <c r="H638" t="s">
        <v>332</v>
      </c>
      <c r="I638" t="s">
        <v>194</v>
      </c>
      <c r="J638" t="s">
        <v>195</v>
      </c>
      <c r="U638" t="s">
        <v>196</v>
      </c>
      <c r="V638" t="s">
        <v>1385</v>
      </c>
      <c r="W638">
        <v>77838859384</v>
      </c>
      <c r="X638">
        <v>10077838859381</v>
      </c>
      <c r="Y638" t="s">
        <v>3167</v>
      </c>
      <c r="Z638" t="s">
        <v>3168</v>
      </c>
      <c r="AA638" t="s">
        <v>3169</v>
      </c>
      <c r="AB638" t="s">
        <v>2312</v>
      </c>
      <c r="AC638" t="s">
        <v>1373</v>
      </c>
      <c r="AD638" t="s">
        <v>303</v>
      </c>
      <c r="AE638" t="s">
        <v>164</v>
      </c>
      <c r="AF638" t="s">
        <v>456</v>
      </c>
      <c r="AG638">
        <v>392410.4</v>
      </c>
      <c r="AH638">
        <v>175</v>
      </c>
      <c r="AL638" t="s">
        <v>2061</v>
      </c>
      <c r="AM638" t="s">
        <v>1528</v>
      </c>
    </row>
    <row r="639" spans="1:108" x14ac:dyDescent="0.25">
      <c r="A639" t="s">
        <v>3170</v>
      </c>
      <c r="B639" t="e">
        <f>_xlfn.XLOOKUP(C639,'[1]Image URL'!$E:$E,'[1]Image URL'!$A:$A)</f>
        <v>#N/A</v>
      </c>
      <c r="C639">
        <v>521654</v>
      </c>
      <c r="D639" t="s">
        <v>3172</v>
      </c>
      <c r="E639" t="s">
        <v>2898</v>
      </c>
      <c r="H639" t="s">
        <v>3153</v>
      </c>
      <c r="J639" t="s">
        <v>212</v>
      </c>
      <c r="M639" t="s">
        <v>3154</v>
      </c>
      <c r="U639" t="s">
        <v>584</v>
      </c>
      <c r="V639" t="s">
        <v>157</v>
      </c>
      <c r="W639">
        <v>77838510438</v>
      </c>
      <c r="X639">
        <v>10077838010430</v>
      </c>
      <c r="Y639" t="s">
        <v>3173</v>
      </c>
      <c r="Z639" t="s">
        <v>327</v>
      </c>
      <c r="AA639" t="s">
        <v>800</v>
      </c>
      <c r="AB639" t="s">
        <v>1388</v>
      </c>
      <c r="AC639" t="s">
        <v>668</v>
      </c>
      <c r="AD639" t="s">
        <v>3174</v>
      </c>
      <c r="AE639" t="s">
        <v>1635</v>
      </c>
      <c r="AF639" t="s">
        <v>268</v>
      </c>
      <c r="AG639">
        <v>392410.4</v>
      </c>
      <c r="AH639">
        <v>85</v>
      </c>
      <c r="CC639" t="s">
        <v>3156</v>
      </c>
      <c r="CQ639" t="s">
        <v>550</v>
      </c>
    </row>
    <row r="640" spans="1:108" x14ac:dyDescent="0.25">
      <c r="A640" t="s">
        <v>3175</v>
      </c>
      <c r="B640" t="e">
        <f>_xlfn.XLOOKUP(C640,'[1]Image URL'!$E:$E,'[1]Image URL'!$A:$A)</f>
        <v>#N/A</v>
      </c>
      <c r="C640" t="s">
        <v>3380</v>
      </c>
      <c r="D640" t="s">
        <v>3176</v>
      </c>
      <c r="E640" t="s">
        <v>2898</v>
      </c>
      <c r="H640" t="s">
        <v>2899</v>
      </c>
      <c r="J640" t="s">
        <v>212</v>
      </c>
      <c r="M640" t="s">
        <v>2900</v>
      </c>
      <c r="U640" t="s">
        <v>584</v>
      </c>
      <c r="V640" t="s">
        <v>157</v>
      </c>
      <c r="W640">
        <v>77838615638</v>
      </c>
      <c r="X640">
        <v>10077838115630</v>
      </c>
      <c r="Y640" t="s">
        <v>2901</v>
      </c>
      <c r="Z640" t="s">
        <v>2902</v>
      </c>
      <c r="AA640" t="s">
        <v>755</v>
      </c>
      <c r="AB640" t="s">
        <v>2608</v>
      </c>
      <c r="AC640" t="s">
        <v>1691</v>
      </c>
      <c r="AD640" t="s">
        <v>2903</v>
      </c>
      <c r="AE640" t="s">
        <v>403</v>
      </c>
      <c r="AF640" t="s">
        <v>456</v>
      </c>
      <c r="AG640">
        <v>392410.4</v>
      </c>
      <c r="AH640">
        <v>85</v>
      </c>
      <c r="CC640" t="s">
        <v>154</v>
      </c>
      <c r="CQ640" t="s">
        <v>1864</v>
      </c>
    </row>
    <row r="641" spans="1:105" x14ac:dyDescent="0.25">
      <c r="A641" t="s">
        <v>3177</v>
      </c>
      <c r="B641" t="e">
        <f>_xlfn.XLOOKUP(C641,'[1]Image URL'!$E:$E,'[1]Image URL'!$A:$A)</f>
        <v>#N/A</v>
      </c>
      <c r="C641">
        <v>522010</v>
      </c>
      <c r="D641" t="s">
        <v>3051</v>
      </c>
      <c r="E641" t="s">
        <v>3178</v>
      </c>
      <c r="F641" t="s">
        <v>463</v>
      </c>
      <c r="G641" t="s">
        <v>463</v>
      </c>
      <c r="H641" t="s">
        <v>1457</v>
      </c>
      <c r="I641" t="s">
        <v>194</v>
      </c>
      <c r="J641" t="s">
        <v>195</v>
      </c>
      <c r="U641" t="s">
        <v>196</v>
      </c>
      <c r="V641" t="s">
        <v>157</v>
      </c>
      <c r="W641">
        <v>77838521205</v>
      </c>
      <c r="X641">
        <v>10077838021207</v>
      </c>
      <c r="Y641" t="s">
        <v>240</v>
      </c>
      <c r="Z641" t="s">
        <v>2998</v>
      </c>
      <c r="AA641" t="s">
        <v>3053</v>
      </c>
      <c r="AB641" t="s">
        <v>576</v>
      </c>
      <c r="AC641" t="s">
        <v>1457</v>
      </c>
      <c r="AD641" t="s">
        <v>3054</v>
      </c>
      <c r="AE641" t="s">
        <v>403</v>
      </c>
      <c r="AF641" t="s">
        <v>164</v>
      </c>
      <c r="AG641">
        <v>392410.4</v>
      </c>
      <c r="AH641">
        <v>175</v>
      </c>
      <c r="AL641" t="s">
        <v>247</v>
      </c>
      <c r="AM641" t="s">
        <v>2102</v>
      </c>
      <c r="CC641" t="s">
        <v>463</v>
      </c>
      <c r="CQ641" t="s">
        <v>2870</v>
      </c>
    </row>
    <row r="642" spans="1:105" x14ac:dyDescent="0.25">
      <c r="A642" t="s">
        <v>3179</v>
      </c>
      <c r="B642" t="e">
        <f>_xlfn.XLOOKUP(C642,'[1]Image URL'!$E:$E,'[1]Image URL'!$A:$A)</f>
        <v>#N/A</v>
      </c>
      <c r="C642">
        <v>583207</v>
      </c>
      <c r="D642" t="s">
        <v>3180</v>
      </c>
      <c r="E642" t="s">
        <v>2898</v>
      </c>
      <c r="H642" t="s">
        <v>1794</v>
      </c>
      <c r="J642" t="s">
        <v>212</v>
      </c>
      <c r="M642" t="s">
        <v>3181</v>
      </c>
      <c r="U642" t="s">
        <v>584</v>
      </c>
      <c r="V642" t="s">
        <v>157</v>
      </c>
      <c r="W642">
        <v>77838510094</v>
      </c>
      <c r="X642">
        <v>10077838010096</v>
      </c>
      <c r="Y642" t="s">
        <v>1611</v>
      </c>
      <c r="Z642" t="s">
        <v>3182</v>
      </c>
      <c r="AA642" t="s">
        <v>519</v>
      </c>
      <c r="AB642" t="s">
        <v>549</v>
      </c>
      <c r="AC642" t="s">
        <v>1932</v>
      </c>
      <c r="AD642" t="s">
        <v>3183</v>
      </c>
      <c r="AE642" t="s">
        <v>802</v>
      </c>
      <c r="AF642" t="s">
        <v>302</v>
      </c>
      <c r="AG642">
        <v>392410.4</v>
      </c>
      <c r="AH642">
        <v>100</v>
      </c>
      <c r="CC642" t="s">
        <v>386</v>
      </c>
      <c r="CQ642" t="s">
        <v>3184</v>
      </c>
    </row>
    <row r="643" spans="1:105" x14ac:dyDescent="0.25">
      <c r="A643" t="s">
        <v>3185</v>
      </c>
      <c r="B643" t="e">
        <f>_xlfn.XLOOKUP(C643,'[1]Image URL'!$E:$E,'[1]Image URL'!$A:$A)</f>
        <v>#N/A</v>
      </c>
      <c r="C643">
        <v>580807</v>
      </c>
      <c r="D643" t="s">
        <v>3186</v>
      </c>
      <c r="E643" t="s">
        <v>2898</v>
      </c>
      <c r="H643" t="s">
        <v>583</v>
      </c>
      <c r="J643" t="s">
        <v>212</v>
      </c>
      <c r="M643" t="s">
        <v>2935</v>
      </c>
      <c r="U643" t="s">
        <v>584</v>
      </c>
      <c r="V643" t="s">
        <v>157</v>
      </c>
      <c r="W643">
        <v>77838510179</v>
      </c>
      <c r="X643">
        <v>10077838010171</v>
      </c>
      <c r="Y643" t="s">
        <v>2276</v>
      </c>
      <c r="Z643" t="s">
        <v>1440</v>
      </c>
      <c r="AA643" t="s">
        <v>421</v>
      </c>
      <c r="AB643" t="s">
        <v>1178</v>
      </c>
      <c r="AC643" t="s">
        <v>180</v>
      </c>
      <c r="AD643" t="s">
        <v>1942</v>
      </c>
      <c r="AE643" t="s">
        <v>303</v>
      </c>
      <c r="AF643" t="s">
        <v>456</v>
      </c>
      <c r="AG643">
        <v>392410.4</v>
      </c>
      <c r="AH643">
        <v>85</v>
      </c>
      <c r="CC643" t="s">
        <v>340</v>
      </c>
      <c r="CQ643" t="s">
        <v>575</v>
      </c>
    </row>
    <row r="644" spans="1:105" x14ac:dyDescent="0.25">
      <c r="A644" t="s">
        <v>3187</v>
      </c>
      <c r="B644" t="e">
        <f>_xlfn.XLOOKUP(C644,'[1]Image URL'!$E:$E,'[1]Image URL'!$A:$A)</f>
        <v>#N/A</v>
      </c>
      <c r="C644">
        <v>553210</v>
      </c>
      <c r="D644" t="s">
        <v>3188</v>
      </c>
      <c r="E644" t="s">
        <v>3087</v>
      </c>
      <c r="F644" t="s">
        <v>3189</v>
      </c>
      <c r="G644" t="s">
        <v>3189</v>
      </c>
      <c r="H644" t="s">
        <v>3190</v>
      </c>
      <c r="J644" t="s">
        <v>212</v>
      </c>
      <c r="M644" t="s">
        <v>2205</v>
      </c>
      <c r="U644" t="s">
        <v>584</v>
      </c>
      <c r="V644" t="s">
        <v>157</v>
      </c>
      <c r="W644">
        <v>77838202623</v>
      </c>
      <c r="X644">
        <v>10077838002626</v>
      </c>
      <c r="Y644" t="s">
        <v>2060</v>
      </c>
      <c r="Z644" t="s">
        <v>1493</v>
      </c>
      <c r="AA644" t="s">
        <v>161</v>
      </c>
      <c r="AB644" t="s">
        <v>445</v>
      </c>
      <c r="AC644" t="s">
        <v>3191</v>
      </c>
      <c r="AD644" t="s">
        <v>301</v>
      </c>
      <c r="AE644" t="s">
        <v>349</v>
      </c>
      <c r="AF644" t="s">
        <v>235</v>
      </c>
      <c r="AG644">
        <v>392410.4</v>
      </c>
      <c r="AH644">
        <v>85</v>
      </c>
      <c r="AL644" t="s">
        <v>3121</v>
      </c>
      <c r="CC644" t="s">
        <v>3189</v>
      </c>
      <c r="CQ644" t="s">
        <v>3192</v>
      </c>
    </row>
    <row r="645" spans="1:105" x14ac:dyDescent="0.25">
      <c r="A645" t="s">
        <v>3193</v>
      </c>
      <c r="B645" t="e">
        <f>_xlfn.XLOOKUP(C645,'[1]Image URL'!$E:$E,'[1]Image URL'!$A:$A)</f>
        <v>#N/A</v>
      </c>
      <c r="C645">
        <v>565007</v>
      </c>
      <c r="D645" t="s">
        <v>3194</v>
      </c>
      <c r="E645" t="s">
        <v>2869</v>
      </c>
      <c r="F645" t="s">
        <v>664</v>
      </c>
      <c r="G645" t="s">
        <v>664</v>
      </c>
      <c r="H645" t="s">
        <v>145</v>
      </c>
      <c r="J645" t="s">
        <v>212</v>
      </c>
      <c r="M645" t="s">
        <v>2906</v>
      </c>
      <c r="U645" t="s">
        <v>584</v>
      </c>
      <c r="V645" t="s">
        <v>157</v>
      </c>
      <c r="W645">
        <v>77838889732</v>
      </c>
      <c r="X645">
        <v>10077838889739</v>
      </c>
      <c r="Y645" t="s">
        <v>2907</v>
      </c>
      <c r="Z645" t="s">
        <v>2908</v>
      </c>
      <c r="AA645" t="s">
        <v>1484</v>
      </c>
      <c r="AB645" t="s">
        <v>222</v>
      </c>
      <c r="AC645" t="s">
        <v>271</v>
      </c>
      <c r="AD645" t="s">
        <v>1621</v>
      </c>
      <c r="AE645" t="s">
        <v>314</v>
      </c>
      <c r="AF645" t="s">
        <v>456</v>
      </c>
      <c r="AG645">
        <v>392410.4</v>
      </c>
      <c r="AH645">
        <v>92.5</v>
      </c>
      <c r="AL645" t="s">
        <v>2041</v>
      </c>
      <c r="AN645" t="s">
        <v>664</v>
      </c>
      <c r="CX645" t="s">
        <v>334</v>
      </c>
    </row>
    <row r="646" spans="1:105" x14ac:dyDescent="0.25">
      <c r="A646" t="s">
        <v>3195</v>
      </c>
      <c r="B646" t="e">
        <f>_xlfn.XLOOKUP(C646,'[1]Image URL'!$E:$E,'[1]Image URL'!$A:$A)</f>
        <v>#N/A</v>
      </c>
      <c r="C646">
        <v>522054</v>
      </c>
      <c r="D646" t="s">
        <v>3196</v>
      </c>
      <c r="E646" t="s">
        <v>3087</v>
      </c>
      <c r="F646" t="s">
        <v>3197</v>
      </c>
      <c r="G646" t="s">
        <v>3197</v>
      </c>
      <c r="H646" t="s">
        <v>3153</v>
      </c>
      <c r="J646" t="s">
        <v>212</v>
      </c>
      <c r="M646" t="s">
        <v>3108</v>
      </c>
      <c r="U646" t="s">
        <v>584</v>
      </c>
      <c r="V646" t="s">
        <v>157</v>
      </c>
      <c r="W646">
        <v>77838206645</v>
      </c>
      <c r="X646">
        <v>10077838006648</v>
      </c>
      <c r="Y646" t="s">
        <v>3198</v>
      </c>
      <c r="Z646" t="s">
        <v>3199</v>
      </c>
      <c r="AA646" t="s">
        <v>1178</v>
      </c>
      <c r="AB646" t="s">
        <v>328</v>
      </c>
      <c r="AC646" t="s">
        <v>488</v>
      </c>
      <c r="AD646" t="s">
        <v>245</v>
      </c>
      <c r="AE646" t="s">
        <v>349</v>
      </c>
      <c r="AF646" t="s">
        <v>185</v>
      </c>
      <c r="AG646">
        <v>392410.4</v>
      </c>
      <c r="AH646">
        <v>85</v>
      </c>
      <c r="AL646" t="s">
        <v>2032</v>
      </c>
      <c r="CC646" t="s">
        <v>3197</v>
      </c>
      <c r="CQ646" t="s">
        <v>1492</v>
      </c>
    </row>
    <row r="647" spans="1:105" x14ac:dyDescent="0.25">
      <c r="A647" t="s">
        <v>3200</v>
      </c>
      <c r="B647" t="e">
        <f>_xlfn.XLOOKUP(C647,'[1]Image URL'!$E:$E,'[1]Image URL'!$A:$A)</f>
        <v>#N/A</v>
      </c>
      <c r="C647">
        <v>581407</v>
      </c>
      <c r="D647" t="s">
        <v>3201</v>
      </c>
      <c r="E647" t="s">
        <v>2883</v>
      </c>
      <c r="F647" t="s">
        <v>3202</v>
      </c>
      <c r="G647" t="s">
        <v>3202</v>
      </c>
      <c r="H647" t="s">
        <v>3203</v>
      </c>
      <c r="J647" t="s">
        <v>212</v>
      </c>
      <c r="M647" t="s">
        <v>2270</v>
      </c>
      <c r="U647" t="s">
        <v>584</v>
      </c>
      <c r="V647" t="s">
        <v>157</v>
      </c>
      <c r="W647">
        <v>77838500484</v>
      </c>
      <c r="X647">
        <v>10077838000486</v>
      </c>
      <c r="Y647" t="s">
        <v>1763</v>
      </c>
      <c r="Z647" t="s">
        <v>1104</v>
      </c>
      <c r="AA647" t="s">
        <v>1692</v>
      </c>
      <c r="AB647" t="s">
        <v>329</v>
      </c>
      <c r="AC647" t="s">
        <v>929</v>
      </c>
      <c r="AD647" t="s">
        <v>301</v>
      </c>
      <c r="AE647" t="s">
        <v>349</v>
      </c>
      <c r="AF647" t="s">
        <v>235</v>
      </c>
      <c r="AG647">
        <v>392410.4</v>
      </c>
      <c r="AH647">
        <v>85</v>
      </c>
      <c r="AL647" t="s">
        <v>1682</v>
      </c>
      <c r="CC647" t="s">
        <v>3202</v>
      </c>
      <c r="CQ647" t="s">
        <v>3204</v>
      </c>
    </row>
    <row r="648" spans="1:105" x14ac:dyDescent="0.25">
      <c r="A648" t="s">
        <v>3205</v>
      </c>
      <c r="B648" t="e">
        <f>_xlfn.XLOOKUP(C648,'[1]Image URL'!$E:$E,'[1]Image URL'!$A:$A)</f>
        <v>#N/A</v>
      </c>
      <c r="C648" t="s">
        <v>3399</v>
      </c>
      <c r="D648" t="s">
        <v>3206</v>
      </c>
      <c r="E648" t="s">
        <v>2898</v>
      </c>
      <c r="H648" t="s">
        <v>2960</v>
      </c>
      <c r="J648" t="s">
        <v>212</v>
      </c>
      <c r="M648" t="s">
        <v>2961</v>
      </c>
      <c r="U648" t="s">
        <v>584</v>
      </c>
      <c r="V648" t="s">
        <v>157</v>
      </c>
      <c r="W648">
        <v>77838502006</v>
      </c>
      <c r="X648">
        <v>10077838002008</v>
      </c>
      <c r="Y648" t="s">
        <v>3207</v>
      </c>
      <c r="Z648" t="s">
        <v>3090</v>
      </c>
      <c r="AA648" t="s">
        <v>1485</v>
      </c>
      <c r="AB648" t="s">
        <v>1371</v>
      </c>
      <c r="AC648" t="s">
        <v>542</v>
      </c>
      <c r="AD648" t="s">
        <v>1942</v>
      </c>
      <c r="AE648" t="s">
        <v>315</v>
      </c>
      <c r="AF648" t="s">
        <v>164</v>
      </c>
      <c r="AG648">
        <v>392410.4</v>
      </c>
      <c r="AH648">
        <v>85</v>
      </c>
      <c r="CC648" t="s">
        <v>374</v>
      </c>
      <c r="CQ648" t="s">
        <v>2964</v>
      </c>
    </row>
    <row r="649" spans="1:105" x14ac:dyDescent="0.25">
      <c r="A649" t="s">
        <v>3208</v>
      </c>
      <c r="B649" t="e">
        <f>_xlfn.XLOOKUP(C649,'[1]Image URL'!$E:$E,'[1]Image URL'!$A:$A)</f>
        <v>#N/A</v>
      </c>
      <c r="C649">
        <v>552907</v>
      </c>
      <c r="D649" t="s">
        <v>3210</v>
      </c>
      <c r="E649" t="s">
        <v>2898</v>
      </c>
      <c r="H649" t="s">
        <v>288</v>
      </c>
      <c r="J649" t="s">
        <v>212</v>
      </c>
      <c r="M649" t="s">
        <v>2986</v>
      </c>
      <c r="U649" t="s">
        <v>584</v>
      </c>
      <c r="V649" t="s">
        <v>157</v>
      </c>
      <c r="W649">
        <v>77838510629</v>
      </c>
      <c r="X649">
        <v>10077838010621</v>
      </c>
      <c r="Y649" t="s">
        <v>1249</v>
      </c>
      <c r="Z649" t="s">
        <v>1652</v>
      </c>
      <c r="AA649" t="s">
        <v>332</v>
      </c>
      <c r="AB649" t="s">
        <v>332</v>
      </c>
      <c r="AC649" t="s">
        <v>755</v>
      </c>
      <c r="AD649" t="s">
        <v>402</v>
      </c>
      <c r="AE649" t="s">
        <v>303</v>
      </c>
      <c r="AF649" t="s">
        <v>235</v>
      </c>
      <c r="AG649">
        <v>392410.4</v>
      </c>
      <c r="AH649">
        <v>85</v>
      </c>
      <c r="AL649" t="s">
        <v>2922</v>
      </c>
      <c r="CC649" t="s">
        <v>2989</v>
      </c>
      <c r="CQ649" t="s">
        <v>334</v>
      </c>
    </row>
    <row r="650" spans="1:105" x14ac:dyDescent="0.25">
      <c r="A650" t="s">
        <v>3211</v>
      </c>
      <c r="B650" t="e">
        <f>_xlfn.XLOOKUP(C650,'[1]Image URL'!$E:$E,'[1]Image URL'!$A:$A)</f>
        <v>#N/A</v>
      </c>
      <c r="C650">
        <v>521207</v>
      </c>
      <c r="D650" t="s">
        <v>3212</v>
      </c>
      <c r="E650" t="s">
        <v>3178</v>
      </c>
      <c r="F650" t="s">
        <v>463</v>
      </c>
      <c r="G650" t="s">
        <v>463</v>
      </c>
      <c r="H650" t="s">
        <v>1457</v>
      </c>
      <c r="I650" t="s">
        <v>194</v>
      </c>
      <c r="J650" t="s">
        <v>195</v>
      </c>
      <c r="U650" t="s">
        <v>196</v>
      </c>
      <c r="V650" t="s">
        <v>157</v>
      </c>
      <c r="W650">
        <v>77838521212</v>
      </c>
      <c r="X650">
        <v>10077838021214</v>
      </c>
      <c r="Y650" t="s">
        <v>240</v>
      </c>
      <c r="Z650" t="s">
        <v>2998</v>
      </c>
      <c r="AA650" t="s">
        <v>3053</v>
      </c>
      <c r="AB650" t="s">
        <v>576</v>
      </c>
      <c r="AC650" t="s">
        <v>1457</v>
      </c>
      <c r="AD650" t="s">
        <v>3054</v>
      </c>
      <c r="AE650" t="s">
        <v>403</v>
      </c>
      <c r="AF650" t="s">
        <v>164</v>
      </c>
      <c r="AG650">
        <v>392410.4</v>
      </c>
      <c r="AH650">
        <v>175</v>
      </c>
      <c r="AL650" t="s">
        <v>247</v>
      </c>
      <c r="AM650" t="s">
        <v>2102</v>
      </c>
      <c r="CC650" t="s">
        <v>463</v>
      </c>
      <c r="CQ650" t="s">
        <v>2870</v>
      </c>
    </row>
    <row r="651" spans="1:105" x14ac:dyDescent="0.25">
      <c r="A651" t="s">
        <v>3213</v>
      </c>
      <c r="B651" t="e">
        <f>_xlfn.XLOOKUP(C651,'[1]Image URL'!$E:$E,'[1]Image URL'!$A:$A)</f>
        <v>#N/A</v>
      </c>
      <c r="C651">
        <v>4306614</v>
      </c>
      <c r="D651" t="s">
        <v>3214</v>
      </c>
      <c r="E651" t="s">
        <v>3087</v>
      </c>
      <c r="F651" t="s">
        <v>2450</v>
      </c>
      <c r="G651" t="s">
        <v>2450</v>
      </c>
      <c r="H651" t="s">
        <v>3215</v>
      </c>
      <c r="J651" t="s">
        <v>212</v>
      </c>
      <c r="M651" t="s">
        <v>3216</v>
      </c>
      <c r="U651" t="s">
        <v>584</v>
      </c>
      <c r="V651" t="s">
        <v>157</v>
      </c>
      <c r="W651">
        <v>77838202241</v>
      </c>
      <c r="X651">
        <v>10077838002244</v>
      </c>
      <c r="Y651" t="s">
        <v>806</v>
      </c>
      <c r="Z651" t="s">
        <v>1493</v>
      </c>
      <c r="AA651" t="s">
        <v>222</v>
      </c>
      <c r="AB651" t="s">
        <v>800</v>
      </c>
      <c r="AC651" t="s">
        <v>808</v>
      </c>
      <c r="AD651" t="s">
        <v>3144</v>
      </c>
      <c r="AE651" t="s">
        <v>268</v>
      </c>
      <c r="AF651" t="s">
        <v>185</v>
      </c>
      <c r="AG651">
        <v>392410.4</v>
      </c>
      <c r="AH651">
        <v>92.5</v>
      </c>
      <c r="AL651" t="s">
        <v>1830</v>
      </c>
      <c r="CC651" t="s">
        <v>2450</v>
      </c>
      <c r="CQ651" t="s">
        <v>1965</v>
      </c>
    </row>
    <row r="652" spans="1:105" x14ac:dyDescent="0.25">
      <c r="A652" t="s">
        <v>3217</v>
      </c>
      <c r="B652" t="e">
        <f>_xlfn.XLOOKUP(C652,'[1]Image URL'!$E:$E,'[1]Image URL'!$A:$A)</f>
        <v>#N/A</v>
      </c>
      <c r="C652">
        <v>558707</v>
      </c>
      <c r="D652" t="s">
        <v>3218</v>
      </c>
      <c r="E652" t="s">
        <v>3219</v>
      </c>
      <c r="F652" t="s">
        <v>3220</v>
      </c>
      <c r="G652" t="s">
        <v>3220</v>
      </c>
      <c r="H652" t="s">
        <v>1169</v>
      </c>
      <c r="I652" t="s">
        <v>194</v>
      </c>
      <c r="J652" t="s">
        <v>195</v>
      </c>
      <c r="U652" t="s">
        <v>196</v>
      </c>
      <c r="V652" t="s">
        <v>157</v>
      </c>
      <c r="W652">
        <v>77838518571</v>
      </c>
      <c r="X652">
        <v>10077838018573</v>
      </c>
      <c r="Y652" t="s">
        <v>1250</v>
      </c>
      <c r="Z652" t="s">
        <v>3221</v>
      </c>
      <c r="AA652" t="s">
        <v>1860</v>
      </c>
      <c r="AB652" t="s">
        <v>2405</v>
      </c>
      <c r="AC652" t="s">
        <v>242</v>
      </c>
      <c r="AD652" t="s">
        <v>1942</v>
      </c>
      <c r="AE652" t="s">
        <v>315</v>
      </c>
      <c r="AF652" t="s">
        <v>164</v>
      </c>
      <c r="AG652">
        <v>392410.4</v>
      </c>
      <c r="AH652">
        <v>125</v>
      </c>
      <c r="AL652" t="s">
        <v>3222</v>
      </c>
      <c r="AM652" t="s">
        <v>3223</v>
      </c>
      <c r="BX652" t="s">
        <v>3220</v>
      </c>
      <c r="CQ652" t="s">
        <v>691</v>
      </c>
    </row>
    <row r="653" spans="1:105" x14ac:dyDescent="0.25">
      <c r="A653" t="s">
        <v>3224</v>
      </c>
      <c r="B653" t="e">
        <f>_xlfn.XLOOKUP(C653,'[1]Image URL'!$E:$E,'[1]Image URL'!$A:$A)</f>
        <v>#N/A</v>
      </c>
      <c r="C653">
        <v>7090207</v>
      </c>
      <c r="D653" t="s">
        <v>3226</v>
      </c>
      <c r="E653" t="s">
        <v>2878</v>
      </c>
      <c r="F653" t="s">
        <v>2211</v>
      </c>
      <c r="G653" t="s">
        <v>2211</v>
      </c>
      <c r="H653" t="s">
        <v>200</v>
      </c>
      <c r="I653" t="s">
        <v>194</v>
      </c>
      <c r="J653" t="s">
        <v>195</v>
      </c>
      <c r="M653" t="s">
        <v>2017</v>
      </c>
      <c r="T653" t="s">
        <v>1717</v>
      </c>
      <c r="U653" t="s">
        <v>2854</v>
      </c>
      <c r="V653" t="s">
        <v>1385</v>
      </c>
      <c r="W653">
        <v>77838871430</v>
      </c>
      <c r="X653">
        <v>10077838871437</v>
      </c>
      <c r="Y653" t="s">
        <v>3042</v>
      </c>
      <c r="Z653" t="s">
        <v>1643</v>
      </c>
      <c r="AA653" t="s">
        <v>466</v>
      </c>
      <c r="AB653" t="s">
        <v>221</v>
      </c>
      <c r="AC653" t="s">
        <v>599</v>
      </c>
      <c r="AD653" t="s">
        <v>234</v>
      </c>
      <c r="AE653" t="s">
        <v>163</v>
      </c>
      <c r="AF653" t="s">
        <v>235</v>
      </c>
      <c r="AG653">
        <v>392410.4</v>
      </c>
      <c r="AH653">
        <v>125</v>
      </c>
      <c r="AL653" t="s">
        <v>2783</v>
      </c>
      <c r="AN653" t="s">
        <v>2211</v>
      </c>
    </row>
    <row r="654" spans="1:105" x14ac:dyDescent="0.25">
      <c r="A654" t="s">
        <v>3227</v>
      </c>
      <c r="B654" t="e">
        <f>_xlfn.XLOOKUP(C654,'[1]Image URL'!$E:$E,'[1]Image URL'!$A:$A)</f>
        <v>#N/A</v>
      </c>
      <c r="C654">
        <v>87560</v>
      </c>
      <c r="D654" t="s">
        <v>3228</v>
      </c>
      <c r="E654" t="s">
        <v>2898</v>
      </c>
      <c r="H654" t="s">
        <v>288</v>
      </c>
      <c r="J654" t="s">
        <v>212</v>
      </c>
      <c r="M654" t="s">
        <v>2986</v>
      </c>
      <c r="U654" t="s">
        <v>584</v>
      </c>
      <c r="V654" t="s">
        <v>157</v>
      </c>
      <c r="W654">
        <v>77838299579</v>
      </c>
      <c r="X654">
        <v>10077838099572</v>
      </c>
      <c r="Y654" t="s">
        <v>2987</v>
      </c>
      <c r="Z654" t="s">
        <v>2988</v>
      </c>
      <c r="AA654" t="s">
        <v>2893</v>
      </c>
      <c r="AB654" t="s">
        <v>1804</v>
      </c>
      <c r="AC654" t="s">
        <v>765</v>
      </c>
      <c r="AD654" t="s">
        <v>2903</v>
      </c>
      <c r="AE654" t="s">
        <v>403</v>
      </c>
      <c r="AF654" t="s">
        <v>456</v>
      </c>
      <c r="AG654">
        <v>392410.4</v>
      </c>
      <c r="AH654">
        <v>85</v>
      </c>
      <c r="AL654" t="s">
        <v>2922</v>
      </c>
      <c r="CC654" t="s">
        <v>2989</v>
      </c>
      <c r="CQ654" t="s">
        <v>334</v>
      </c>
    </row>
    <row r="655" spans="1:105" x14ac:dyDescent="0.25">
      <c r="A655" t="s">
        <v>3229</v>
      </c>
      <c r="B655" t="e">
        <f>_xlfn.XLOOKUP(C655,'[1]Image URL'!$E:$E,'[1]Image URL'!$A:$A)</f>
        <v>#N/A</v>
      </c>
      <c r="C655">
        <v>41003</v>
      </c>
      <c r="D655" t="s">
        <v>3230</v>
      </c>
      <c r="E655" t="s">
        <v>3006</v>
      </c>
      <c r="F655" t="s">
        <v>3013</v>
      </c>
      <c r="G655" t="s">
        <v>3013</v>
      </c>
      <c r="H655" t="s">
        <v>145</v>
      </c>
      <c r="I655" t="s">
        <v>194</v>
      </c>
      <c r="J655" t="s">
        <v>195</v>
      </c>
      <c r="U655" t="s">
        <v>584</v>
      </c>
      <c r="V655" t="s">
        <v>1385</v>
      </c>
      <c r="W655">
        <v>77838817162</v>
      </c>
      <c r="X655">
        <v>10077838817169</v>
      </c>
      <c r="Y655" t="s">
        <v>2705</v>
      </c>
      <c r="Z655" t="s">
        <v>1764</v>
      </c>
      <c r="AA655" t="s">
        <v>2312</v>
      </c>
      <c r="AB655" t="s">
        <v>1239</v>
      </c>
      <c r="AC655" t="s">
        <v>2196</v>
      </c>
      <c r="AD655" t="s">
        <v>975</v>
      </c>
      <c r="AE655" t="s">
        <v>507</v>
      </c>
      <c r="AF655" t="s">
        <v>164</v>
      </c>
      <c r="AG655">
        <v>392410.4</v>
      </c>
      <c r="AH655">
        <v>85</v>
      </c>
      <c r="AM655" t="s">
        <v>3231</v>
      </c>
      <c r="BH655" t="s">
        <v>3232</v>
      </c>
      <c r="CQ655" t="s">
        <v>1526</v>
      </c>
      <c r="DA655" t="s">
        <v>3232</v>
      </c>
    </row>
    <row r="656" spans="1:105" x14ac:dyDescent="0.25">
      <c r="A656" t="s">
        <v>3233</v>
      </c>
      <c r="B656" t="e">
        <f>_xlfn.XLOOKUP(C656,'[1]Image URL'!$E:$E,'[1]Image URL'!$A:$A)</f>
        <v>#N/A</v>
      </c>
      <c r="C656">
        <v>456302</v>
      </c>
      <c r="D656" t="s">
        <v>3234</v>
      </c>
      <c r="E656" t="s">
        <v>2898</v>
      </c>
      <c r="H656" t="s">
        <v>1515</v>
      </c>
      <c r="J656" t="s">
        <v>212</v>
      </c>
      <c r="M656" t="s">
        <v>1528</v>
      </c>
      <c r="U656" t="s">
        <v>584</v>
      </c>
      <c r="V656" t="s">
        <v>157</v>
      </c>
      <c r="W656">
        <v>77838510766</v>
      </c>
      <c r="X656">
        <v>10077838010768</v>
      </c>
      <c r="Y656" t="s">
        <v>2076</v>
      </c>
      <c r="Z656" t="s">
        <v>2921</v>
      </c>
      <c r="AA656" t="s">
        <v>817</v>
      </c>
      <c r="AB656" t="s">
        <v>587</v>
      </c>
      <c r="AC656" t="s">
        <v>444</v>
      </c>
      <c r="AD656" t="s">
        <v>2903</v>
      </c>
      <c r="AE656" t="s">
        <v>403</v>
      </c>
      <c r="AF656" t="s">
        <v>456</v>
      </c>
      <c r="AG656">
        <v>392410.4</v>
      </c>
      <c r="AH656">
        <v>85</v>
      </c>
      <c r="AL656" t="s">
        <v>2922</v>
      </c>
      <c r="CC656" t="s">
        <v>2923</v>
      </c>
      <c r="CQ656" t="s">
        <v>2924</v>
      </c>
    </row>
    <row r="657" spans="1:108" x14ac:dyDescent="0.25">
      <c r="A657" t="s">
        <v>3235</v>
      </c>
      <c r="B657" t="e">
        <f>_xlfn.XLOOKUP(C657,'[1]Image URL'!$E:$E,'[1]Image URL'!$A:$A)</f>
        <v>#N/A</v>
      </c>
      <c r="C657" t="s">
        <v>3434</v>
      </c>
      <c r="D657" t="s">
        <v>3236</v>
      </c>
      <c r="E657" t="s">
        <v>3237</v>
      </c>
      <c r="F657" t="s">
        <v>3203</v>
      </c>
      <c r="G657" t="s">
        <v>3203</v>
      </c>
      <c r="H657" t="s">
        <v>3238</v>
      </c>
      <c r="I657" t="s">
        <v>194</v>
      </c>
      <c r="J657" t="s">
        <v>195</v>
      </c>
      <c r="M657" t="s">
        <v>3239</v>
      </c>
      <c r="U657" t="s">
        <v>196</v>
      </c>
      <c r="V657" t="s">
        <v>1385</v>
      </c>
      <c r="W657">
        <v>77838628263</v>
      </c>
      <c r="X657">
        <v>10077838128265</v>
      </c>
      <c r="Y657" t="s">
        <v>2558</v>
      </c>
      <c r="Z657" t="s">
        <v>1579</v>
      </c>
      <c r="AA657" t="s">
        <v>361</v>
      </c>
      <c r="AB657" t="s">
        <v>1753</v>
      </c>
      <c r="AC657" t="s">
        <v>3240</v>
      </c>
      <c r="AD657" t="s">
        <v>301</v>
      </c>
      <c r="AE657" t="s">
        <v>349</v>
      </c>
      <c r="AF657" t="s">
        <v>235</v>
      </c>
      <c r="AG657">
        <v>392410.2</v>
      </c>
      <c r="AH657">
        <v>92.5</v>
      </c>
      <c r="AL657" t="s">
        <v>2561</v>
      </c>
      <c r="AN657" t="s">
        <v>3203</v>
      </c>
      <c r="CX657" t="s">
        <v>3203</v>
      </c>
    </row>
    <row r="658" spans="1:108" x14ac:dyDescent="0.25">
      <c r="A658" t="s">
        <v>3241</v>
      </c>
      <c r="B658" t="e">
        <f>_xlfn.XLOOKUP(C658,'[1]Image URL'!$E:$E,'[1]Image URL'!$A:$A)</f>
        <v>#N/A</v>
      </c>
      <c r="C658" t="s">
        <v>3442</v>
      </c>
      <c r="D658" t="s">
        <v>3242</v>
      </c>
      <c r="E658" t="s">
        <v>2898</v>
      </c>
      <c r="H658" t="s">
        <v>288</v>
      </c>
      <c r="J658" t="s">
        <v>212</v>
      </c>
      <c r="M658" t="s">
        <v>2986</v>
      </c>
      <c r="U658" t="s">
        <v>584</v>
      </c>
      <c r="V658" t="s">
        <v>157</v>
      </c>
      <c r="W658">
        <v>77838510575</v>
      </c>
      <c r="X658">
        <v>10077838010577</v>
      </c>
      <c r="Y658" t="s">
        <v>2987</v>
      </c>
      <c r="Z658" t="s">
        <v>2988</v>
      </c>
      <c r="AA658" t="s">
        <v>2893</v>
      </c>
      <c r="AB658" t="s">
        <v>1804</v>
      </c>
      <c r="AC658" t="s">
        <v>765</v>
      </c>
      <c r="AD658" t="s">
        <v>2903</v>
      </c>
      <c r="AE658" t="s">
        <v>403</v>
      </c>
      <c r="AF658" t="s">
        <v>456</v>
      </c>
      <c r="AG658">
        <v>392410.4</v>
      </c>
      <c r="AH658">
        <v>85</v>
      </c>
      <c r="AL658" t="s">
        <v>2922</v>
      </c>
      <c r="CC658" t="s">
        <v>2989</v>
      </c>
      <c r="CQ658" t="s">
        <v>334</v>
      </c>
    </row>
    <row r="659" spans="1:108" x14ac:dyDescent="0.25">
      <c r="A659" t="s">
        <v>3243</v>
      </c>
      <c r="B659" t="e">
        <f>_xlfn.XLOOKUP(C659,'[1]Image URL'!$E:$E,'[1]Image URL'!$A:$A)</f>
        <v>#N/A</v>
      </c>
      <c r="C659" t="s">
        <v>3449</v>
      </c>
      <c r="D659" t="s">
        <v>3244</v>
      </c>
      <c r="E659" t="s">
        <v>2898</v>
      </c>
      <c r="H659" t="s">
        <v>846</v>
      </c>
      <c r="J659" t="s">
        <v>212</v>
      </c>
      <c r="M659" t="s">
        <v>3245</v>
      </c>
      <c r="U659" t="s">
        <v>584</v>
      </c>
      <c r="V659" t="s">
        <v>157</v>
      </c>
      <c r="W659">
        <v>77838501108</v>
      </c>
      <c r="X659">
        <v>10077838001100</v>
      </c>
      <c r="Y659" t="s">
        <v>3246</v>
      </c>
      <c r="Z659" t="s">
        <v>1440</v>
      </c>
      <c r="AA659" t="s">
        <v>893</v>
      </c>
      <c r="AB659" t="s">
        <v>1846</v>
      </c>
      <c r="AC659" t="s">
        <v>180</v>
      </c>
      <c r="AD659" t="s">
        <v>1942</v>
      </c>
      <c r="AE659" t="s">
        <v>303</v>
      </c>
      <c r="AF659" t="s">
        <v>456</v>
      </c>
      <c r="AG659">
        <v>392410.4</v>
      </c>
      <c r="AH659">
        <v>85</v>
      </c>
      <c r="CC659" t="s">
        <v>2857</v>
      </c>
      <c r="CQ659" t="s">
        <v>1831</v>
      </c>
    </row>
    <row r="660" spans="1:108" x14ac:dyDescent="0.25">
      <c r="A660" t="s">
        <v>3247</v>
      </c>
      <c r="B660" t="e">
        <f>_xlfn.XLOOKUP(C660,'[1]Image URL'!$E:$E,'[1]Image URL'!$A:$A)</f>
        <v>#N/A</v>
      </c>
      <c r="C660">
        <v>47528</v>
      </c>
      <c r="D660" t="s">
        <v>3248</v>
      </c>
      <c r="E660" t="s">
        <v>2869</v>
      </c>
      <c r="F660" t="s">
        <v>3013</v>
      </c>
      <c r="G660" t="s">
        <v>3013</v>
      </c>
      <c r="H660" t="s">
        <v>188</v>
      </c>
      <c r="J660" t="s">
        <v>212</v>
      </c>
      <c r="M660" t="s">
        <v>1940</v>
      </c>
      <c r="U660" t="s">
        <v>584</v>
      </c>
      <c r="V660" t="s">
        <v>157</v>
      </c>
      <c r="W660">
        <v>77838889701</v>
      </c>
      <c r="X660">
        <v>10077838889708</v>
      </c>
      <c r="Y660" t="s">
        <v>3249</v>
      </c>
      <c r="Z660" t="s">
        <v>2031</v>
      </c>
      <c r="AA660" t="s">
        <v>1580</v>
      </c>
      <c r="AB660" t="s">
        <v>1062</v>
      </c>
      <c r="AC660" t="s">
        <v>444</v>
      </c>
      <c r="AD660" t="s">
        <v>555</v>
      </c>
      <c r="AE660" t="s">
        <v>184</v>
      </c>
      <c r="AF660" t="s">
        <v>235</v>
      </c>
      <c r="AG660">
        <v>392410.4</v>
      </c>
      <c r="AH660">
        <v>100</v>
      </c>
      <c r="AL660" t="s">
        <v>399</v>
      </c>
      <c r="AN660" t="s">
        <v>3013</v>
      </c>
      <c r="CX660" t="s">
        <v>2947</v>
      </c>
    </row>
    <row r="661" spans="1:108" x14ac:dyDescent="0.25">
      <c r="A661" t="s">
        <v>3250</v>
      </c>
      <c r="B661" t="e">
        <f>_xlfn.XLOOKUP(C661,'[1]Image URL'!$E:$E,'[1]Image URL'!$A:$A)</f>
        <v>#N/A</v>
      </c>
      <c r="C661">
        <v>4394342</v>
      </c>
      <c r="D661" t="s">
        <v>3252</v>
      </c>
      <c r="E661" t="s">
        <v>3253</v>
      </c>
      <c r="F661" t="s">
        <v>2866</v>
      </c>
      <c r="G661" t="s">
        <v>2866</v>
      </c>
      <c r="H661" t="s">
        <v>3028</v>
      </c>
      <c r="I661" t="s">
        <v>3029</v>
      </c>
      <c r="J661" t="s">
        <v>3030</v>
      </c>
      <c r="U661" t="s">
        <v>3031</v>
      </c>
      <c r="V661" t="s">
        <v>282</v>
      </c>
      <c r="W661">
        <v>753806008588</v>
      </c>
      <c r="X661">
        <v>10753806008585</v>
      </c>
      <c r="Y661" t="s">
        <v>2962</v>
      </c>
      <c r="Z661" t="s">
        <v>2481</v>
      </c>
      <c r="AA661" t="s">
        <v>633</v>
      </c>
      <c r="AB661" t="s">
        <v>329</v>
      </c>
      <c r="AC661" t="s">
        <v>379</v>
      </c>
      <c r="AD661" t="s">
        <v>801</v>
      </c>
      <c r="AE661" t="s">
        <v>802</v>
      </c>
      <c r="AF661" t="s">
        <v>164</v>
      </c>
      <c r="AG661">
        <v>392350</v>
      </c>
      <c r="AH661">
        <v>175</v>
      </c>
      <c r="AL661" t="s">
        <v>3038</v>
      </c>
      <c r="AN661" t="s">
        <v>2866</v>
      </c>
    </row>
    <row r="662" spans="1:108" x14ac:dyDescent="0.25">
      <c r="A662" t="s">
        <v>3254</v>
      </c>
      <c r="B662" t="e">
        <f>_xlfn.XLOOKUP(C662,'[1]Image URL'!$E:$E,'[1]Image URL'!$A:$A)</f>
        <v>#N/A</v>
      </c>
      <c r="C662">
        <v>41002</v>
      </c>
      <c r="D662" t="s">
        <v>3255</v>
      </c>
      <c r="E662" t="s">
        <v>2869</v>
      </c>
      <c r="F662" t="s">
        <v>1982</v>
      </c>
      <c r="G662" t="s">
        <v>1982</v>
      </c>
      <c r="H662" t="s">
        <v>1633</v>
      </c>
      <c r="J662" t="s">
        <v>212</v>
      </c>
      <c r="M662" t="s">
        <v>2236</v>
      </c>
      <c r="U662" t="s">
        <v>584</v>
      </c>
      <c r="V662" t="s">
        <v>157</v>
      </c>
      <c r="W662">
        <v>77838889725</v>
      </c>
      <c r="X662">
        <v>10077838889722</v>
      </c>
      <c r="Y662" t="s">
        <v>659</v>
      </c>
      <c r="Z662" t="s">
        <v>1743</v>
      </c>
      <c r="AA662" t="s">
        <v>996</v>
      </c>
      <c r="AB662" t="s">
        <v>221</v>
      </c>
      <c r="AC662" t="s">
        <v>646</v>
      </c>
      <c r="AD662" t="s">
        <v>301</v>
      </c>
      <c r="AE662" t="s">
        <v>303</v>
      </c>
      <c r="AF662" t="s">
        <v>302</v>
      </c>
      <c r="AG662">
        <v>392410.4</v>
      </c>
      <c r="AH662">
        <v>92.5</v>
      </c>
      <c r="AL662" t="s">
        <v>1477</v>
      </c>
      <c r="AN662" t="s">
        <v>1982</v>
      </c>
      <c r="CX662" t="s">
        <v>575</v>
      </c>
    </row>
    <row r="663" spans="1:108" x14ac:dyDescent="0.25">
      <c r="A663" t="s">
        <v>3256</v>
      </c>
      <c r="B663" t="e">
        <f>_xlfn.XLOOKUP(C663,'[1]Image URL'!$E:$E,'[1]Image URL'!$A:$A)</f>
        <v>#N/A</v>
      </c>
      <c r="C663">
        <v>86203</v>
      </c>
      <c r="D663" t="s">
        <v>3257</v>
      </c>
      <c r="E663" t="s">
        <v>2869</v>
      </c>
      <c r="F663" t="s">
        <v>3100</v>
      </c>
      <c r="G663" t="s">
        <v>3100</v>
      </c>
      <c r="H663" t="s">
        <v>1143</v>
      </c>
      <c r="J663" t="s">
        <v>212</v>
      </c>
      <c r="M663" t="s">
        <v>3077</v>
      </c>
      <c r="U663" t="s">
        <v>584</v>
      </c>
      <c r="V663" t="s">
        <v>157</v>
      </c>
      <c r="W663">
        <v>77838889695</v>
      </c>
      <c r="X663">
        <v>10077838889692</v>
      </c>
      <c r="Y663" t="s">
        <v>1448</v>
      </c>
      <c r="Z663" t="s">
        <v>1781</v>
      </c>
      <c r="AA663" t="s">
        <v>587</v>
      </c>
      <c r="AB663" t="s">
        <v>866</v>
      </c>
      <c r="AC663" t="s">
        <v>859</v>
      </c>
      <c r="AD663" t="s">
        <v>975</v>
      </c>
      <c r="AE663" t="s">
        <v>204</v>
      </c>
      <c r="AF663" t="s">
        <v>302</v>
      </c>
      <c r="AG663">
        <v>392410.4</v>
      </c>
      <c r="AH663">
        <v>92.5</v>
      </c>
      <c r="AL663" t="s">
        <v>2189</v>
      </c>
      <c r="AN663" t="s">
        <v>3101</v>
      </c>
      <c r="CX663" t="s">
        <v>2947</v>
      </c>
    </row>
    <row r="664" spans="1:108" x14ac:dyDescent="0.25">
      <c r="A664" t="s">
        <v>3258</v>
      </c>
      <c r="B664" t="e">
        <f>_xlfn.XLOOKUP(C664,'[1]Image URL'!$E:$E,'[1]Image URL'!$A:$A)</f>
        <v>#N/A</v>
      </c>
      <c r="C664" t="s">
        <v>3471</v>
      </c>
      <c r="D664" t="s">
        <v>3260</v>
      </c>
      <c r="E664" t="s">
        <v>2898</v>
      </c>
      <c r="H664" t="s">
        <v>583</v>
      </c>
      <c r="J664" t="s">
        <v>212</v>
      </c>
      <c r="M664" t="s">
        <v>2935</v>
      </c>
      <c r="U664" t="s">
        <v>584</v>
      </c>
      <c r="V664" t="s">
        <v>157</v>
      </c>
      <c r="W664">
        <v>77838510230</v>
      </c>
      <c r="X664">
        <v>10077838010232</v>
      </c>
      <c r="Y664" t="s">
        <v>3261</v>
      </c>
      <c r="Z664" t="s">
        <v>1475</v>
      </c>
      <c r="AA664" t="s">
        <v>332</v>
      </c>
      <c r="AB664" t="s">
        <v>328</v>
      </c>
      <c r="AC664" t="s">
        <v>506</v>
      </c>
      <c r="AD664" t="s">
        <v>402</v>
      </c>
      <c r="AE664" t="s">
        <v>303</v>
      </c>
      <c r="AF664" t="s">
        <v>235</v>
      </c>
      <c r="AG664">
        <v>392410.4</v>
      </c>
      <c r="AH664">
        <v>85</v>
      </c>
      <c r="CC664" t="s">
        <v>340</v>
      </c>
      <c r="CQ664" t="s">
        <v>575</v>
      </c>
    </row>
    <row r="665" spans="1:108" x14ac:dyDescent="0.25">
      <c r="A665" t="s">
        <v>3262</v>
      </c>
      <c r="B665" t="e">
        <f>_xlfn.XLOOKUP(C665,'[1]Image URL'!$E:$E,'[1]Image URL'!$A:$A)</f>
        <v>#N/A</v>
      </c>
      <c r="C665" t="s">
        <v>3477</v>
      </c>
      <c r="D665" t="s">
        <v>3264</v>
      </c>
      <c r="E665" t="s">
        <v>2898</v>
      </c>
      <c r="H665" t="s">
        <v>2899</v>
      </c>
      <c r="J665" t="s">
        <v>212</v>
      </c>
      <c r="M665" t="s">
        <v>2900</v>
      </c>
      <c r="U665" t="s">
        <v>584</v>
      </c>
      <c r="V665" t="s">
        <v>157</v>
      </c>
      <c r="W665">
        <v>77838117125</v>
      </c>
      <c r="X665">
        <v>10077838117122</v>
      </c>
      <c r="Y665" t="s">
        <v>2901</v>
      </c>
      <c r="Z665" t="s">
        <v>2902</v>
      </c>
      <c r="AA665" t="s">
        <v>755</v>
      </c>
      <c r="AB665" t="s">
        <v>2608</v>
      </c>
      <c r="AC665" t="s">
        <v>1691</v>
      </c>
      <c r="AD665" t="s">
        <v>2903</v>
      </c>
      <c r="AE665" t="s">
        <v>403</v>
      </c>
      <c r="AF665" t="s">
        <v>456</v>
      </c>
      <c r="AG665">
        <v>392410.4</v>
      </c>
      <c r="AH665">
        <v>85</v>
      </c>
      <c r="CC665" t="s">
        <v>154</v>
      </c>
      <c r="CQ665" t="s">
        <v>1864</v>
      </c>
    </row>
    <row r="666" spans="1:108" x14ac:dyDescent="0.25">
      <c r="A666" t="s">
        <v>3265</v>
      </c>
      <c r="B666" t="e">
        <f>_xlfn.XLOOKUP(C666,'[1]Image URL'!$E:$E,'[1]Image URL'!$A:$A)</f>
        <v>#N/A</v>
      </c>
      <c r="C666">
        <v>911401</v>
      </c>
      <c r="D666" t="s">
        <v>3266</v>
      </c>
      <c r="E666" t="s">
        <v>3074</v>
      </c>
      <c r="F666" t="s">
        <v>3267</v>
      </c>
      <c r="G666" t="s">
        <v>3267</v>
      </c>
      <c r="H666" t="s">
        <v>2745</v>
      </c>
      <c r="J666" t="s">
        <v>212</v>
      </c>
      <c r="M666" t="s">
        <v>3268</v>
      </c>
      <c r="U666" t="s">
        <v>584</v>
      </c>
      <c r="V666" t="s">
        <v>157</v>
      </c>
      <c r="W666">
        <v>77838206744</v>
      </c>
      <c r="X666">
        <v>10077838006747</v>
      </c>
      <c r="Y666" t="s">
        <v>3269</v>
      </c>
      <c r="Z666" t="s">
        <v>574</v>
      </c>
      <c r="AA666" t="s">
        <v>462</v>
      </c>
      <c r="AB666" t="s">
        <v>756</v>
      </c>
      <c r="AC666" t="s">
        <v>3270</v>
      </c>
      <c r="AD666" t="s">
        <v>600</v>
      </c>
      <c r="AE666" t="s">
        <v>235</v>
      </c>
      <c r="AF666" t="s">
        <v>185</v>
      </c>
      <c r="AG666">
        <v>392410.4</v>
      </c>
      <c r="AH666">
        <v>125</v>
      </c>
      <c r="AL666" t="s">
        <v>3271</v>
      </c>
      <c r="CC666" t="s">
        <v>3267</v>
      </c>
      <c r="CQ666" t="s">
        <v>3272</v>
      </c>
    </row>
    <row r="667" spans="1:108" x14ac:dyDescent="0.25">
      <c r="A667" t="s">
        <v>3273</v>
      </c>
      <c r="B667" t="e">
        <f>_xlfn.XLOOKUP(C667,'[1]Image URL'!$E:$E,'[1]Image URL'!$A:$A)</f>
        <v>#N/A</v>
      </c>
      <c r="C667" t="s">
        <v>3486</v>
      </c>
      <c r="D667" t="s">
        <v>3275</v>
      </c>
      <c r="E667" t="s">
        <v>2878</v>
      </c>
      <c r="F667" t="s">
        <v>2870</v>
      </c>
      <c r="G667" t="s">
        <v>2870</v>
      </c>
      <c r="H667" t="s">
        <v>288</v>
      </c>
      <c r="I667" t="s">
        <v>194</v>
      </c>
      <c r="J667" t="s">
        <v>195</v>
      </c>
      <c r="M667" t="s">
        <v>3276</v>
      </c>
      <c r="T667" t="s">
        <v>1711</v>
      </c>
      <c r="U667" t="s">
        <v>2854</v>
      </c>
      <c r="V667" t="s">
        <v>1385</v>
      </c>
      <c r="W667">
        <v>77838880135</v>
      </c>
      <c r="X667">
        <v>10077838880132</v>
      </c>
      <c r="Y667" t="s">
        <v>3277</v>
      </c>
      <c r="Z667" t="s">
        <v>1904</v>
      </c>
      <c r="AA667" t="s">
        <v>532</v>
      </c>
      <c r="AB667" t="s">
        <v>221</v>
      </c>
      <c r="AC667" t="s">
        <v>1371</v>
      </c>
      <c r="AD667" t="s">
        <v>1765</v>
      </c>
      <c r="AE667" t="s">
        <v>204</v>
      </c>
      <c r="AF667" t="s">
        <v>164</v>
      </c>
      <c r="AG667">
        <v>392410.2</v>
      </c>
      <c r="AH667">
        <v>125</v>
      </c>
      <c r="AL667" t="s">
        <v>2313</v>
      </c>
      <c r="AN667" t="s">
        <v>2870</v>
      </c>
    </row>
    <row r="668" spans="1:108" x14ac:dyDescent="0.25">
      <c r="A668" t="s">
        <v>3278</v>
      </c>
      <c r="B668" t="e">
        <f>_xlfn.XLOOKUP(C668,'[1]Image URL'!$E:$E,'[1]Image URL'!$A:$A)</f>
        <v>#N/A</v>
      </c>
      <c r="C668">
        <v>250007</v>
      </c>
      <c r="D668" t="s">
        <v>3279</v>
      </c>
      <c r="E668" t="s">
        <v>2944</v>
      </c>
      <c r="F668" t="s">
        <v>1864</v>
      </c>
      <c r="G668" t="s">
        <v>1864</v>
      </c>
      <c r="H668" t="s">
        <v>345</v>
      </c>
      <c r="I668" t="s">
        <v>194</v>
      </c>
      <c r="J668" t="s">
        <v>195</v>
      </c>
      <c r="M668" t="s">
        <v>3280</v>
      </c>
      <c r="U668" t="s">
        <v>196</v>
      </c>
      <c r="V668" t="s">
        <v>157</v>
      </c>
      <c r="W668">
        <v>77838660775</v>
      </c>
      <c r="X668">
        <v>10077838160777</v>
      </c>
      <c r="Y668" t="s">
        <v>3281</v>
      </c>
      <c r="Z668" t="s">
        <v>1781</v>
      </c>
      <c r="AA668" t="s">
        <v>222</v>
      </c>
      <c r="AB668" t="s">
        <v>288</v>
      </c>
      <c r="AC668" t="s">
        <v>817</v>
      </c>
      <c r="AD668" t="s">
        <v>3282</v>
      </c>
      <c r="AE668" t="s">
        <v>802</v>
      </c>
      <c r="AF668" t="s">
        <v>185</v>
      </c>
      <c r="AG668">
        <v>392410.4</v>
      </c>
      <c r="AH668">
        <v>92.5</v>
      </c>
      <c r="AL668" t="s">
        <v>3271</v>
      </c>
      <c r="CC668" t="s">
        <v>1864</v>
      </c>
      <c r="CQ668" t="s">
        <v>2294</v>
      </c>
    </row>
    <row r="669" spans="1:108" x14ac:dyDescent="0.25">
      <c r="A669" t="s">
        <v>3283</v>
      </c>
      <c r="B669" t="e">
        <f>_xlfn.XLOOKUP(C669,'[1]Image URL'!$E:$E,'[1]Image URL'!$A:$A)</f>
        <v>#N/A</v>
      </c>
      <c r="C669" t="s">
        <v>3498</v>
      </c>
      <c r="D669" t="s">
        <v>3284</v>
      </c>
      <c r="E669" t="s">
        <v>3006</v>
      </c>
      <c r="F669" t="s">
        <v>3285</v>
      </c>
      <c r="G669" t="s">
        <v>3285</v>
      </c>
      <c r="H669" t="s">
        <v>1720</v>
      </c>
      <c r="I669" t="s">
        <v>194</v>
      </c>
      <c r="J669" t="s">
        <v>195</v>
      </c>
      <c r="U669" t="s">
        <v>584</v>
      </c>
      <c r="V669" t="s">
        <v>1385</v>
      </c>
      <c r="W669">
        <v>77838817179</v>
      </c>
      <c r="X669">
        <v>10077838817176</v>
      </c>
      <c r="Y669" t="s">
        <v>1559</v>
      </c>
      <c r="Z669" t="s">
        <v>941</v>
      </c>
      <c r="AA669" t="s">
        <v>747</v>
      </c>
      <c r="AB669" t="s">
        <v>332</v>
      </c>
      <c r="AC669" t="s">
        <v>1374</v>
      </c>
      <c r="AD669" t="s">
        <v>555</v>
      </c>
      <c r="AE669" t="s">
        <v>184</v>
      </c>
      <c r="AF669" t="s">
        <v>235</v>
      </c>
      <c r="AG669">
        <v>392410.4</v>
      </c>
      <c r="AH669">
        <v>70</v>
      </c>
      <c r="AL669" t="s">
        <v>1320</v>
      </c>
      <c r="AM669" t="s">
        <v>1528</v>
      </c>
      <c r="BH669" t="s">
        <v>3162</v>
      </c>
      <c r="CQ669" t="s">
        <v>850</v>
      </c>
      <c r="DA669" t="s">
        <v>3162</v>
      </c>
    </row>
    <row r="670" spans="1:108" x14ac:dyDescent="0.25">
      <c r="A670" t="s">
        <v>3286</v>
      </c>
      <c r="B670" t="e">
        <f>_xlfn.XLOOKUP(C670,'[1]Image URL'!$E:$E,'[1]Image URL'!$A:$A)</f>
        <v>#N/A</v>
      </c>
      <c r="C670" t="s">
        <v>3502</v>
      </c>
      <c r="D670" t="s">
        <v>3287</v>
      </c>
      <c r="E670" t="s">
        <v>3052</v>
      </c>
      <c r="F670" t="s">
        <v>463</v>
      </c>
      <c r="G670" t="s">
        <v>463</v>
      </c>
      <c r="H670" t="s">
        <v>1457</v>
      </c>
      <c r="U670" t="s">
        <v>584</v>
      </c>
      <c r="V670" t="s">
        <v>157</v>
      </c>
      <c r="W670">
        <v>77838887820</v>
      </c>
      <c r="X670">
        <v>10077838887827</v>
      </c>
      <c r="Y670" t="s">
        <v>240</v>
      </c>
      <c r="Z670" t="s">
        <v>2873</v>
      </c>
      <c r="AA670" t="s">
        <v>2238</v>
      </c>
      <c r="AB670" t="s">
        <v>532</v>
      </c>
      <c r="AC670" t="s">
        <v>1169</v>
      </c>
      <c r="AD670" t="s">
        <v>588</v>
      </c>
      <c r="AE670" t="s">
        <v>268</v>
      </c>
      <c r="AF670" t="s">
        <v>164</v>
      </c>
      <c r="AG670">
        <v>392410.4</v>
      </c>
      <c r="AH670">
        <v>175</v>
      </c>
      <c r="AL670" t="s">
        <v>247</v>
      </c>
      <c r="AM670" t="s">
        <v>2102</v>
      </c>
      <c r="CC670" t="s">
        <v>463</v>
      </c>
      <c r="CQ670" t="s">
        <v>2870</v>
      </c>
    </row>
    <row r="671" spans="1:108" x14ac:dyDescent="0.25">
      <c r="A671" t="s">
        <v>3288</v>
      </c>
      <c r="B671" t="e">
        <f>_xlfn.XLOOKUP(C671,'[1]Image URL'!$E:$E,'[1]Image URL'!$A:$A)</f>
        <v>#N/A</v>
      </c>
      <c r="C671">
        <v>455103</v>
      </c>
      <c r="D671" t="s">
        <v>3289</v>
      </c>
      <c r="E671" t="s">
        <v>3095</v>
      </c>
      <c r="F671" t="s">
        <v>2894</v>
      </c>
      <c r="G671" t="s">
        <v>2894</v>
      </c>
      <c r="H671" t="s">
        <v>536</v>
      </c>
      <c r="I671" t="s">
        <v>194</v>
      </c>
      <c r="J671" t="s">
        <v>195</v>
      </c>
      <c r="U671" t="s">
        <v>196</v>
      </c>
      <c r="V671" t="s">
        <v>3290</v>
      </c>
      <c r="W671">
        <v>77838825754</v>
      </c>
      <c r="X671">
        <v>10077838825751</v>
      </c>
      <c r="Y671" t="s">
        <v>3291</v>
      </c>
      <c r="Z671" t="s">
        <v>3292</v>
      </c>
      <c r="AA671" t="s">
        <v>807</v>
      </c>
      <c r="AB671" t="s">
        <v>311</v>
      </c>
      <c r="AC671" t="s">
        <v>425</v>
      </c>
      <c r="AD671" t="s">
        <v>426</v>
      </c>
      <c r="AE671" t="s">
        <v>268</v>
      </c>
      <c r="AF671" t="s">
        <v>302</v>
      </c>
      <c r="AG671">
        <v>392410.4</v>
      </c>
      <c r="AH671">
        <v>175</v>
      </c>
      <c r="AL671" t="s">
        <v>399</v>
      </c>
      <c r="AM671" t="s">
        <v>1774</v>
      </c>
      <c r="BH671" t="s">
        <v>2894</v>
      </c>
      <c r="CQ671" t="s">
        <v>340</v>
      </c>
      <c r="DA671" t="s">
        <v>201</v>
      </c>
      <c r="DD671" t="s">
        <v>3092</v>
      </c>
    </row>
    <row r="672" spans="1:108" x14ac:dyDescent="0.25">
      <c r="A672" t="s">
        <v>3293</v>
      </c>
      <c r="B672" t="e">
        <f>_xlfn.XLOOKUP(C672,'[1]Image URL'!$E:$E,'[1]Image URL'!$A:$A)</f>
        <v>#N/A</v>
      </c>
      <c r="C672" t="s">
        <v>3511</v>
      </c>
      <c r="D672" t="s">
        <v>3295</v>
      </c>
      <c r="E672" t="s">
        <v>2898</v>
      </c>
      <c r="H672" t="s">
        <v>1515</v>
      </c>
      <c r="J672" t="s">
        <v>212</v>
      </c>
      <c r="M672" t="s">
        <v>1528</v>
      </c>
      <c r="U672" t="s">
        <v>584</v>
      </c>
      <c r="V672" t="s">
        <v>157</v>
      </c>
      <c r="W672">
        <v>77838500064</v>
      </c>
      <c r="X672">
        <v>10077838000066</v>
      </c>
      <c r="Y672" t="s">
        <v>3296</v>
      </c>
      <c r="Z672" t="s">
        <v>1803</v>
      </c>
      <c r="AA672" t="s">
        <v>445</v>
      </c>
      <c r="AB672" t="s">
        <v>328</v>
      </c>
      <c r="AC672" t="s">
        <v>506</v>
      </c>
      <c r="AD672" t="s">
        <v>402</v>
      </c>
      <c r="AE672" t="s">
        <v>303</v>
      </c>
      <c r="AF672" t="s">
        <v>235</v>
      </c>
      <c r="AG672">
        <v>392410.4</v>
      </c>
      <c r="AH672">
        <v>85</v>
      </c>
      <c r="CC672" t="s">
        <v>2923</v>
      </c>
      <c r="CQ672" t="s">
        <v>2924</v>
      </c>
    </row>
    <row r="673" spans="1:105" x14ac:dyDescent="0.25">
      <c r="A673" t="s">
        <v>3297</v>
      </c>
      <c r="B673" t="e">
        <f>_xlfn.XLOOKUP(C673,'[1]Image URL'!$E:$E,'[1]Image URL'!$A:$A)</f>
        <v>#N/A</v>
      </c>
      <c r="C673">
        <v>4394203</v>
      </c>
      <c r="D673" t="s">
        <v>3298</v>
      </c>
      <c r="E673" t="s">
        <v>3299</v>
      </c>
      <c r="F673" t="s">
        <v>3300</v>
      </c>
      <c r="G673" t="s">
        <v>3300</v>
      </c>
      <c r="H673" t="s">
        <v>1740</v>
      </c>
      <c r="I673" t="s">
        <v>194</v>
      </c>
      <c r="J673" t="s">
        <v>195</v>
      </c>
      <c r="M673" t="s">
        <v>3301</v>
      </c>
      <c r="T673" t="s">
        <v>1576</v>
      </c>
      <c r="U673" t="s">
        <v>196</v>
      </c>
      <c r="V673" t="s">
        <v>1385</v>
      </c>
      <c r="W673">
        <v>77838859223</v>
      </c>
      <c r="X673">
        <v>10077838859220</v>
      </c>
      <c r="Y673" t="s">
        <v>2172</v>
      </c>
      <c r="Z673" t="s">
        <v>3302</v>
      </c>
      <c r="AA673" t="s">
        <v>2412</v>
      </c>
      <c r="AB673" t="s">
        <v>506</v>
      </c>
      <c r="AC673" t="s">
        <v>587</v>
      </c>
      <c r="AD673" t="s">
        <v>1113</v>
      </c>
      <c r="AE673" t="s">
        <v>235</v>
      </c>
      <c r="AF673" t="s">
        <v>302</v>
      </c>
      <c r="AG673">
        <v>392410.4</v>
      </c>
      <c r="AH673">
        <v>250</v>
      </c>
      <c r="AL673" t="s">
        <v>3303</v>
      </c>
      <c r="BH673" t="s">
        <v>3300</v>
      </c>
    </row>
    <row r="674" spans="1:105" x14ac:dyDescent="0.25">
      <c r="A674" t="s">
        <v>3304</v>
      </c>
      <c r="B674" t="e">
        <f>_xlfn.XLOOKUP(C674,'[1]Image URL'!$E:$E,'[1]Image URL'!$A:$A)</f>
        <v>#N/A</v>
      </c>
      <c r="C674" t="s">
        <v>3521</v>
      </c>
      <c r="D674" t="s">
        <v>3305</v>
      </c>
      <c r="E674" t="s">
        <v>2869</v>
      </c>
      <c r="F674" t="s">
        <v>1864</v>
      </c>
      <c r="G674" t="s">
        <v>1864</v>
      </c>
      <c r="H674" t="s">
        <v>664</v>
      </c>
      <c r="J674" t="s">
        <v>212</v>
      </c>
      <c r="M674" t="s">
        <v>1269</v>
      </c>
      <c r="U674" t="s">
        <v>584</v>
      </c>
      <c r="V674" t="s">
        <v>157</v>
      </c>
      <c r="W674">
        <v>77838889664</v>
      </c>
      <c r="X674">
        <v>10077838889661</v>
      </c>
      <c r="Y674" t="s">
        <v>309</v>
      </c>
      <c r="Z674" t="s">
        <v>159</v>
      </c>
      <c r="AA674" t="s">
        <v>1349</v>
      </c>
      <c r="AB674" t="s">
        <v>530</v>
      </c>
      <c r="AC674" t="s">
        <v>1349</v>
      </c>
      <c r="AD674" t="s">
        <v>162</v>
      </c>
      <c r="AE674" t="s">
        <v>163</v>
      </c>
      <c r="AF674" t="s">
        <v>164</v>
      </c>
      <c r="AG674">
        <v>392410.4</v>
      </c>
      <c r="AH674">
        <v>85</v>
      </c>
      <c r="AL674" t="s">
        <v>3003</v>
      </c>
      <c r="AN674" t="s">
        <v>1864</v>
      </c>
      <c r="CX674" t="s">
        <v>201</v>
      </c>
    </row>
    <row r="675" spans="1:105" x14ac:dyDescent="0.25">
      <c r="A675" t="s">
        <v>3306</v>
      </c>
      <c r="B675" t="e">
        <f>_xlfn.XLOOKUP(C675,'[1]Image URL'!$E:$E,'[1]Image URL'!$A:$A)</f>
        <v>#N/A</v>
      </c>
      <c r="C675">
        <v>4312303</v>
      </c>
      <c r="D675" t="s">
        <v>3307</v>
      </c>
      <c r="E675" t="s">
        <v>3045</v>
      </c>
      <c r="F675" t="s">
        <v>340</v>
      </c>
      <c r="G675" t="s">
        <v>340</v>
      </c>
      <c r="H675" t="s">
        <v>361</v>
      </c>
      <c r="J675" t="s">
        <v>212</v>
      </c>
      <c r="M675" t="s">
        <v>3308</v>
      </c>
      <c r="U675" t="s">
        <v>584</v>
      </c>
      <c r="V675" t="s">
        <v>157</v>
      </c>
      <c r="W675">
        <v>77838510735</v>
      </c>
      <c r="X675">
        <v>10077838010737</v>
      </c>
      <c r="Y675" t="s">
        <v>1333</v>
      </c>
      <c r="Z675" t="s">
        <v>3309</v>
      </c>
      <c r="AA675" t="s">
        <v>3310</v>
      </c>
      <c r="AB675" t="s">
        <v>3311</v>
      </c>
      <c r="AC675" t="s">
        <v>3312</v>
      </c>
      <c r="AD675" t="s">
        <v>203</v>
      </c>
      <c r="AE675" t="s">
        <v>235</v>
      </c>
      <c r="AF675" t="s">
        <v>235</v>
      </c>
      <c r="AG675">
        <v>392410.4</v>
      </c>
      <c r="AH675">
        <v>100</v>
      </c>
      <c r="AL675" t="s">
        <v>1320</v>
      </c>
      <c r="CC675" t="s">
        <v>340</v>
      </c>
      <c r="CQ675" t="s">
        <v>374</v>
      </c>
    </row>
    <row r="676" spans="1:105" x14ac:dyDescent="0.25">
      <c r="A676" t="s">
        <v>3313</v>
      </c>
      <c r="B676" t="e">
        <f>_xlfn.XLOOKUP(C676,'[1]Image URL'!$E:$E,'[1]Image URL'!$A:$A)</f>
        <v>#N/A</v>
      </c>
      <c r="C676" t="s">
        <v>3528</v>
      </c>
      <c r="D676" t="s">
        <v>3314</v>
      </c>
      <c r="E676" t="s">
        <v>3006</v>
      </c>
      <c r="F676" t="s">
        <v>1982</v>
      </c>
      <c r="G676" t="s">
        <v>1982</v>
      </c>
      <c r="H676" t="s">
        <v>3101</v>
      </c>
      <c r="J676" t="s">
        <v>212</v>
      </c>
      <c r="U676" t="s">
        <v>584</v>
      </c>
      <c r="V676" t="s">
        <v>1385</v>
      </c>
      <c r="W676">
        <v>77838817131</v>
      </c>
      <c r="X676">
        <v>10077838817138</v>
      </c>
      <c r="Y676" t="s">
        <v>692</v>
      </c>
      <c r="Z676" t="s">
        <v>1803</v>
      </c>
      <c r="AA676" t="s">
        <v>1510</v>
      </c>
      <c r="AB676" t="s">
        <v>1275</v>
      </c>
      <c r="AC676" t="s">
        <v>1580</v>
      </c>
      <c r="AD676" t="s">
        <v>3315</v>
      </c>
      <c r="AE676" t="s">
        <v>3316</v>
      </c>
      <c r="AF676" t="s">
        <v>302</v>
      </c>
      <c r="AG676">
        <v>392410.4</v>
      </c>
      <c r="AH676">
        <v>85</v>
      </c>
      <c r="AL676" t="s">
        <v>399</v>
      </c>
      <c r="AM676" t="s">
        <v>3317</v>
      </c>
      <c r="BH676" t="s">
        <v>1982</v>
      </c>
      <c r="CQ676" t="s">
        <v>1864</v>
      </c>
      <c r="DA676" t="s">
        <v>1982</v>
      </c>
    </row>
    <row r="677" spans="1:105" x14ac:dyDescent="0.25">
      <c r="A677" t="s">
        <v>3318</v>
      </c>
      <c r="B677" t="e">
        <f>_xlfn.XLOOKUP(C677,'[1]Image URL'!$E:$E,'[1]Image URL'!$A:$A)</f>
        <v>#N/A</v>
      </c>
      <c r="C677" t="s">
        <v>3531</v>
      </c>
      <c r="D677" t="s">
        <v>3319</v>
      </c>
      <c r="E677" t="s">
        <v>2883</v>
      </c>
      <c r="F677" t="s">
        <v>3320</v>
      </c>
      <c r="G677" t="s">
        <v>3320</v>
      </c>
      <c r="H677" t="s">
        <v>3321</v>
      </c>
      <c r="J677" t="s">
        <v>212</v>
      </c>
      <c r="M677" t="s">
        <v>2835</v>
      </c>
      <c r="U677" t="s">
        <v>584</v>
      </c>
      <c r="V677" t="s">
        <v>157</v>
      </c>
      <c r="W677">
        <v>77838500491</v>
      </c>
      <c r="X677">
        <v>10077838000493</v>
      </c>
      <c r="Y677" t="s">
        <v>3322</v>
      </c>
      <c r="Z677" t="s">
        <v>2462</v>
      </c>
      <c r="AA677" t="s">
        <v>1367</v>
      </c>
      <c r="AB677" t="s">
        <v>1367</v>
      </c>
      <c r="AC677" t="s">
        <v>443</v>
      </c>
      <c r="AD677" t="s">
        <v>183</v>
      </c>
      <c r="AE677" t="s">
        <v>184</v>
      </c>
      <c r="AF677" t="s">
        <v>185</v>
      </c>
      <c r="AG677">
        <v>392410.4</v>
      </c>
      <c r="AH677">
        <v>92.5</v>
      </c>
      <c r="AL677" t="s">
        <v>636</v>
      </c>
      <c r="CC677" t="s">
        <v>3320</v>
      </c>
      <c r="CQ677" t="s">
        <v>1831</v>
      </c>
    </row>
    <row r="678" spans="1:105" x14ac:dyDescent="0.25">
      <c r="A678" t="s">
        <v>3323</v>
      </c>
      <c r="B678" t="e">
        <f>_xlfn.XLOOKUP(C678,'[1]Image URL'!$E:$E,'[1]Image URL'!$A:$A)</f>
        <v>#N/A</v>
      </c>
      <c r="C678">
        <v>4394302</v>
      </c>
      <c r="D678" t="s">
        <v>3325</v>
      </c>
      <c r="E678" t="s">
        <v>2898</v>
      </c>
      <c r="H678" t="s">
        <v>288</v>
      </c>
      <c r="J678" t="s">
        <v>212</v>
      </c>
      <c r="M678" t="s">
        <v>2986</v>
      </c>
      <c r="U678" t="s">
        <v>584</v>
      </c>
      <c r="V678" t="s">
        <v>157</v>
      </c>
      <c r="W678">
        <v>77838205288</v>
      </c>
      <c r="X678">
        <v>10077838205225</v>
      </c>
      <c r="Y678" t="s">
        <v>2987</v>
      </c>
      <c r="Z678" t="s">
        <v>2988</v>
      </c>
      <c r="AA678" t="s">
        <v>2893</v>
      </c>
      <c r="AB678" t="s">
        <v>1804</v>
      </c>
      <c r="AC678" t="s">
        <v>765</v>
      </c>
      <c r="AD678" t="s">
        <v>2903</v>
      </c>
      <c r="AE678" t="s">
        <v>403</v>
      </c>
      <c r="AF678" t="s">
        <v>456</v>
      </c>
      <c r="AG678">
        <v>392410.4</v>
      </c>
      <c r="AH678">
        <v>85</v>
      </c>
      <c r="AL678" t="s">
        <v>2922</v>
      </c>
      <c r="CC678" t="s">
        <v>2989</v>
      </c>
      <c r="CQ678" t="s">
        <v>334</v>
      </c>
    </row>
    <row r="679" spans="1:105" x14ac:dyDescent="0.25">
      <c r="A679" t="s">
        <v>3326</v>
      </c>
      <c r="B679" t="e">
        <f>_xlfn.XLOOKUP(C679,'[1]Image URL'!$E:$E,'[1]Image URL'!$A:$A)</f>
        <v>#N/A</v>
      </c>
      <c r="C679">
        <v>4394202</v>
      </c>
      <c r="D679" t="s">
        <v>3327</v>
      </c>
      <c r="E679" t="s">
        <v>2869</v>
      </c>
      <c r="F679" t="s">
        <v>2450</v>
      </c>
      <c r="G679" t="s">
        <v>2450</v>
      </c>
      <c r="H679" t="s">
        <v>2144</v>
      </c>
      <c r="J679" t="s">
        <v>212</v>
      </c>
      <c r="M679" t="s">
        <v>3022</v>
      </c>
      <c r="U679" t="s">
        <v>584</v>
      </c>
      <c r="V679" t="s">
        <v>157</v>
      </c>
      <c r="W679">
        <v>77838889688</v>
      </c>
      <c r="X679">
        <v>10077838889685</v>
      </c>
      <c r="Y679" t="s">
        <v>3023</v>
      </c>
      <c r="Z679" t="s">
        <v>1475</v>
      </c>
      <c r="AA679" t="s">
        <v>2210</v>
      </c>
      <c r="AB679" t="s">
        <v>329</v>
      </c>
      <c r="AC679" t="s">
        <v>312</v>
      </c>
      <c r="AD679" t="s">
        <v>2402</v>
      </c>
      <c r="AE679" t="s">
        <v>303</v>
      </c>
      <c r="AF679" t="s">
        <v>185</v>
      </c>
      <c r="AG679">
        <v>392410.4</v>
      </c>
      <c r="AH679">
        <v>125</v>
      </c>
      <c r="AL679" t="s">
        <v>1682</v>
      </c>
      <c r="AN679" t="s">
        <v>1575</v>
      </c>
      <c r="CX679" t="s">
        <v>2947</v>
      </c>
    </row>
    <row r="680" spans="1:105" x14ac:dyDescent="0.25">
      <c r="A680" t="s">
        <v>3328</v>
      </c>
      <c r="B680" t="e">
        <f>_xlfn.XLOOKUP(C680,'[1]Image URL'!$E:$E,'[1]Image URL'!$A:$A)</f>
        <v>#N/A</v>
      </c>
      <c r="C680">
        <v>84302</v>
      </c>
      <c r="D680" t="s">
        <v>3329</v>
      </c>
      <c r="E680" t="s">
        <v>2913</v>
      </c>
      <c r="F680" t="s">
        <v>415</v>
      </c>
      <c r="G680" t="s">
        <v>415</v>
      </c>
      <c r="H680" t="s">
        <v>3330</v>
      </c>
      <c r="J680" t="s">
        <v>2915</v>
      </c>
      <c r="M680" t="s">
        <v>3331</v>
      </c>
      <c r="U680" t="s">
        <v>584</v>
      </c>
      <c r="V680" t="s">
        <v>157</v>
      </c>
      <c r="W680">
        <v>77838505359</v>
      </c>
      <c r="X680">
        <v>10077838005351</v>
      </c>
      <c r="Y680" t="s">
        <v>1249</v>
      </c>
      <c r="Z680" t="s">
        <v>3332</v>
      </c>
      <c r="AA680" t="s">
        <v>1913</v>
      </c>
      <c r="AB680" t="s">
        <v>893</v>
      </c>
      <c r="AC680" t="s">
        <v>2745</v>
      </c>
      <c r="AD680" t="s">
        <v>997</v>
      </c>
      <c r="AE680" t="s">
        <v>268</v>
      </c>
      <c r="AF680" t="s">
        <v>268</v>
      </c>
      <c r="AG680">
        <v>392410.4</v>
      </c>
      <c r="AH680">
        <v>100</v>
      </c>
      <c r="AL680" t="s">
        <v>399</v>
      </c>
      <c r="CC680" t="s">
        <v>415</v>
      </c>
      <c r="CQ680" t="s">
        <v>334</v>
      </c>
    </row>
    <row r="681" spans="1:105" x14ac:dyDescent="0.25">
      <c r="A681" t="s">
        <v>3333</v>
      </c>
      <c r="B681" t="e">
        <f>_xlfn.XLOOKUP(C681,'[1]Image URL'!$E:$E,'[1]Image URL'!$A:$A)</f>
        <v>#N/A</v>
      </c>
      <c r="C681">
        <v>4312203</v>
      </c>
      <c r="D681" t="s">
        <v>3335</v>
      </c>
      <c r="E681" t="s">
        <v>2878</v>
      </c>
      <c r="F681" t="s">
        <v>2211</v>
      </c>
      <c r="G681" t="s">
        <v>2211</v>
      </c>
      <c r="H681" t="s">
        <v>152</v>
      </c>
      <c r="I681" t="s">
        <v>194</v>
      </c>
      <c r="J681" t="s">
        <v>195</v>
      </c>
      <c r="M681" t="s">
        <v>2879</v>
      </c>
      <c r="T681" t="s">
        <v>1528</v>
      </c>
      <c r="U681" t="s">
        <v>2854</v>
      </c>
      <c r="V681" t="s">
        <v>1385</v>
      </c>
      <c r="W681">
        <v>77838871492</v>
      </c>
      <c r="X681">
        <v>10077838871499</v>
      </c>
      <c r="Y681" t="s">
        <v>2880</v>
      </c>
      <c r="Z681" t="s">
        <v>1560</v>
      </c>
      <c r="AA681" t="s">
        <v>221</v>
      </c>
      <c r="AB681" t="s">
        <v>1692</v>
      </c>
      <c r="AC681" t="s">
        <v>1580</v>
      </c>
      <c r="AD681" t="s">
        <v>1142</v>
      </c>
      <c r="AE681" t="s">
        <v>163</v>
      </c>
      <c r="AF681" t="s">
        <v>302</v>
      </c>
      <c r="AG681">
        <v>392410.4</v>
      </c>
      <c r="AH681">
        <v>125</v>
      </c>
      <c r="AL681" t="s">
        <v>2313</v>
      </c>
      <c r="AN681" t="s">
        <v>2211</v>
      </c>
    </row>
    <row r="682" spans="1:105" x14ac:dyDescent="0.25">
      <c r="A682" t="s">
        <v>3336</v>
      </c>
      <c r="B682" t="e">
        <f>_xlfn.XLOOKUP(C682,'[1]Image URL'!$E:$E,'[1]Image URL'!$A:$A)</f>
        <v>#N/A</v>
      </c>
      <c r="C682" t="s">
        <v>3546</v>
      </c>
      <c r="D682" t="s">
        <v>3337</v>
      </c>
      <c r="E682" t="s">
        <v>2883</v>
      </c>
      <c r="F682" t="s">
        <v>664</v>
      </c>
      <c r="G682" t="s">
        <v>664</v>
      </c>
      <c r="H682" t="s">
        <v>1823</v>
      </c>
      <c r="J682" t="s">
        <v>212</v>
      </c>
      <c r="M682" t="s">
        <v>2884</v>
      </c>
      <c r="U682" t="s">
        <v>584</v>
      </c>
      <c r="V682" t="s">
        <v>157</v>
      </c>
      <c r="W682">
        <v>77838517536</v>
      </c>
      <c r="X682">
        <v>10077838017538</v>
      </c>
      <c r="Y682" t="s">
        <v>2885</v>
      </c>
      <c r="Z682" t="s">
        <v>1440</v>
      </c>
      <c r="AA682" t="s">
        <v>866</v>
      </c>
      <c r="AB682" t="s">
        <v>332</v>
      </c>
      <c r="AC682" t="s">
        <v>2886</v>
      </c>
      <c r="AD682" t="s">
        <v>600</v>
      </c>
      <c r="AE682" t="s">
        <v>185</v>
      </c>
      <c r="AF682" t="s">
        <v>235</v>
      </c>
      <c r="AG682">
        <v>392410.4</v>
      </c>
      <c r="AH682">
        <v>70</v>
      </c>
      <c r="AL682" t="s">
        <v>1519</v>
      </c>
      <c r="CC682" t="s">
        <v>664</v>
      </c>
      <c r="CQ682" t="s">
        <v>2857</v>
      </c>
    </row>
    <row r="683" spans="1:105" x14ac:dyDescent="0.25">
      <c r="A683" t="s">
        <v>3338</v>
      </c>
      <c r="B683" t="e">
        <f>_xlfn.XLOOKUP(C683,'[1]Image URL'!$E:$E,'[1]Image URL'!$A:$A)</f>
        <v>#N/A</v>
      </c>
      <c r="C683">
        <v>41403</v>
      </c>
      <c r="D683" t="s">
        <v>3339</v>
      </c>
      <c r="E683" t="s">
        <v>2974</v>
      </c>
      <c r="F683" t="s">
        <v>1982</v>
      </c>
      <c r="G683" t="s">
        <v>1389</v>
      </c>
      <c r="H683" t="s">
        <v>3340</v>
      </c>
      <c r="I683" t="s">
        <v>194</v>
      </c>
      <c r="J683" t="s">
        <v>195</v>
      </c>
      <c r="U683" t="s">
        <v>196</v>
      </c>
      <c r="V683" t="s">
        <v>1385</v>
      </c>
      <c r="W683">
        <v>77838859346</v>
      </c>
      <c r="X683">
        <v>10077838859343</v>
      </c>
      <c r="Y683" t="s">
        <v>2892</v>
      </c>
      <c r="Z683" t="s">
        <v>3341</v>
      </c>
      <c r="AA683" t="s">
        <v>454</v>
      </c>
      <c r="AB683" t="s">
        <v>996</v>
      </c>
      <c r="AC683" t="s">
        <v>1691</v>
      </c>
      <c r="AD683" t="s">
        <v>203</v>
      </c>
      <c r="AE683" t="s">
        <v>184</v>
      </c>
      <c r="AF683" t="s">
        <v>456</v>
      </c>
      <c r="AG683">
        <v>392410.4</v>
      </c>
      <c r="AH683">
        <v>175</v>
      </c>
      <c r="AL683" t="s">
        <v>2008</v>
      </c>
      <c r="BH683" t="s">
        <v>1982</v>
      </c>
      <c r="CC683" t="s">
        <v>1864</v>
      </c>
      <c r="CQ683" t="s">
        <v>340</v>
      </c>
    </row>
    <row r="684" spans="1:105" x14ac:dyDescent="0.25">
      <c r="A684" t="s">
        <v>3342</v>
      </c>
      <c r="B684" t="e">
        <f>_xlfn.XLOOKUP(C684,'[1]Image URL'!$E:$E,'[1]Image URL'!$A:$A)</f>
        <v>#N/A</v>
      </c>
      <c r="C684" t="s">
        <v>3555</v>
      </c>
      <c r="D684" t="s">
        <v>3344</v>
      </c>
      <c r="E684" t="s">
        <v>2898</v>
      </c>
      <c r="H684" t="s">
        <v>846</v>
      </c>
      <c r="J684" t="s">
        <v>212</v>
      </c>
      <c r="M684" t="s">
        <v>3245</v>
      </c>
      <c r="U684" t="s">
        <v>584</v>
      </c>
      <c r="V684" t="s">
        <v>157</v>
      </c>
      <c r="W684">
        <v>77838501153</v>
      </c>
      <c r="X684">
        <v>10077838001155</v>
      </c>
      <c r="Y684" t="s">
        <v>3345</v>
      </c>
      <c r="Z684" t="s">
        <v>327</v>
      </c>
      <c r="AA684" t="s">
        <v>188</v>
      </c>
      <c r="AB684" t="s">
        <v>188</v>
      </c>
      <c r="AC684" t="s">
        <v>1441</v>
      </c>
      <c r="AD684" t="s">
        <v>3346</v>
      </c>
      <c r="AE684" t="s">
        <v>1113</v>
      </c>
      <c r="AF684" t="s">
        <v>268</v>
      </c>
      <c r="AG684">
        <v>392410.4</v>
      </c>
      <c r="AH684">
        <v>85</v>
      </c>
      <c r="CC684" t="s">
        <v>2857</v>
      </c>
      <c r="CQ684" t="s">
        <v>1831</v>
      </c>
    </row>
    <row r="685" spans="1:105" x14ac:dyDescent="0.25">
      <c r="A685" t="s">
        <v>3347</v>
      </c>
      <c r="B685" t="e">
        <f>_xlfn.XLOOKUP(C685,'[1]Image URL'!$E:$E,'[1]Image URL'!$A:$A)</f>
        <v>#N/A</v>
      </c>
      <c r="C685" t="s">
        <v>3558</v>
      </c>
      <c r="D685" t="s">
        <v>3348</v>
      </c>
      <c r="E685" t="s">
        <v>3006</v>
      </c>
      <c r="F685" t="s">
        <v>2294</v>
      </c>
      <c r="H685" t="s">
        <v>374</v>
      </c>
      <c r="J685" t="s">
        <v>212</v>
      </c>
      <c r="U685" t="s">
        <v>584</v>
      </c>
      <c r="V685" t="s">
        <v>1385</v>
      </c>
      <c r="W685">
        <v>77838817117</v>
      </c>
      <c r="X685">
        <v>10077838817114</v>
      </c>
      <c r="Y685" t="s">
        <v>1170</v>
      </c>
      <c r="Z685" t="s">
        <v>1348</v>
      </c>
      <c r="AA685" t="s">
        <v>462</v>
      </c>
      <c r="AB685" t="s">
        <v>288</v>
      </c>
      <c r="AC685" t="s">
        <v>1267</v>
      </c>
      <c r="AD685" t="s">
        <v>1063</v>
      </c>
      <c r="AE685" t="s">
        <v>163</v>
      </c>
      <c r="AF685" t="s">
        <v>349</v>
      </c>
      <c r="AG685">
        <v>392410.4</v>
      </c>
      <c r="AH685">
        <v>85</v>
      </c>
      <c r="AL685" t="s">
        <v>205</v>
      </c>
      <c r="AM685" t="s">
        <v>3122</v>
      </c>
      <c r="BH685" t="s">
        <v>3349</v>
      </c>
      <c r="CQ685" t="s">
        <v>186</v>
      </c>
      <c r="DA685" t="s">
        <v>3349</v>
      </c>
    </row>
    <row r="686" spans="1:105" x14ac:dyDescent="0.25">
      <c r="A686" t="s">
        <v>3350</v>
      </c>
      <c r="B686" t="e">
        <f>_xlfn.XLOOKUP(C686,'[1]Image URL'!$E:$E,'[1]Image URL'!$A:$A)</f>
        <v>#N/A</v>
      </c>
      <c r="C686" t="s">
        <v>3561</v>
      </c>
      <c r="D686" t="s">
        <v>3351</v>
      </c>
      <c r="E686" t="s">
        <v>3352</v>
      </c>
      <c r="F686" t="s">
        <v>374</v>
      </c>
      <c r="G686" t="s">
        <v>374</v>
      </c>
      <c r="H686" t="s">
        <v>3353</v>
      </c>
      <c r="I686" t="s">
        <v>194</v>
      </c>
      <c r="J686" t="s">
        <v>195</v>
      </c>
      <c r="U686" t="s">
        <v>196</v>
      </c>
      <c r="V686" t="s">
        <v>1385</v>
      </c>
      <c r="W686">
        <v>77838831359</v>
      </c>
      <c r="X686">
        <v>10077838831356</v>
      </c>
      <c r="Y686" t="s">
        <v>3354</v>
      </c>
      <c r="Z686" t="s">
        <v>1449</v>
      </c>
      <c r="AA686" t="s">
        <v>312</v>
      </c>
      <c r="AB686" t="s">
        <v>1178</v>
      </c>
      <c r="AC686" t="s">
        <v>1691</v>
      </c>
      <c r="AD686" t="s">
        <v>1942</v>
      </c>
      <c r="AE686" t="s">
        <v>303</v>
      </c>
      <c r="AF686" t="s">
        <v>456</v>
      </c>
      <c r="AG686">
        <v>392410.4</v>
      </c>
      <c r="AH686">
        <v>175</v>
      </c>
      <c r="AL686" t="s">
        <v>2189</v>
      </c>
      <c r="AM686" t="s">
        <v>1774</v>
      </c>
      <c r="BH686" t="s">
        <v>374</v>
      </c>
      <c r="CQ686" t="s">
        <v>374</v>
      </c>
      <c r="DA686" t="s">
        <v>2947</v>
      </c>
    </row>
    <row r="687" spans="1:105" x14ac:dyDescent="0.25">
      <c r="A687" t="s">
        <v>3355</v>
      </c>
      <c r="B687" t="e">
        <f>_xlfn.XLOOKUP(C687,'[1]Image URL'!$E:$E,'[1]Image URL'!$A:$A)</f>
        <v>#N/A</v>
      </c>
      <c r="C687" t="s">
        <v>3564</v>
      </c>
      <c r="D687" t="s">
        <v>3356</v>
      </c>
      <c r="E687" t="s">
        <v>2944</v>
      </c>
      <c r="F687" t="s">
        <v>748</v>
      </c>
      <c r="G687" t="s">
        <v>748</v>
      </c>
      <c r="H687" t="s">
        <v>152</v>
      </c>
      <c r="I687" t="s">
        <v>194</v>
      </c>
      <c r="J687" t="s">
        <v>195</v>
      </c>
      <c r="M687" t="s">
        <v>3357</v>
      </c>
      <c r="U687" t="s">
        <v>196</v>
      </c>
      <c r="V687" t="s">
        <v>157</v>
      </c>
      <c r="W687">
        <v>77838660812</v>
      </c>
      <c r="X687">
        <v>10077838160814</v>
      </c>
      <c r="Y687" t="s">
        <v>3358</v>
      </c>
      <c r="Z687" t="s">
        <v>1587</v>
      </c>
      <c r="AA687" t="s">
        <v>425</v>
      </c>
      <c r="AB687" t="s">
        <v>1275</v>
      </c>
      <c r="AC687" t="s">
        <v>1797</v>
      </c>
      <c r="AD687" t="s">
        <v>301</v>
      </c>
      <c r="AE687" t="s">
        <v>349</v>
      </c>
      <c r="AF687" t="s">
        <v>235</v>
      </c>
      <c r="AG687">
        <v>392410.4</v>
      </c>
      <c r="AH687">
        <v>85</v>
      </c>
      <c r="AL687" t="s">
        <v>2189</v>
      </c>
      <c r="CC687" t="s">
        <v>748</v>
      </c>
      <c r="CQ687" t="s">
        <v>575</v>
      </c>
    </row>
    <row r="688" spans="1:105" x14ac:dyDescent="0.25">
      <c r="A688" t="s">
        <v>3359</v>
      </c>
      <c r="B688" t="e">
        <f>_xlfn.XLOOKUP(C688,'[1]Image URL'!$E:$E,'[1]Image URL'!$A:$A)</f>
        <v>#N/A</v>
      </c>
      <c r="C688">
        <v>71703</v>
      </c>
      <c r="D688" t="s">
        <v>3360</v>
      </c>
      <c r="E688" t="s">
        <v>3132</v>
      </c>
      <c r="F688" t="s">
        <v>3011</v>
      </c>
      <c r="G688" t="s">
        <v>3011</v>
      </c>
      <c r="H688" t="s">
        <v>192</v>
      </c>
      <c r="I688" t="s">
        <v>194</v>
      </c>
      <c r="J688" t="s">
        <v>195</v>
      </c>
      <c r="U688" t="s">
        <v>196</v>
      </c>
      <c r="V688" t="s">
        <v>1385</v>
      </c>
      <c r="W688">
        <v>77838825778</v>
      </c>
      <c r="X688">
        <v>10077838825775</v>
      </c>
      <c r="Y688" t="s">
        <v>3361</v>
      </c>
      <c r="Z688" t="s">
        <v>3362</v>
      </c>
      <c r="AA688" t="s">
        <v>2087</v>
      </c>
      <c r="AB688" t="s">
        <v>1932</v>
      </c>
      <c r="AC688" t="s">
        <v>1226</v>
      </c>
      <c r="AD688" t="s">
        <v>204</v>
      </c>
      <c r="AE688" t="s">
        <v>349</v>
      </c>
      <c r="AF688" t="s">
        <v>316</v>
      </c>
      <c r="AG688">
        <v>392410.4</v>
      </c>
      <c r="AH688">
        <v>175</v>
      </c>
      <c r="AL688" t="s">
        <v>971</v>
      </c>
      <c r="AM688" t="s">
        <v>1711</v>
      </c>
      <c r="BH688" t="s">
        <v>3011</v>
      </c>
      <c r="CQ688" t="s">
        <v>1982</v>
      </c>
      <c r="DA688" t="s">
        <v>374</v>
      </c>
    </row>
    <row r="689" spans="1:109" x14ac:dyDescent="0.25">
      <c r="A689" t="s">
        <v>3363</v>
      </c>
      <c r="B689" t="e">
        <f>_xlfn.XLOOKUP(C689,'[1]Image URL'!$E:$E,'[1]Image URL'!$A:$A)</f>
        <v>#N/A</v>
      </c>
      <c r="C689" t="s">
        <v>3572</v>
      </c>
      <c r="D689" t="s">
        <v>3364</v>
      </c>
      <c r="E689" t="s">
        <v>2883</v>
      </c>
      <c r="F689" t="s">
        <v>748</v>
      </c>
      <c r="G689" t="s">
        <v>748</v>
      </c>
      <c r="H689" t="s">
        <v>3184</v>
      </c>
      <c r="J689" t="s">
        <v>212</v>
      </c>
      <c r="M689" t="s">
        <v>1805</v>
      </c>
      <c r="U689" t="s">
        <v>584</v>
      </c>
      <c r="V689" t="s">
        <v>157</v>
      </c>
      <c r="W689">
        <v>77838500330</v>
      </c>
      <c r="X689">
        <v>10077838000332</v>
      </c>
      <c r="Y689" t="s">
        <v>912</v>
      </c>
      <c r="Z689" t="s">
        <v>993</v>
      </c>
      <c r="AA689" t="s">
        <v>332</v>
      </c>
      <c r="AB689" t="s">
        <v>1275</v>
      </c>
      <c r="AC689" t="s">
        <v>3365</v>
      </c>
      <c r="AD689" t="s">
        <v>301</v>
      </c>
      <c r="AE689" t="s">
        <v>349</v>
      </c>
      <c r="AF689" t="s">
        <v>235</v>
      </c>
      <c r="AG689">
        <v>392410.4</v>
      </c>
      <c r="AH689">
        <v>92.5</v>
      </c>
      <c r="AL689" t="s">
        <v>3003</v>
      </c>
      <c r="CC689" t="s">
        <v>748</v>
      </c>
      <c r="CQ689" t="s">
        <v>2993</v>
      </c>
    </row>
    <row r="690" spans="1:109" x14ac:dyDescent="0.25">
      <c r="A690" t="s">
        <v>3366</v>
      </c>
      <c r="B690" t="e">
        <f>_xlfn.XLOOKUP(C690,'[1]Image URL'!$E:$E,'[1]Image URL'!$A:$A)</f>
        <v>#N/A</v>
      </c>
      <c r="C690">
        <v>4312142</v>
      </c>
      <c r="D690" t="s">
        <v>3367</v>
      </c>
      <c r="E690" t="s">
        <v>2938</v>
      </c>
      <c r="F690" t="s">
        <v>3107</v>
      </c>
      <c r="G690" t="s">
        <v>3107</v>
      </c>
      <c r="H690" t="s">
        <v>145</v>
      </c>
      <c r="J690" t="s">
        <v>212</v>
      </c>
      <c r="M690" t="s">
        <v>3368</v>
      </c>
      <c r="U690" t="s">
        <v>584</v>
      </c>
      <c r="V690" t="s">
        <v>1385</v>
      </c>
      <c r="W690">
        <v>77838226148</v>
      </c>
      <c r="X690">
        <v>10077838126148</v>
      </c>
      <c r="Y690" t="s">
        <v>3369</v>
      </c>
      <c r="Z690" t="s">
        <v>3370</v>
      </c>
      <c r="AA690" t="s">
        <v>1226</v>
      </c>
      <c r="AB690" t="s">
        <v>1441</v>
      </c>
      <c r="AC690" t="s">
        <v>181</v>
      </c>
      <c r="AD690" t="s">
        <v>426</v>
      </c>
      <c r="AE690" t="s">
        <v>268</v>
      </c>
      <c r="AF690" t="s">
        <v>302</v>
      </c>
      <c r="AG690">
        <v>392410.4</v>
      </c>
      <c r="AH690">
        <v>92.5</v>
      </c>
      <c r="AL690" t="s">
        <v>1078</v>
      </c>
      <c r="CC690" t="s">
        <v>3107</v>
      </c>
      <c r="CQ690" t="s">
        <v>334</v>
      </c>
    </row>
    <row r="691" spans="1:109" x14ac:dyDescent="0.25">
      <c r="A691" t="s">
        <v>3371</v>
      </c>
      <c r="B691" t="e">
        <f>_xlfn.XLOOKUP(C691,'[1]Image URL'!$E:$E,'[1]Image URL'!$A:$A)</f>
        <v>#N/A</v>
      </c>
      <c r="C691" t="s">
        <v>3579</v>
      </c>
      <c r="D691" t="s">
        <v>3372</v>
      </c>
      <c r="E691" t="s">
        <v>2898</v>
      </c>
      <c r="H691" t="s">
        <v>1794</v>
      </c>
      <c r="J691" t="s">
        <v>212</v>
      </c>
      <c r="M691" t="s">
        <v>3181</v>
      </c>
      <c r="U691" t="s">
        <v>584</v>
      </c>
      <c r="V691" t="s">
        <v>157</v>
      </c>
      <c r="W691">
        <v>77838000113</v>
      </c>
      <c r="X691">
        <v>10077838000110</v>
      </c>
      <c r="Y691" t="s">
        <v>1611</v>
      </c>
      <c r="Z691" t="s">
        <v>3182</v>
      </c>
      <c r="AA691" t="s">
        <v>519</v>
      </c>
      <c r="AB691" t="s">
        <v>549</v>
      </c>
      <c r="AC691" t="s">
        <v>1932</v>
      </c>
      <c r="AD691" t="s">
        <v>3183</v>
      </c>
      <c r="AE691" t="s">
        <v>802</v>
      </c>
      <c r="AF691" t="s">
        <v>302</v>
      </c>
      <c r="AG691">
        <v>392410.4</v>
      </c>
      <c r="AH691">
        <v>100</v>
      </c>
      <c r="CC691" t="s">
        <v>386</v>
      </c>
      <c r="CQ691" t="s">
        <v>3184</v>
      </c>
    </row>
    <row r="692" spans="1:109" x14ac:dyDescent="0.25">
      <c r="A692" t="s">
        <v>3373</v>
      </c>
      <c r="B692" t="e">
        <f>_xlfn.XLOOKUP(C692,'[1]Image URL'!$E:$E,'[1]Image URL'!$A:$A)</f>
        <v>#N/A</v>
      </c>
      <c r="C692">
        <v>41202</v>
      </c>
      <c r="D692" t="s">
        <v>3374</v>
      </c>
      <c r="E692" t="s">
        <v>3299</v>
      </c>
      <c r="F692" t="s">
        <v>3375</v>
      </c>
      <c r="G692" t="s">
        <v>3375</v>
      </c>
      <c r="H692" t="s">
        <v>1062</v>
      </c>
      <c r="I692" t="s">
        <v>194</v>
      </c>
      <c r="J692" t="s">
        <v>195</v>
      </c>
      <c r="M692" t="s">
        <v>2065</v>
      </c>
      <c r="T692" t="s">
        <v>1711</v>
      </c>
      <c r="U692" t="s">
        <v>196</v>
      </c>
      <c r="V692" t="s">
        <v>1385</v>
      </c>
      <c r="W692">
        <v>77838859209</v>
      </c>
      <c r="X692">
        <v>10077838859206</v>
      </c>
      <c r="Y692" t="s">
        <v>2962</v>
      </c>
      <c r="Z692" t="s">
        <v>3376</v>
      </c>
      <c r="AA692" t="s">
        <v>444</v>
      </c>
      <c r="AB692" t="s">
        <v>425</v>
      </c>
      <c r="AC692" t="s">
        <v>221</v>
      </c>
      <c r="AD692" t="s">
        <v>301</v>
      </c>
      <c r="AE692" t="s">
        <v>349</v>
      </c>
      <c r="AF692" t="s">
        <v>235</v>
      </c>
      <c r="AG692">
        <v>392410.4</v>
      </c>
      <c r="AH692">
        <v>175</v>
      </c>
      <c r="BH692" t="s">
        <v>1982</v>
      </c>
    </row>
    <row r="693" spans="1:109" x14ac:dyDescent="0.25">
      <c r="A693" t="s">
        <v>3377</v>
      </c>
      <c r="B693" t="e">
        <f>_xlfn.XLOOKUP(C693,'[1]Image URL'!$E:$E,'[1]Image URL'!$A:$A)</f>
        <v>#N/A</v>
      </c>
      <c r="C693" t="s">
        <v>3586</v>
      </c>
      <c r="D693" t="s">
        <v>3378</v>
      </c>
      <c r="E693" t="s">
        <v>2898</v>
      </c>
      <c r="H693" t="s">
        <v>1515</v>
      </c>
      <c r="J693" t="s">
        <v>212</v>
      </c>
      <c r="M693" t="s">
        <v>1528</v>
      </c>
      <c r="U693" t="s">
        <v>584</v>
      </c>
      <c r="V693" t="s">
        <v>157</v>
      </c>
      <c r="W693">
        <v>77838510803</v>
      </c>
      <c r="X693">
        <v>10077838010805</v>
      </c>
      <c r="Y693" t="s">
        <v>2076</v>
      </c>
      <c r="Z693" t="s">
        <v>2921</v>
      </c>
      <c r="AA693" t="s">
        <v>817</v>
      </c>
      <c r="AB693" t="s">
        <v>587</v>
      </c>
      <c r="AC693" t="s">
        <v>444</v>
      </c>
      <c r="AD693" t="s">
        <v>2903</v>
      </c>
      <c r="AE693" t="s">
        <v>403</v>
      </c>
      <c r="AF693" t="s">
        <v>456</v>
      </c>
      <c r="AG693">
        <v>392410.4</v>
      </c>
      <c r="AH693">
        <v>85</v>
      </c>
      <c r="AL693" t="s">
        <v>2922</v>
      </c>
      <c r="CC693" t="s">
        <v>2923</v>
      </c>
      <c r="CQ693" t="s">
        <v>2924</v>
      </c>
    </row>
    <row r="694" spans="1:109" x14ac:dyDescent="0.25">
      <c r="A694" t="s">
        <v>3379</v>
      </c>
      <c r="B694" t="e">
        <f>_xlfn.XLOOKUP(C694,'[1]Image URL'!$E:$E,'[1]Image URL'!$A:$A)</f>
        <v>#N/A</v>
      </c>
      <c r="C694">
        <v>86003</v>
      </c>
      <c r="D694" t="s">
        <v>3026</v>
      </c>
      <c r="E694" t="s">
        <v>3381</v>
      </c>
      <c r="F694" t="s">
        <v>3184</v>
      </c>
      <c r="G694" t="s">
        <v>3184</v>
      </c>
      <c r="H694" t="s">
        <v>3028</v>
      </c>
      <c r="I694" t="s">
        <v>3029</v>
      </c>
      <c r="J694" t="s">
        <v>3030</v>
      </c>
      <c r="U694" t="s">
        <v>3031</v>
      </c>
      <c r="V694" t="s">
        <v>282</v>
      </c>
      <c r="W694">
        <v>77838813430</v>
      </c>
      <c r="X694">
        <v>10077838813437</v>
      </c>
      <c r="Y694" t="s">
        <v>3382</v>
      </c>
      <c r="Z694" t="s">
        <v>3383</v>
      </c>
      <c r="AA694" t="s">
        <v>706</v>
      </c>
      <c r="AB694" t="s">
        <v>328</v>
      </c>
      <c r="AC694" t="s">
        <v>826</v>
      </c>
      <c r="AD694" t="s">
        <v>348</v>
      </c>
      <c r="AE694" t="s">
        <v>802</v>
      </c>
      <c r="AF694" t="s">
        <v>456</v>
      </c>
      <c r="AG694">
        <v>392350</v>
      </c>
      <c r="AH694">
        <v>175</v>
      </c>
      <c r="AL694" t="s">
        <v>3035</v>
      </c>
      <c r="AN694" t="s">
        <v>3184</v>
      </c>
    </row>
    <row r="695" spans="1:109" x14ac:dyDescent="0.25">
      <c r="A695" t="s">
        <v>3384</v>
      </c>
      <c r="B695" t="e">
        <f>_xlfn.XLOOKUP(C695,'[1]Image URL'!$E:$E,'[1]Image URL'!$A:$A)</f>
        <v>#N/A</v>
      </c>
      <c r="C695" t="s">
        <v>3592</v>
      </c>
      <c r="D695" t="s">
        <v>3385</v>
      </c>
      <c r="E695" t="s">
        <v>2898</v>
      </c>
      <c r="H695" t="s">
        <v>288</v>
      </c>
      <c r="J695" t="s">
        <v>212</v>
      </c>
      <c r="M695" t="s">
        <v>2986</v>
      </c>
      <c r="U695" t="s">
        <v>584</v>
      </c>
      <c r="V695" t="s">
        <v>157</v>
      </c>
      <c r="W695">
        <v>77838510568</v>
      </c>
      <c r="X695">
        <v>10077838010560</v>
      </c>
      <c r="Y695" t="s">
        <v>2987</v>
      </c>
      <c r="Z695" t="s">
        <v>2988</v>
      </c>
      <c r="AA695" t="s">
        <v>2893</v>
      </c>
      <c r="AB695" t="s">
        <v>1804</v>
      </c>
      <c r="AC695" t="s">
        <v>765</v>
      </c>
      <c r="AD695" t="s">
        <v>2903</v>
      </c>
      <c r="AE695" t="s">
        <v>403</v>
      </c>
      <c r="AF695" t="s">
        <v>456</v>
      </c>
      <c r="AG695">
        <v>392410.4</v>
      </c>
      <c r="AH695">
        <v>85</v>
      </c>
      <c r="AL695" t="s">
        <v>2922</v>
      </c>
      <c r="CC695" t="s">
        <v>2989</v>
      </c>
      <c r="CQ695" t="s">
        <v>334</v>
      </c>
    </row>
    <row r="696" spans="1:109" x14ac:dyDescent="0.25">
      <c r="A696" t="s">
        <v>3386</v>
      </c>
      <c r="B696" t="e">
        <f>_xlfn.XLOOKUP(C696,'[1]Image URL'!$E:$E,'[1]Image URL'!$A:$A)</f>
        <v>#N/A</v>
      </c>
      <c r="C696">
        <v>4394303</v>
      </c>
      <c r="D696" t="s">
        <v>3387</v>
      </c>
      <c r="E696" t="s">
        <v>2869</v>
      </c>
      <c r="F696" t="s">
        <v>386</v>
      </c>
      <c r="G696" t="s">
        <v>386</v>
      </c>
      <c r="H696" t="s">
        <v>211</v>
      </c>
      <c r="J696" t="s">
        <v>212</v>
      </c>
      <c r="M696" t="s">
        <v>2967</v>
      </c>
      <c r="U696" t="s">
        <v>584</v>
      </c>
      <c r="V696" t="s">
        <v>157</v>
      </c>
      <c r="W696">
        <v>77838806616</v>
      </c>
      <c r="X696">
        <v>10077838806613</v>
      </c>
      <c r="Y696" t="s">
        <v>2968</v>
      </c>
      <c r="Z696" t="s">
        <v>2350</v>
      </c>
      <c r="AA696" t="s">
        <v>1274</v>
      </c>
      <c r="AB696" t="s">
        <v>2969</v>
      </c>
      <c r="AC696" t="s">
        <v>2970</v>
      </c>
      <c r="AD696" t="s">
        <v>1942</v>
      </c>
      <c r="AE696" t="s">
        <v>303</v>
      </c>
      <c r="AF696" t="s">
        <v>456</v>
      </c>
      <c r="AG696">
        <v>392410.4</v>
      </c>
      <c r="AH696">
        <v>92.5</v>
      </c>
      <c r="AL696" t="s">
        <v>2971</v>
      </c>
      <c r="AN696" t="s">
        <v>386</v>
      </c>
      <c r="CX696" t="s">
        <v>2450</v>
      </c>
    </row>
    <row r="697" spans="1:109" x14ac:dyDescent="0.25">
      <c r="A697" t="s">
        <v>3388</v>
      </c>
      <c r="B697" t="e">
        <f>_xlfn.XLOOKUP(C697,'[1]Image URL'!$E:$E,'[1]Image URL'!$A:$A)</f>
        <v>#N/A</v>
      </c>
      <c r="C697">
        <v>4312560</v>
      </c>
      <c r="D697" t="s">
        <v>3389</v>
      </c>
      <c r="E697" t="s">
        <v>3161</v>
      </c>
      <c r="F697" t="s">
        <v>340</v>
      </c>
      <c r="G697" t="s">
        <v>340</v>
      </c>
      <c r="H697" t="s">
        <v>3162</v>
      </c>
      <c r="J697" t="s">
        <v>212</v>
      </c>
      <c r="U697" t="s">
        <v>584</v>
      </c>
      <c r="V697" t="s">
        <v>157</v>
      </c>
      <c r="W697">
        <v>77838806555</v>
      </c>
      <c r="X697">
        <v>10077838806552</v>
      </c>
      <c r="Y697" t="s">
        <v>240</v>
      </c>
      <c r="Z697" t="s">
        <v>1141</v>
      </c>
      <c r="AA697" t="s">
        <v>775</v>
      </c>
      <c r="AB697" t="s">
        <v>182</v>
      </c>
      <c r="AC697" t="s">
        <v>462</v>
      </c>
      <c r="AD697" t="s">
        <v>2173</v>
      </c>
      <c r="AE697" t="s">
        <v>204</v>
      </c>
      <c r="AF697" t="s">
        <v>185</v>
      </c>
      <c r="AG697">
        <v>392410.4</v>
      </c>
      <c r="AH697">
        <v>92.5</v>
      </c>
      <c r="AL697" t="s">
        <v>681</v>
      </c>
      <c r="AM697" t="s">
        <v>1774</v>
      </c>
      <c r="CC697" t="s">
        <v>340</v>
      </c>
      <c r="CX697" t="s">
        <v>575</v>
      </c>
    </row>
    <row r="698" spans="1:109" x14ac:dyDescent="0.25">
      <c r="A698" t="s">
        <v>3390</v>
      </c>
      <c r="B698" t="e">
        <f>_xlfn.XLOOKUP(C698,'[1]Image URL'!$E:$E,'[1]Image URL'!$A:$A)</f>
        <v>#N/A</v>
      </c>
      <c r="C698">
        <v>87502</v>
      </c>
      <c r="D698" t="s">
        <v>3180</v>
      </c>
      <c r="E698" t="s">
        <v>2898</v>
      </c>
      <c r="H698" t="s">
        <v>1810</v>
      </c>
      <c r="J698" t="s">
        <v>212</v>
      </c>
      <c r="M698" t="s">
        <v>3060</v>
      </c>
      <c r="U698" t="s">
        <v>584</v>
      </c>
      <c r="V698" t="s">
        <v>157</v>
      </c>
      <c r="W698">
        <v>77838505816</v>
      </c>
      <c r="X698">
        <v>10077838005818</v>
      </c>
      <c r="Y698" t="s">
        <v>3061</v>
      </c>
      <c r="Z698" t="s">
        <v>951</v>
      </c>
      <c r="AA698" t="s">
        <v>633</v>
      </c>
      <c r="AB698" t="s">
        <v>1127</v>
      </c>
      <c r="AC698" t="s">
        <v>472</v>
      </c>
      <c r="AD698" t="s">
        <v>507</v>
      </c>
      <c r="AE698" t="s">
        <v>302</v>
      </c>
      <c r="AF698" t="s">
        <v>302</v>
      </c>
      <c r="AG698">
        <v>392410.4</v>
      </c>
      <c r="AH698">
        <v>100</v>
      </c>
      <c r="CC698" t="s">
        <v>3062</v>
      </c>
      <c r="CQ698" t="s">
        <v>340</v>
      </c>
    </row>
    <row r="699" spans="1:109" x14ac:dyDescent="0.25">
      <c r="A699" t="s">
        <v>3391</v>
      </c>
      <c r="B699" t="e">
        <f>_xlfn.XLOOKUP(C699,'[1]Image URL'!$E:$E,'[1]Image URL'!$A:$A)</f>
        <v>#N/A</v>
      </c>
      <c r="C699">
        <v>4403103</v>
      </c>
      <c r="D699" t="s">
        <v>3392</v>
      </c>
      <c r="E699" t="s">
        <v>2974</v>
      </c>
      <c r="F699" t="s">
        <v>1864</v>
      </c>
      <c r="G699" t="s">
        <v>1389</v>
      </c>
      <c r="H699" t="s">
        <v>3393</v>
      </c>
      <c r="I699" t="s">
        <v>194</v>
      </c>
      <c r="J699" t="s">
        <v>195</v>
      </c>
      <c r="U699" t="s">
        <v>196</v>
      </c>
      <c r="V699" t="s">
        <v>1385</v>
      </c>
      <c r="W699">
        <v>77838859360</v>
      </c>
      <c r="X699">
        <v>10077838859367</v>
      </c>
      <c r="Y699" t="s">
        <v>3358</v>
      </c>
      <c r="Z699" t="s">
        <v>424</v>
      </c>
      <c r="AA699" t="s">
        <v>311</v>
      </c>
      <c r="AB699" t="s">
        <v>775</v>
      </c>
      <c r="AC699" t="s">
        <v>2506</v>
      </c>
      <c r="AD699" t="s">
        <v>479</v>
      </c>
      <c r="AE699" t="s">
        <v>185</v>
      </c>
      <c r="AF699" t="s">
        <v>164</v>
      </c>
      <c r="AG699">
        <v>392410.4</v>
      </c>
      <c r="AH699">
        <v>175</v>
      </c>
      <c r="AL699" t="s">
        <v>2061</v>
      </c>
      <c r="CC699" t="s">
        <v>1864</v>
      </c>
      <c r="DD699" t="s">
        <v>3092</v>
      </c>
      <c r="DE699" t="s">
        <v>145</v>
      </c>
    </row>
    <row r="700" spans="1:109" x14ac:dyDescent="0.25">
      <c r="A700" t="s">
        <v>3394</v>
      </c>
      <c r="B700" t="e">
        <f>_xlfn.XLOOKUP(C700,'[1]Image URL'!$E:$E,'[1]Image URL'!$A:$A)</f>
        <v>#N/A</v>
      </c>
      <c r="C700" t="s">
        <v>3607</v>
      </c>
      <c r="D700" t="s">
        <v>3395</v>
      </c>
      <c r="E700" t="s">
        <v>2898</v>
      </c>
      <c r="H700" t="s">
        <v>288</v>
      </c>
      <c r="J700" t="s">
        <v>212</v>
      </c>
      <c r="M700" t="s">
        <v>2986</v>
      </c>
      <c r="U700" t="s">
        <v>584</v>
      </c>
      <c r="V700" t="s">
        <v>157</v>
      </c>
      <c r="W700">
        <v>77838510605</v>
      </c>
      <c r="X700">
        <v>10077838010607</v>
      </c>
      <c r="Y700" t="s">
        <v>2987</v>
      </c>
      <c r="Z700" t="s">
        <v>2988</v>
      </c>
      <c r="AA700" t="s">
        <v>2893</v>
      </c>
      <c r="AB700" t="s">
        <v>1804</v>
      </c>
      <c r="AC700" t="s">
        <v>765</v>
      </c>
      <c r="AD700" t="s">
        <v>2903</v>
      </c>
      <c r="AE700" t="s">
        <v>403</v>
      </c>
      <c r="AF700" t="s">
        <v>456</v>
      </c>
      <c r="AG700">
        <v>392410.4</v>
      </c>
      <c r="AH700">
        <v>85</v>
      </c>
      <c r="AL700" t="s">
        <v>2922</v>
      </c>
      <c r="CC700" t="s">
        <v>2989</v>
      </c>
      <c r="CQ700" t="s">
        <v>334</v>
      </c>
    </row>
    <row r="701" spans="1:109" x14ac:dyDescent="0.25">
      <c r="A701" t="s">
        <v>3396</v>
      </c>
      <c r="B701" t="e">
        <f>_xlfn.XLOOKUP(C701,'[1]Image URL'!$E:$E,'[1]Image URL'!$A:$A)</f>
        <v>#N/A</v>
      </c>
      <c r="C701">
        <v>36207</v>
      </c>
      <c r="D701" t="s">
        <v>3397</v>
      </c>
      <c r="E701" t="s">
        <v>2869</v>
      </c>
      <c r="F701" t="s">
        <v>3013</v>
      </c>
      <c r="G701" t="s">
        <v>3013</v>
      </c>
      <c r="H701" t="s">
        <v>188</v>
      </c>
      <c r="J701" t="s">
        <v>212</v>
      </c>
      <c r="M701" t="s">
        <v>1940</v>
      </c>
      <c r="U701" t="s">
        <v>584</v>
      </c>
      <c r="V701" t="s">
        <v>157</v>
      </c>
      <c r="W701">
        <v>77838828458</v>
      </c>
      <c r="X701">
        <v>10077838828455</v>
      </c>
      <c r="Y701" t="s">
        <v>3249</v>
      </c>
      <c r="Z701" t="s">
        <v>2031</v>
      </c>
      <c r="AA701" t="s">
        <v>1580</v>
      </c>
      <c r="AB701" t="s">
        <v>1062</v>
      </c>
      <c r="AC701" t="s">
        <v>444</v>
      </c>
      <c r="AD701" t="s">
        <v>555</v>
      </c>
      <c r="AE701" t="s">
        <v>184</v>
      </c>
      <c r="AF701" t="s">
        <v>235</v>
      </c>
      <c r="AG701">
        <v>392410.4</v>
      </c>
      <c r="AH701">
        <v>100</v>
      </c>
      <c r="AL701" t="s">
        <v>399</v>
      </c>
      <c r="AN701" t="s">
        <v>3013</v>
      </c>
      <c r="CX701" t="s">
        <v>2947</v>
      </c>
    </row>
    <row r="702" spans="1:109" x14ac:dyDescent="0.25">
      <c r="A702" t="s">
        <v>3398</v>
      </c>
      <c r="B702" t="e">
        <f>_xlfn.XLOOKUP(C702,'[1]Image URL'!$E:$E,'[1]Image URL'!$A:$A)</f>
        <v>#N/A</v>
      </c>
      <c r="C702">
        <v>456007</v>
      </c>
      <c r="D702" t="s">
        <v>3400</v>
      </c>
      <c r="E702" t="s">
        <v>2878</v>
      </c>
      <c r="F702" t="s">
        <v>1526</v>
      </c>
      <c r="G702" t="s">
        <v>1526</v>
      </c>
      <c r="H702" t="s">
        <v>3011</v>
      </c>
      <c r="I702" t="s">
        <v>194</v>
      </c>
      <c r="J702" t="s">
        <v>195</v>
      </c>
      <c r="M702" t="s">
        <v>3068</v>
      </c>
      <c r="T702" t="s">
        <v>3069</v>
      </c>
      <c r="U702" t="s">
        <v>2854</v>
      </c>
      <c r="V702" t="s">
        <v>1385</v>
      </c>
      <c r="W702">
        <v>77838871461</v>
      </c>
      <c r="X702">
        <v>10077838871468</v>
      </c>
      <c r="Y702" t="s">
        <v>3070</v>
      </c>
      <c r="Z702" t="s">
        <v>632</v>
      </c>
      <c r="AA702" t="s">
        <v>2745</v>
      </c>
      <c r="AB702" t="s">
        <v>2745</v>
      </c>
      <c r="AC702" t="s">
        <v>1349</v>
      </c>
      <c r="AD702" t="s">
        <v>396</v>
      </c>
      <c r="AE702" t="s">
        <v>446</v>
      </c>
      <c r="AF702" t="s">
        <v>164</v>
      </c>
      <c r="AG702">
        <v>392410.4</v>
      </c>
      <c r="AH702">
        <v>100</v>
      </c>
      <c r="AL702" t="s">
        <v>3071</v>
      </c>
      <c r="AN702" t="s">
        <v>1526</v>
      </c>
    </row>
    <row r="703" spans="1:109" x14ac:dyDescent="0.25">
      <c r="A703" t="s">
        <v>3401</v>
      </c>
      <c r="B703" t="e">
        <f>_xlfn.XLOOKUP(C703,'[1]Image URL'!$E:$E,'[1]Image URL'!$A:$A)</f>
        <v>#N/A</v>
      </c>
      <c r="C703" t="s">
        <v>3623</v>
      </c>
      <c r="D703" t="s">
        <v>3402</v>
      </c>
      <c r="E703" t="s">
        <v>2898</v>
      </c>
      <c r="H703" t="s">
        <v>333</v>
      </c>
      <c r="J703" t="s">
        <v>212</v>
      </c>
      <c r="M703" t="s">
        <v>3403</v>
      </c>
      <c r="U703" t="s">
        <v>584</v>
      </c>
      <c r="V703" t="s">
        <v>157</v>
      </c>
      <c r="W703">
        <v>77838501900</v>
      </c>
      <c r="X703">
        <v>10077838001902</v>
      </c>
      <c r="Y703" t="s">
        <v>2968</v>
      </c>
      <c r="Z703" t="s">
        <v>1192</v>
      </c>
      <c r="AA703" t="s">
        <v>865</v>
      </c>
      <c r="AB703" t="s">
        <v>523</v>
      </c>
      <c r="AC703" t="s">
        <v>181</v>
      </c>
      <c r="AD703" t="s">
        <v>446</v>
      </c>
      <c r="AE703" t="s">
        <v>184</v>
      </c>
      <c r="AF703" t="s">
        <v>302</v>
      </c>
      <c r="AG703">
        <v>392410.4</v>
      </c>
      <c r="AH703">
        <v>92.5</v>
      </c>
      <c r="CC703" t="s">
        <v>1982</v>
      </c>
      <c r="CQ703" t="s">
        <v>1864</v>
      </c>
    </row>
    <row r="704" spans="1:109" x14ac:dyDescent="0.25">
      <c r="A704" t="s">
        <v>3404</v>
      </c>
      <c r="B704" t="e">
        <f>_xlfn.XLOOKUP(C704,'[1]Image URL'!$E:$E,'[1]Image URL'!$A:$A)</f>
        <v>#N/A</v>
      </c>
      <c r="C704">
        <v>331907</v>
      </c>
      <c r="D704" t="s">
        <v>3405</v>
      </c>
      <c r="E704" t="s">
        <v>2898</v>
      </c>
      <c r="H704" t="s">
        <v>583</v>
      </c>
      <c r="J704" t="s">
        <v>212</v>
      </c>
      <c r="M704" t="s">
        <v>2935</v>
      </c>
      <c r="U704" t="s">
        <v>584</v>
      </c>
      <c r="V704" t="s">
        <v>157</v>
      </c>
      <c r="W704">
        <v>77838510155</v>
      </c>
      <c r="X704">
        <v>10077838010157</v>
      </c>
      <c r="Y704" t="s">
        <v>2276</v>
      </c>
      <c r="Z704" t="s">
        <v>1440</v>
      </c>
      <c r="AA704" t="s">
        <v>421</v>
      </c>
      <c r="AB704" t="s">
        <v>1178</v>
      </c>
      <c r="AC704" t="s">
        <v>180</v>
      </c>
      <c r="AD704" t="s">
        <v>1942</v>
      </c>
      <c r="AE704" t="s">
        <v>303</v>
      </c>
      <c r="AF704" t="s">
        <v>456</v>
      </c>
      <c r="AG704">
        <v>392410.4</v>
      </c>
      <c r="AH704">
        <v>85</v>
      </c>
      <c r="CC704" t="s">
        <v>340</v>
      </c>
      <c r="CQ704" t="s">
        <v>575</v>
      </c>
    </row>
    <row r="705" spans="1:111" x14ac:dyDescent="0.25">
      <c r="A705" t="s">
        <v>3406</v>
      </c>
      <c r="B705" t="e">
        <f>_xlfn.XLOOKUP(C705,'[1]Image URL'!$E:$E,'[1]Image URL'!$A:$A)</f>
        <v>#N/A</v>
      </c>
      <c r="C705" t="s">
        <v>3631</v>
      </c>
      <c r="D705" t="s">
        <v>3407</v>
      </c>
      <c r="E705" t="s">
        <v>3408</v>
      </c>
      <c r="F705" t="s">
        <v>3409</v>
      </c>
      <c r="G705" t="s">
        <v>3409</v>
      </c>
      <c r="H705" t="s">
        <v>664</v>
      </c>
      <c r="I705" t="s">
        <v>194</v>
      </c>
      <c r="J705" t="s">
        <v>212</v>
      </c>
      <c r="U705" t="s">
        <v>2854</v>
      </c>
      <c r="V705" t="s">
        <v>157</v>
      </c>
      <c r="W705">
        <v>77838860052</v>
      </c>
      <c r="X705">
        <v>10077838860059</v>
      </c>
      <c r="Y705" t="s">
        <v>3173</v>
      </c>
      <c r="Z705" t="s">
        <v>1631</v>
      </c>
      <c r="AA705" t="s">
        <v>3410</v>
      </c>
      <c r="AB705" t="s">
        <v>188</v>
      </c>
      <c r="AC705" t="s">
        <v>991</v>
      </c>
      <c r="AD705" t="s">
        <v>162</v>
      </c>
      <c r="AE705" t="s">
        <v>496</v>
      </c>
      <c r="AF705" t="s">
        <v>235</v>
      </c>
      <c r="AG705">
        <v>392410.4</v>
      </c>
      <c r="AH705">
        <v>100</v>
      </c>
      <c r="AL705" t="s">
        <v>2189</v>
      </c>
      <c r="AM705" t="s">
        <v>1774</v>
      </c>
      <c r="AN705" t="s">
        <v>3409</v>
      </c>
      <c r="BS705" t="s">
        <v>3411</v>
      </c>
      <c r="CQ705" t="s">
        <v>3409</v>
      </c>
    </row>
    <row r="706" spans="1:111" x14ac:dyDescent="0.25">
      <c r="A706" t="s">
        <v>3412</v>
      </c>
      <c r="B706" t="e">
        <f>_xlfn.XLOOKUP(C706,'[1]Image URL'!$E:$E,'[1]Image URL'!$A:$A)</f>
        <v>#N/A</v>
      </c>
      <c r="C706">
        <v>41442</v>
      </c>
      <c r="D706" t="s">
        <v>3413</v>
      </c>
      <c r="E706" t="s">
        <v>3414</v>
      </c>
      <c r="F706" t="s">
        <v>152</v>
      </c>
      <c r="G706" t="s">
        <v>152</v>
      </c>
      <c r="H706" t="s">
        <v>3415</v>
      </c>
      <c r="I706" t="s">
        <v>194</v>
      </c>
      <c r="J706" t="s">
        <v>195</v>
      </c>
      <c r="U706" t="s">
        <v>196</v>
      </c>
      <c r="V706" t="s">
        <v>157</v>
      </c>
      <c r="W706">
        <v>77838518595</v>
      </c>
      <c r="X706">
        <v>10077838018597</v>
      </c>
      <c r="Y706" t="s">
        <v>2982</v>
      </c>
      <c r="Z706" t="s">
        <v>3416</v>
      </c>
      <c r="AA706" t="s">
        <v>1127</v>
      </c>
      <c r="AB706" t="s">
        <v>1484</v>
      </c>
      <c r="AC706" t="s">
        <v>1371</v>
      </c>
      <c r="AD706" t="s">
        <v>588</v>
      </c>
      <c r="AE706" t="s">
        <v>268</v>
      </c>
      <c r="AF706" t="s">
        <v>164</v>
      </c>
      <c r="AG706">
        <v>392410.4</v>
      </c>
      <c r="AH706">
        <v>175</v>
      </c>
      <c r="AL706" t="s">
        <v>197</v>
      </c>
      <c r="AM706" t="s">
        <v>2102</v>
      </c>
      <c r="BX706" t="s">
        <v>152</v>
      </c>
      <c r="CQ706" t="s">
        <v>1918</v>
      </c>
    </row>
    <row r="707" spans="1:111" x14ac:dyDescent="0.25">
      <c r="A707" t="s">
        <v>3417</v>
      </c>
      <c r="B707" t="e">
        <f>_xlfn.XLOOKUP(C707,'[1]Image URL'!$E:$E,'[1]Image URL'!$A:$A)</f>
        <v>#N/A</v>
      </c>
      <c r="C707">
        <v>41402</v>
      </c>
      <c r="D707" t="s">
        <v>3418</v>
      </c>
      <c r="E707" t="s">
        <v>3299</v>
      </c>
      <c r="F707" t="s">
        <v>386</v>
      </c>
      <c r="G707" t="s">
        <v>386</v>
      </c>
      <c r="H707" t="s">
        <v>1371</v>
      </c>
      <c r="I707" t="s">
        <v>194</v>
      </c>
      <c r="J707" t="s">
        <v>195</v>
      </c>
      <c r="M707" t="s">
        <v>3419</v>
      </c>
      <c r="T707" t="s">
        <v>1967</v>
      </c>
      <c r="U707" t="s">
        <v>196</v>
      </c>
      <c r="V707" t="s">
        <v>1385</v>
      </c>
      <c r="W707">
        <v>77838859216</v>
      </c>
      <c r="X707">
        <v>10077838859213</v>
      </c>
      <c r="Y707" t="s">
        <v>3023</v>
      </c>
      <c r="Z707" t="s">
        <v>3033</v>
      </c>
      <c r="AA707" t="s">
        <v>2312</v>
      </c>
      <c r="AB707" t="s">
        <v>421</v>
      </c>
      <c r="AC707" t="s">
        <v>1374</v>
      </c>
      <c r="AD707" t="s">
        <v>588</v>
      </c>
      <c r="AE707" t="s">
        <v>268</v>
      </c>
      <c r="AF707" t="s">
        <v>164</v>
      </c>
      <c r="AG707">
        <v>392410.4</v>
      </c>
      <c r="AH707">
        <v>175</v>
      </c>
      <c r="BH707" t="s">
        <v>1982</v>
      </c>
    </row>
    <row r="708" spans="1:111" x14ac:dyDescent="0.25">
      <c r="A708" t="s">
        <v>3420</v>
      </c>
      <c r="B708" t="e">
        <f>_xlfn.XLOOKUP(C708,'[1]Image URL'!$E:$E,'[1]Image URL'!$A:$A)</f>
        <v>#N/A</v>
      </c>
      <c r="C708" t="s">
        <v>3638</v>
      </c>
      <c r="D708" t="s">
        <v>3421</v>
      </c>
      <c r="E708" t="s">
        <v>3422</v>
      </c>
      <c r="F708" t="s">
        <v>1734</v>
      </c>
      <c r="G708" t="s">
        <v>1734</v>
      </c>
      <c r="H708" t="s">
        <v>3423</v>
      </c>
      <c r="J708" t="s">
        <v>195</v>
      </c>
      <c r="U708" t="s">
        <v>1459</v>
      </c>
      <c r="V708" t="s">
        <v>1385</v>
      </c>
      <c r="W708">
        <v>77838028902</v>
      </c>
      <c r="X708">
        <v>10077838028909</v>
      </c>
      <c r="Y708" t="s">
        <v>1125</v>
      </c>
      <c r="Z708" t="s">
        <v>2963</v>
      </c>
      <c r="AA708" t="s">
        <v>742</v>
      </c>
      <c r="AB708" t="s">
        <v>192</v>
      </c>
      <c r="AC708" t="s">
        <v>463</v>
      </c>
      <c r="AD708" t="s">
        <v>997</v>
      </c>
      <c r="AE708" t="s">
        <v>268</v>
      </c>
      <c r="AF708" t="s">
        <v>268</v>
      </c>
      <c r="AG708">
        <v>392410.4</v>
      </c>
      <c r="AH708">
        <v>65</v>
      </c>
      <c r="AM708" t="s">
        <v>2131</v>
      </c>
      <c r="BX708" t="s">
        <v>1734</v>
      </c>
    </row>
    <row r="709" spans="1:111" x14ac:dyDescent="0.25">
      <c r="A709" t="s">
        <v>3424</v>
      </c>
      <c r="B709" t="e">
        <f>_xlfn.XLOOKUP(C709,'[1]Image URL'!$E:$E,'[1]Image URL'!$A:$A)</f>
        <v>#N/A</v>
      </c>
      <c r="C709">
        <v>4312660</v>
      </c>
      <c r="D709" t="s">
        <v>3425</v>
      </c>
      <c r="E709" t="s">
        <v>3426</v>
      </c>
      <c r="F709" t="s">
        <v>2450</v>
      </c>
      <c r="G709" t="s">
        <v>2450</v>
      </c>
      <c r="H709" t="s">
        <v>413</v>
      </c>
      <c r="J709" t="s">
        <v>195</v>
      </c>
      <c r="U709" t="s">
        <v>1459</v>
      </c>
      <c r="V709" t="s">
        <v>1385</v>
      </c>
      <c r="W709">
        <v>77838811108</v>
      </c>
      <c r="X709">
        <v>10077838811105</v>
      </c>
      <c r="Y709" t="s">
        <v>3427</v>
      </c>
      <c r="Z709" t="s">
        <v>1141</v>
      </c>
      <c r="AA709" t="s">
        <v>421</v>
      </c>
      <c r="AB709" t="s">
        <v>332</v>
      </c>
      <c r="AC709" t="s">
        <v>361</v>
      </c>
      <c r="AD709" t="s">
        <v>1884</v>
      </c>
      <c r="AE709" t="s">
        <v>315</v>
      </c>
      <c r="AF709" t="s">
        <v>403</v>
      </c>
      <c r="AG709">
        <v>392410.4</v>
      </c>
      <c r="AH709">
        <v>70</v>
      </c>
      <c r="AM709" t="s">
        <v>847</v>
      </c>
      <c r="AN709" t="s">
        <v>2450</v>
      </c>
    </row>
    <row r="710" spans="1:111" x14ac:dyDescent="0.25">
      <c r="A710" t="s">
        <v>3428</v>
      </c>
      <c r="B710" t="e">
        <f>_xlfn.XLOOKUP(C710,'[1]Image URL'!$E:$E,'[1]Image URL'!$A:$A)</f>
        <v>#N/A</v>
      </c>
      <c r="C710">
        <v>41042</v>
      </c>
      <c r="D710" t="s">
        <v>3429</v>
      </c>
      <c r="E710" t="s">
        <v>3430</v>
      </c>
      <c r="F710" t="s">
        <v>334</v>
      </c>
      <c r="G710" t="s">
        <v>334</v>
      </c>
      <c r="H710" t="s">
        <v>334</v>
      </c>
      <c r="J710" t="s">
        <v>212</v>
      </c>
      <c r="U710" t="s">
        <v>584</v>
      </c>
      <c r="V710" t="s">
        <v>157</v>
      </c>
      <c r="W710">
        <v>77838253922</v>
      </c>
      <c r="X710">
        <v>10077838153922</v>
      </c>
      <c r="Y710" t="s">
        <v>452</v>
      </c>
      <c r="Z710" t="s">
        <v>2462</v>
      </c>
      <c r="AA710" t="s">
        <v>532</v>
      </c>
      <c r="AB710" t="s">
        <v>192</v>
      </c>
      <c r="AC710" t="s">
        <v>2210</v>
      </c>
      <c r="AD710" t="s">
        <v>975</v>
      </c>
      <c r="AE710" t="s">
        <v>507</v>
      </c>
      <c r="AF710" t="s">
        <v>164</v>
      </c>
      <c r="AG710">
        <v>392410.4</v>
      </c>
      <c r="AH710">
        <v>85</v>
      </c>
      <c r="AL710" t="s">
        <v>1682</v>
      </c>
      <c r="AM710" t="s">
        <v>3431</v>
      </c>
      <c r="CC710" t="s">
        <v>850</v>
      </c>
      <c r="CQ710" t="s">
        <v>3432</v>
      </c>
    </row>
    <row r="711" spans="1:111" x14ac:dyDescent="0.25">
      <c r="A711" t="s">
        <v>3433</v>
      </c>
      <c r="B711" t="e">
        <f>_xlfn.XLOOKUP(C711,'[1]Image URL'!$E:$E,'[1]Image URL'!$A:$A)</f>
        <v>#N/A</v>
      </c>
      <c r="C711">
        <v>4312342</v>
      </c>
      <c r="D711" t="s">
        <v>3435</v>
      </c>
      <c r="E711" t="s">
        <v>3436</v>
      </c>
      <c r="F711" t="s">
        <v>3437</v>
      </c>
      <c r="G711" t="s">
        <v>3437</v>
      </c>
      <c r="H711" t="s">
        <v>3438</v>
      </c>
      <c r="J711" t="s">
        <v>195</v>
      </c>
      <c r="U711" t="s">
        <v>1459</v>
      </c>
      <c r="V711" t="s">
        <v>1385</v>
      </c>
      <c r="W711">
        <v>77838113189</v>
      </c>
      <c r="X711">
        <v>10077838113186</v>
      </c>
      <c r="Y711" t="s">
        <v>3439</v>
      </c>
      <c r="Z711" t="s">
        <v>764</v>
      </c>
      <c r="AA711" t="s">
        <v>1374</v>
      </c>
      <c r="AB711" t="s">
        <v>152</v>
      </c>
      <c r="AC711" t="s">
        <v>324</v>
      </c>
      <c r="AD711" t="s">
        <v>3440</v>
      </c>
      <c r="AE711" t="s">
        <v>2903</v>
      </c>
      <c r="AF711" t="s">
        <v>185</v>
      </c>
      <c r="AG711">
        <v>392410.4</v>
      </c>
      <c r="AH711">
        <v>70</v>
      </c>
      <c r="AL711" t="s">
        <v>1645</v>
      </c>
      <c r="AM711" t="s">
        <v>508</v>
      </c>
      <c r="BX711" t="s">
        <v>3437</v>
      </c>
    </row>
    <row r="712" spans="1:111" x14ac:dyDescent="0.25">
      <c r="A712" t="s">
        <v>3441</v>
      </c>
      <c r="B712" t="e">
        <f>_xlfn.XLOOKUP(C712,'[1]Image URL'!$E:$E,'[1]Image URL'!$A:$A)</f>
        <v>#N/A</v>
      </c>
      <c r="C712">
        <v>911405</v>
      </c>
      <c r="D712" t="s">
        <v>3443</v>
      </c>
      <c r="E712" t="s">
        <v>3444</v>
      </c>
      <c r="F712" t="s">
        <v>2629</v>
      </c>
      <c r="G712" t="s">
        <v>2629</v>
      </c>
      <c r="H712" t="s">
        <v>186</v>
      </c>
      <c r="U712" t="s">
        <v>1459</v>
      </c>
      <c r="V712" t="s">
        <v>1385</v>
      </c>
      <c r="W712">
        <v>77838893364</v>
      </c>
      <c r="X712">
        <v>10077838893361</v>
      </c>
      <c r="Y712" t="s">
        <v>3445</v>
      </c>
      <c r="Z712" t="s">
        <v>764</v>
      </c>
      <c r="AA712" t="s">
        <v>3446</v>
      </c>
      <c r="AB712" t="s">
        <v>3446</v>
      </c>
      <c r="AC712" t="s">
        <v>3447</v>
      </c>
      <c r="AD712" t="s">
        <v>234</v>
      </c>
      <c r="AE712" t="s">
        <v>163</v>
      </c>
      <c r="AF712" t="s">
        <v>235</v>
      </c>
      <c r="AG712">
        <v>392410.4</v>
      </c>
      <c r="AH712">
        <v>65</v>
      </c>
      <c r="AL712" t="s">
        <v>1645</v>
      </c>
      <c r="CC712" t="s">
        <v>2629</v>
      </c>
      <c r="CX712" t="s">
        <v>201</v>
      </c>
    </row>
    <row r="713" spans="1:111" x14ac:dyDescent="0.25">
      <c r="A713" t="s">
        <v>3448</v>
      </c>
      <c r="B713" t="e">
        <f>_xlfn.XLOOKUP(C713,'[1]Image URL'!$E:$E,'[1]Image URL'!$A:$A)</f>
        <v>#N/A</v>
      </c>
      <c r="C713">
        <v>650467</v>
      </c>
      <c r="D713" t="s">
        <v>3450</v>
      </c>
      <c r="E713" t="s">
        <v>3444</v>
      </c>
      <c r="F713" t="s">
        <v>2629</v>
      </c>
      <c r="G713" t="s">
        <v>2629</v>
      </c>
      <c r="H713" t="s">
        <v>186</v>
      </c>
      <c r="U713" t="s">
        <v>1459</v>
      </c>
      <c r="V713" t="s">
        <v>1385</v>
      </c>
      <c r="W713">
        <v>77838892152</v>
      </c>
      <c r="X713">
        <v>10077838892159</v>
      </c>
      <c r="Y713" t="s">
        <v>3445</v>
      </c>
      <c r="Z713" t="s">
        <v>764</v>
      </c>
      <c r="AA713" t="s">
        <v>3446</v>
      </c>
      <c r="AB713" t="s">
        <v>3446</v>
      </c>
      <c r="AC713" t="s">
        <v>3447</v>
      </c>
      <c r="AD713" t="s">
        <v>234</v>
      </c>
      <c r="AE713" t="s">
        <v>163</v>
      </c>
      <c r="AF713" t="s">
        <v>235</v>
      </c>
      <c r="AG713">
        <v>392410.4</v>
      </c>
      <c r="AH713">
        <v>65</v>
      </c>
      <c r="AL713" t="s">
        <v>1645</v>
      </c>
      <c r="CC713" t="s">
        <v>2629</v>
      </c>
      <c r="CX713" t="s">
        <v>201</v>
      </c>
    </row>
    <row r="714" spans="1:111" x14ac:dyDescent="0.25">
      <c r="A714" t="s">
        <v>3451</v>
      </c>
      <c r="B714" t="e">
        <f>_xlfn.XLOOKUP(C714,'[1]Image URL'!$E:$E,'[1]Image URL'!$A:$A)</f>
        <v>#N/A</v>
      </c>
      <c r="C714">
        <v>41242</v>
      </c>
      <c r="D714" t="s">
        <v>3452</v>
      </c>
      <c r="E714" t="s">
        <v>3453</v>
      </c>
      <c r="F714" t="s">
        <v>211</v>
      </c>
      <c r="G714" t="s">
        <v>211</v>
      </c>
      <c r="H714" t="s">
        <v>392</v>
      </c>
      <c r="I714" t="s">
        <v>194</v>
      </c>
      <c r="J714" t="s">
        <v>212</v>
      </c>
      <c r="U714" t="s">
        <v>217</v>
      </c>
      <c r="V714" t="s">
        <v>157</v>
      </c>
      <c r="W714">
        <v>77838504789</v>
      </c>
      <c r="X714">
        <v>10077838004781</v>
      </c>
      <c r="Y714" t="s">
        <v>3454</v>
      </c>
      <c r="Z714" t="s">
        <v>424</v>
      </c>
      <c r="AA714" t="s">
        <v>3455</v>
      </c>
      <c r="AB714" t="s">
        <v>1990</v>
      </c>
      <c r="AC714" t="s">
        <v>530</v>
      </c>
      <c r="AD714" t="s">
        <v>479</v>
      </c>
      <c r="AE714" t="s">
        <v>164</v>
      </c>
      <c r="AF714" t="s">
        <v>185</v>
      </c>
      <c r="AG714">
        <v>392410.4</v>
      </c>
      <c r="AH714">
        <v>175</v>
      </c>
      <c r="AL714" t="s">
        <v>1320</v>
      </c>
      <c r="AN714" t="s">
        <v>211</v>
      </c>
      <c r="CC714" t="s">
        <v>324</v>
      </c>
    </row>
    <row r="715" spans="1:111" x14ac:dyDescent="0.25">
      <c r="A715" t="s">
        <v>3456</v>
      </c>
      <c r="B715" t="e">
        <f>_xlfn.XLOOKUP(C715,'[1]Image URL'!$E:$E,'[1]Image URL'!$A:$A)</f>
        <v>#N/A</v>
      </c>
      <c r="C715" t="s">
        <v>3659</v>
      </c>
      <c r="D715" t="s">
        <v>3457</v>
      </c>
      <c r="E715" t="s">
        <v>3458</v>
      </c>
      <c r="F715" t="s">
        <v>3459</v>
      </c>
      <c r="G715" t="s">
        <v>3459</v>
      </c>
      <c r="H715" t="s">
        <v>3460</v>
      </c>
      <c r="J715" t="s">
        <v>195</v>
      </c>
      <c r="U715" t="s">
        <v>1459</v>
      </c>
      <c r="V715" t="s">
        <v>1385</v>
      </c>
      <c r="W715">
        <v>77838269091</v>
      </c>
      <c r="X715">
        <v>10077838169091</v>
      </c>
      <c r="Y715" t="s">
        <v>3461</v>
      </c>
      <c r="Z715" t="s">
        <v>1560</v>
      </c>
      <c r="AA715" t="s">
        <v>865</v>
      </c>
      <c r="AB715" t="s">
        <v>1273</v>
      </c>
      <c r="AC715" t="s">
        <v>288</v>
      </c>
      <c r="AD715" t="s">
        <v>3462</v>
      </c>
      <c r="AE715" t="s">
        <v>635</v>
      </c>
      <c r="AF715" t="s">
        <v>268</v>
      </c>
      <c r="AG715">
        <v>392410.4</v>
      </c>
      <c r="AH715">
        <v>65</v>
      </c>
      <c r="AL715" t="s">
        <v>1943</v>
      </c>
      <c r="AM715" t="s">
        <v>3463</v>
      </c>
      <c r="AN715" t="s">
        <v>3459</v>
      </c>
    </row>
    <row r="716" spans="1:111" x14ac:dyDescent="0.25">
      <c r="A716" t="s">
        <v>3464</v>
      </c>
      <c r="B716" t="e">
        <f>_xlfn.XLOOKUP(C716,'[1]Image URL'!$E:$E,'[1]Image URL'!$A:$A)</f>
        <v>#N/A</v>
      </c>
      <c r="C716">
        <v>602500</v>
      </c>
      <c r="D716" t="s">
        <v>3465</v>
      </c>
      <c r="E716" t="s">
        <v>3426</v>
      </c>
      <c r="F716" t="s">
        <v>2450</v>
      </c>
      <c r="G716" t="s">
        <v>2450</v>
      </c>
      <c r="H716" t="s">
        <v>413</v>
      </c>
      <c r="J716" t="s">
        <v>195</v>
      </c>
      <c r="U716" t="s">
        <v>1459</v>
      </c>
      <c r="V716" t="s">
        <v>1385</v>
      </c>
      <c r="W716">
        <v>77838811092</v>
      </c>
      <c r="X716">
        <v>10077838811099</v>
      </c>
      <c r="Y716" t="s">
        <v>3427</v>
      </c>
      <c r="Z716" t="s">
        <v>1141</v>
      </c>
      <c r="AA716" t="s">
        <v>421</v>
      </c>
      <c r="AB716" t="s">
        <v>332</v>
      </c>
      <c r="AC716" t="s">
        <v>361</v>
      </c>
      <c r="AD716" t="s">
        <v>1884</v>
      </c>
      <c r="AE716" t="s">
        <v>315</v>
      </c>
      <c r="AF716" t="s">
        <v>403</v>
      </c>
      <c r="AG716">
        <v>392410.4</v>
      </c>
      <c r="AH716">
        <v>70</v>
      </c>
      <c r="AM716" t="s">
        <v>847</v>
      </c>
      <c r="AN716" t="s">
        <v>2450</v>
      </c>
    </row>
    <row r="717" spans="1:111" x14ac:dyDescent="0.25">
      <c r="A717" t="s">
        <v>3466</v>
      </c>
      <c r="B717" t="e">
        <f>_xlfn.XLOOKUP(C717,'[1]Image URL'!$E:$E,'[1]Image URL'!$A:$A)</f>
        <v>#N/A</v>
      </c>
      <c r="C717">
        <v>84507</v>
      </c>
      <c r="D717" t="s">
        <v>3467</v>
      </c>
      <c r="E717" t="s">
        <v>3468</v>
      </c>
      <c r="F717" t="s">
        <v>394</v>
      </c>
      <c r="G717" t="s">
        <v>374</v>
      </c>
      <c r="H717" t="s">
        <v>193</v>
      </c>
      <c r="J717" t="s">
        <v>195</v>
      </c>
      <c r="U717" t="s">
        <v>1459</v>
      </c>
      <c r="V717" t="s">
        <v>1385</v>
      </c>
      <c r="W717">
        <v>77838200490</v>
      </c>
      <c r="X717">
        <v>10077838200497</v>
      </c>
      <c r="Y717" t="s">
        <v>240</v>
      </c>
      <c r="Z717" t="s">
        <v>746</v>
      </c>
      <c r="AA717" t="s">
        <v>145</v>
      </c>
      <c r="AB717" t="s">
        <v>3469</v>
      </c>
      <c r="AC717" t="s">
        <v>145</v>
      </c>
      <c r="AD717" t="s">
        <v>183</v>
      </c>
      <c r="AE717" t="s">
        <v>184</v>
      </c>
      <c r="AF717" t="s">
        <v>185</v>
      </c>
      <c r="AG717">
        <v>392410.4</v>
      </c>
      <c r="AH717">
        <v>65</v>
      </c>
      <c r="AM717" t="s">
        <v>1202</v>
      </c>
      <c r="BZ717" t="s">
        <v>1575</v>
      </c>
      <c r="CA717" t="s">
        <v>374</v>
      </c>
      <c r="DF717" t="s">
        <v>847</v>
      </c>
    </row>
    <row r="718" spans="1:111" x14ac:dyDescent="0.25">
      <c r="A718" t="s">
        <v>3470</v>
      </c>
      <c r="B718" t="e">
        <f>_xlfn.XLOOKUP(C718,'[1]Image URL'!$E:$E,'[1]Image URL'!$A:$A)</f>
        <v>#N/A</v>
      </c>
      <c r="C718">
        <v>650409</v>
      </c>
      <c r="D718" t="s">
        <v>3472</v>
      </c>
      <c r="E718" t="s">
        <v>3473</v>
      </c>
      <c r="F718" t="s">
        <v>3011</v>
      </c>
      <c r="G718" t="s">
        <v>1864</v>
      </c>
      <c r="H718" t="s">
        <v>3474</v>
      </c>
      <c r="J718" t="s">
        <v>195</v>
      </c>
      <c r="U718" t="s">
        <v>1459</v>
      </c>
      <c r="V718" t="s">
        <v>1385</v>
      </c>
      <c r="W718">
        <v>77838807798</v>
      </c>
      <c r="X718">
        <v>10077838807795</v>
      </c>
      <c r="Y718" t="s">
        <v>3445</v>
      </c>
      <c r="Z718" t="s">
        <v>1348</v>
      </c>
      <c r="AA718" t="s">
        <v>995</v>
      </c>
      <c r="AB718" t="s">
        <v>160</v>
      </c>
      <c r="AC718" t="s">
        <v>707</v>
      </c>
      <c r="AD718" t="s">
        <v>3475</v>
      </c>
      <c r="AE718" t="s">
        <v>1113</v>
      </c>
      <c r="AF718" t="s">
        <v>246</v>
      </c>
      <c r="AG718">
        <v>392410.4</v>
      </c>
      <c r="AH718">
        <v>60</v>
      </c>
      <c r="AL718" t="s">
        <v>1645</v>
      </c>
      <c r="AM718" t="s">
        <v>1202</v>
      </c>
    </row>
    <row r="719" spans="1:111" x14ac:dyDescent="0.25">
      <c r="A719" t="s">
        <v>3476</v>
      </c>
      <c r="B719" t="e">
        <f>_xlfn.XLOOKUP(C719,'[1]Image URL'!$E:$E,'[1]Image URL'!$A:$A)</f>
        <v>#N/A</v>
      </c>
      <c r="C719">
        <v>47505</v>
      </c>
      <c r="D719" t="s">
        <v>3478</v>
      </c>
      <c r="E719" t="s">
        <v>3444</v>
      </c>
      <c r="F719" t="s">
        <v>334</v>
      </c>
      <c r="G719" t="s">
        <v>334</v>
      </c>
      <c r="H719" t="s">
        <v>413</v>
      </c>
      <c r="U719" t="s">
        <v>1459</v>
      </c>
      <c r="V719" t="s">
        <v>1385</v>
      </c>
      <c r="W719">
        <v>77838893630</v>
      </c>
      <c r="X719">
        <v>10077838893637</v>
      </c>
      <c r="Y719" t="s">
        <v>3281</v>
      </c>
      <c r="Z719" t="s">
        <v>1701</v>
      </c>
      <c r="AA719" t="s">
        <v>1485</v>
      </c>
      <c r="AB719" t="s">
        <v>288</v>
      </c>
      <c r="AC719" t="s">
        <v>1674</v>
      </c>
      <c r="AD719" t="s">
        <v>234</v>
      </c>
      <c r="AE719" t="s">
        <v>163</v>
      </c>
      <c r="AF719" t="s">
        <v>235</v>
      </c>
      <c r="AG719">
        <v>392410.4</v>
      </c>
      <c r="AH719">
        <v>70</v>
      </c>
      <c r="AL719" t="s">
        <v>205</v>
      </c>
      <c r="CC719" t="s">
        <v>334</v>
      </c>
      <c r="CX719" t="s">
        <v>186</v>
      </c>
    </row>
    <row r="720" spans="1:111" x14ac:dyDescent="0.25">
      <c r="A720" t="s">
        <v>3479</v>
      </c>
      <c r="B720" t="e">
        <f>_xlfn.XLOOKUP(C720,'[1]Image URL'!$E:$E,'[1]Image URL'!$A:$A)</f>
        <v>#N/A</v>
      </c>
      <c r="C720" t="s">
        <v>3679</v>
      </c>
      <c r="D720" t="s">
        <v>3480</v>
      </c>
      <c r="E720" t="s">
        <v>3481</v>
      </c>
      <c r="F720" t="s">
        <v>3482</v>
      </c>
      <c r="G720" t="s">
        <v>994</v>
      </c>
      <c r="H720" t="s">
        <v>1374</v>
      </c>
      <c r="U720" t="s">
        <v>217</v>
      </c>
      <c r="V720" t="s">
        <v>1385</v>
      </c>
      <c r="W720">
        <v>77838893708</v>
      </c>
      <c r="X720">
        <v>10077838893705</v>
      </c>
      <c r="Y720" t="s">
        <v>240</v>
      </c>
      <c r="Z720" t="s">
        <v>1844</v>
      </c>
      <c r="AA720" t="s">
        <v>3110</v>
      </c>
      <c r="AB720" t="s">
        <v>668</v>
      </c>
      <c r="AC720" t="s">
        <v>523</v>
      </c>
      <c r="AD720" t="s">
        <v>203</v>
      </c>
      <c r="AE720" t="s">
        <v>315</v>
      </c>
      <c r="AF720" t="s">
        <v>302</v>
      </c>
      <c r="AG720">
        <v>940180.40009999997</v>
      </c>
      <c r="AH720">
        <v>175</v>
      </c>
      <c r="AL720" t="s">
        <v>3483</v>
      </c>
      <c r="DG720" t="s">
        <v>3484</v>
      </c>
    </row>
    <row r="721" spans="1:112" x14ac:dyDescent="0.25">
      <c r="A721" t="s">
        <v>3485</v>
      </c>
      <c r="B721" t="e">
        <f>_xlfn.XLOOKUP(C721,'[1]Image URL'!$E:$E,'[1]Image URL'!$A:$A)</f>
        <v>#N/A</v>
      </c>
      <c r="C721">
        <v>70703</v>
      </c>
      <c r="D721" t="s">
        <v>3487</v>
      </c>
      <c r="E721" t="s">
        <v>3444</v>
      </c>
      <c r="F721" t="s">
        <v>334</v>
      </c>
      <c r="G721" t="s">
        <v>334</v>
      </c>
      <c r="H721" t="s">
        <v>413</v>
      </c>
      <c r="U721" t="s">
        <v>1459</v>
      </c>
      <c r="V721" t="s">
        <v>1385</v>
      </c>
      <c r="W721">
        <v>77838893524</v>
      </c>
      <c r="X721">
        <v>10077838893521</v>
      </c>
      <c r="Y721" t="s">
        <v>3488</v>
      </c>
      <c r="Z721" t="s">
        <v>680</v>
      </c>
      <c r="AA721" t="s">
        <v>3489</v>
      </c>
      <c r="AB721" t="s">
        <v>3489</v>
      </c>
      <c r="AC721" t="s">
        <v>3490</v>
      </c>
      <c r="AD721" t="s">
        <v>634</v>
      </c>
      <c r="AE721" t="s">
        <v>479</v>
      </c>
      <c r="AF721" t="s">
        <v>235</v>
      </c>
      <c r="AG721">
        <v>392410.4</v>
      </c>
      <c r="AH721">
        <v>70</v>
      </c>
      <c r="AL721" t="s">
        <v>205</v>
      </c>
      <c r="CC721" t="s">
        <v>334</v>
      </c>
      <c r="CX721" t="s">
        <v>186</v>
      </c>
    </row>
    <row r="722" spans="1:112" x14ac:dyDescent="0.25">
      <c r="A722" t="s">
        <v>3491</v>
      </c>
      <c r="B722" t="e">
        <f>_xlfn.XLOOKUP(C722,'[1]Image URL'!$E:$E,'[1]Image URL'!$A:$A)</f>
        <v>#N/A</v>
      </c>
      <c r="C722">
        <v>4312642</v>
      </c>
      <c r="D722" t="s">
        <v>3492</v>
      </c>
      <c r="E722" t="s">
        <v>3493</v>
      </c>
      <c r="H722" t="s">
        <v>3494</v>
      </c>
      <c r="J722" t="s">
        <v>212</v>
      </c>
      <c r="U722" t="s">
        <v>584</v>
      </c>
      <c r="V722" t="s">
        <v>157</v>
      </c>
      <c r="W722">
        <v>77838000366</v>
      </c>
      <c r="X722">
        <v>10077838000363</v>
      </c>
      <c r="Y722" t="s">
        <v>665</v>
      </c>
      <c r="Z722" t="s">
        <v>2277</v>
      </c>
      <c r="AA722" t="s">
        <v>3495</v>
      </c>
      <c r="AB722" t="s">
        <v>220</v>
      </c>
      <c r="AC722" t="s">
        <v>462</v>
      </c>
      <c r="AD722" t="s">
        <v>1562</v>
      </c>
      <c r="AE722" t="s">
        <v>1113</v>
      </c>
      <c r="AF722" t="s">
        <v>302</v>
      </c>
      <c r="AG722">
        <v>392410.2</v>
      </c>
      <c r="AH722">
        <v>175</v>
      </c>
      <c r="AM722" t="s">
        <v>3496</v>
      </c>
      <c r="CC722" t="s">
        <v>334</v>
      </c>
      <c r="CQ722" t="s">
        <v>550</v>
      </c>
    </row>
    <row r="723" spans="1:112" x14ac:dyDescent="0.25">
      <c r="A723" t="s">
        <v>3497</v>
      </c>
      <c r="B723" t="e">
        <f>_xlfn.XLOOKUP(C723,'[1]Image URL'!$E:$E,'[1]Image URL'!$A:$A)</f>
        <v>#N/A</v>
      </c>
      <c r="C723" t="s">
        <v>3694</v>
      </c>
      <c r="D723" t="s">
        <v>3499</v>
      </c>
      <c r="E723" t="s">
        <v>3444</v>
      </c>
      <c r="F723" t="s">
        <v>334</v>
      </c>
      <c r="G723" t="s">
        <v>334</v>
      </c>
      <c r="H723" t="s">
        <v>413</v>
      </c>
      <c r="U723" t="s">
        <v>1459</v>
      </c>
      <c r="V723" t="s">
        <v>1385</v>
      </c>
      <c r="W723">
        <v>77838892169</v>
      </c>
      <c r="X723">
        <v>10077838892166</v>
      </c>
      <c r="Y723" t="s">
        <v>3500</v>
      </c>
      <c r="Z723" t="s">
        <v>1966</v>
      </c>
      <c r="AA723" t="s">
        <v>2218</v>
      </c>
      <c r="AB723" t="s">
        <v>332</v>
      </c>
      <c r="AC723" t="s">
        <v>145</v>
      </c>
      <c r="AD723" t="s">
        <v>669</v>
      </c>
      <c r="AE723" t="s">
        <v>314</v>
      </c>
      <c r="AF723" t="s">
        <v>268</v>
      </c>
      <c r="AG723">
        <v>392410.4</v>
      </c>
      <c r="AH723">
        <v>65</v>
      </c>
      <c r="AL723" t="s">
        <v>205</v>
      </c>
      <c r="CC723" t="s">
        <v>334</v>
      </c>
      <c r="CX723" t="s">
        <v>186</v>
      </c>
    </row>
    <row r="724" spans="1:112" x14ac:dyDescent="0.25">
      <c r="A724" t="s">
        <v>3501</v>
      </c>
      <c r="B724" t="e">
        <f>_xlfn.XLOOKUP(C724,'[1]Image URL'!$E:$E,'[1]Image URL'!$A:$A)</f>
        <v>#N/A</v>
      </c>
      <c r="C724" t="s">
        <v>3697</v>
      </c>
      <c r="D724" t="s">
        <v>3503</v>
      </c>
      <c r="E724" t="s">
        <v>3444</v>
      </c>
      <c r="F724" t="s">
        <v>334</v>
      </c>
      <c r="G724" t="s">
        <v>334</v>
      </c>
      <c r="H724" t="s">
        <v>413</v>
      </c>
      <c r="U724" t="s">
        <v>1459</v>
      </c>
      <c r="V724" t="s">
        <v>1385</v>
      </c>
      <c r="W724">
        <v>77838893418</v>
      </c>
      <c r="X724">
        <v>10077838893415</v>
      </c>
      <c r="Y724" t="s">
        <v>3281</v>
      </c>
      <c r="Z724" t="s">
        <v>1701</v>
      </c>
      <c r="AA724" t="s">
        <v>1485</v>
      </c>
      <c r="AB724" t="s">
        <v>288</v>
      </c>
      <c r="AC724" t="s">
        <v>1674</v>
      </c>
      <c r="AD724" t="s">
        <v>234</v>
      </c>
      <c r="AE724" t="s">
        <v>163</v>
      </c>
      <c r="AF724" t="s">
        <v>235</v>
      </c>
      <c r="AG724">
        <v>392410.4</v>
      </c>
      <c r="AH724">
        <v>65</v>
      </c>
      <c r="AL724" t="s">
        <v>205</v>
      </c>
      <c r="CC724" t="s">
        <v>334</v>
      </c>
      <c r="CX724" t="s">
        <v>186</v>
      </c>
    </row>
    <row r="725" spans="1:112" x14ac:dyDescent="0.25">
      <c r="A725" t="s">
        <v>3504</v>
      </c>
      <c r="B725" t="e">
        <f>_xlfn.XLOOKUP(C725,'[1]Image URL'!$E:$E,'[1]Image URL'!$A:$A)</f>
        <v>#N/A</v>
      </c>
      <c r="C725">
        <v>36228</v>
      </c>
      <c r="D725" t="s">
        <v>3505</v>
      </c>
      <c r="E725" t="s">
        <v>3506</v>
      </c>
      <c r="F725" t="s">
        <v>288</v>
      </c>
      <c r="G725" t="s">
        <v>691</v>
      </c>
      <c r="H725" t="s">
        <v>345</v>
      </c>
      <c r="U725" t="s">
        <v>3507</v>
      </c>
      <c r="V725" t="s">
        <v>157</v>
      </c>
      <c r="W725">
        <v>77838506073</v>
      </c>
      <c r="X725">
        <v>10077838006075</v>
      </c>
      <c r="Y725" t="s">
        <v>3508</v>
      </c>
      <c r="Z725" t="s">
        <v>3509</v>
      </c>
      <c r="AA725" t="s">
        <v>598</v>
      </c>
      <c r="AB725" t="s">
        <v>1812</v>
      </c>
      <c r="AC725" t="s">
        <v>866</v>
      </c>
      <c r="AD725" t="s">
        <v>647</v>
      </c>
      <c r="AE725" t="s">
        <v>315</v>
      </c>
      <c r="AF725" t="s">
        <v>185</v>
      </c>
      <c r="AG725">
        <v>392410.4</v>
      </c>
      <c r="AH725">
        <v>92.5</v>
      </c>
      <c r="AL725" t="s">
        <v>971</v>
      </c>
    </row>
    <row r="726" spans="1:112" x14ac:dyDescent="0.25">
      <c r="A726" t="s">
        <v>3510</v>
      </c>
      <c r="B726" t="e">
        <f>_xlfn.XLOOKUP(C726,'[1]Image URL'!$E:$E,'[1]Image URL'!$A:$A)</f>
        <v>#N/A</v>
      </c>
      <c r="C726">
        <v>70729</v>
      </c>
      <c r="D726" t="s">
        <v>3512</v>
      </c>
      <c r="E726" t="s">
        <v>3444</v>
      </c>
      <c r="F726" t="s">
        <v>2450</v>
      </c>
      <c r="G726" t="s">
        <v>2450</v>
      </c>
      <c r="H726" t="s">
        <v>3513</v>
      </c>
      <c r="J726" t="s">
        <v>195</v>
      </c>
      <c r="U726" t="s">
        <v>1459</v>
      </c>
      <c r="V726" t="s">
        <v>1385</v>
      </c>
      <c r="W726">
        <v>77838173343</v>
      </c>
      <c r="X726">
        <v>10077838173340</v>
      </c>
      <c r="Y726" t="s">
        <v>3514</v>
      </c>
      <c r="Z726" t="s">
        <v>1560</v>
      </c>
      <c r="AA726" t="s">
        <v>1714</v>
      </c>
      <c r="AB726" t="s">
        <v>361</v>
      </c>
      <c r="AC726" t="s">
        <v>361</v>
      </c>
      <c r="AD726" t="s">
        <v>234</v>
      </c>
      <c r="AE726" t="s">
        <v>314</v>
      </c>
      <c r="AF726" t="s">
        <v>349</v>
      </c>
      <c r="AG726">
        <v>392410.4</v>
      </c>
      <c r="AH726">
        <v>65</v>
      </c>
      <c r="AL726" t="s">
        <v>1533</v>
      </c>
      <c r="AM726" t="s">
        <v>411</v>
      </c>
      <c r="CQ726" t="s">
        <v>201</v>
      </c>
      <c r="DH726" t="s">
        <v>1575</v>
      </c>
    </row>
    <row r="727" spans="1:112" x14ac:dyDescent="0.25">
      <c r="A727" t="s">
        <v>3515</v>
      </c>
      <c r="B727" t="e">
        <f>_xlfn.XLOOKUP(C727,'[1]Image URL'!$E:$E,'[1]Image URL'!$A:$A)</f>
        <v>#N/A</v>
      </c>
      <c r="C727" t="s">
        <v>3704</v>
      </c>
      <c r="D727" t="s">
        <v>3516</v>
      </c>
      <c r="E727" t="s">
        <v>3517</v>
      </c>
      <c r="F727" t="s">
        <v>374</v>
      </c>
      <c r="G727" t="s">
        <v>374</v>
      </c>
      <c r="H727" t="s">
        <v>3518</v>
      </c>
      <c r="J727" t="s">
        <v>195</v>
      </c>
      <c r="U727" t="s">
        <v>1459</v>
      </c>
      <c r="V727" t="s">
        <v>1385</v>
      </c>
      <c r="W727">
        <v>77838273739</v>
      </c>
      <c r="X727">
        <v>10077838173739</v>
      </c>
      <c r="Y727" t="s">
        <v>452</v>
      </c>
      <c r="Z727" t="s">
        <v>1631</v>
      </c>
      <c r="AA727" t="s">
        <v>1932</v>
      </c>
      <c r="AB727" t="s">
        <v>1367</v>
      </c>
      <c r="AC727" t="s">
        <v>530</v>
      </c>
      <c r="AD727" t="s">
        <v>3346</v>
      </c>
      <c r="AE727" t="s">
        <v>1113</v>
      </c>
      <c r="AF727" t="s">
        <v>268</v>
      </c>
      <c r="AG727">
        <v>392410.4</v>
      </c>
      <c r="AH727">
        <v>65</v>
      </c>
      <c r="AL727" t="s">
        <v>3271</v>
      </c>
      <c r="AM727" t="s">
        <v>3519</v>
      </c>
      <c r="AN727" t="s">
        <v>374</v>
      </c>
    </row>
    <row r="728" spans="1:112" x14ac:dyDescent="0.25">
      <c r="A728" t="s">
        <v>3520</v>
      </c>
      <c r="B728" t="e">
        <f>_xlfn.XLOOKUP(C728,'[1]Image URL'!$E:$E,'[1]Image URL'!$A:$A)</f>
        <v>#N/A</v>
      </c>
      <c r="C728">
        <v>84502</v>
      </c>
      <c r="D728" t="s">
        <v>3522</v>
      </c>
      <c r="E728" t="s">
        <v>3523</v>
      </c>
      <c r="F728" t="s">
        <v>2450</v>
      </c>
      <c r="G728" t="s">
        <v>2450</v>
      </c>
      <c r="H728" t="s">
        <v>3513</v>
      </c>
      <c r="J728" t="s">
        <v>195</v>
      </c>
      <c r="U728" t="s">
        <v>1459</v>
      </c>
      <c r="V728" t="s">
        <v>1385</v>
      </c>
      <c r="W728">
        <v>77838209196</v>
      </c>
      <c r="X728">
        <v>10077838109196</v>
      </c>
      <c r="Y728" t="s">
        <v>3514</v>
      </c>
      <c r="Z728" t="s">
        <v>1560</v>
      </c>
      <c r="AA728" t="s">
        <v>1714</v>
      </c>
      <c r="AB728" t="s">
        <v>361</v>
      </c>
      <c r="AC728" t="s">
        <v>361</v>
      </c>
      <c r="AD728" t="s">
        <v>234</v>
      </c>
      <c r="AE728" t="s">
        <v>314</v>
      </c>
      <c r="AF728" t="s">
        <v>349</v>
      </c>
      <c r="AG728">
        <v>392410.4</v>
      </c>
      <c r="AH728">
        <v>65</v>
      </c>
      <c r="AL728" t="s">
        <v>1533</v>
      </c>
      <c r="AM728" t="s">
        <v>411</v>
      </c>
      <c r="CQ728" t="s">
        <v>201</v>
      </c>
      <c r="DH728" t="s">
        <v>1575</v>
      </c>
    </row>
    <row r="729" spans="1:112" x14ac:dyDescent="0.25">
      <c r="A729" t="s">
        <v>3524</v>
      </c>
      <c r="B729" t="e">
        <f>_xlfn.XLOOKUP(C729,'[1]Image URL'!$E:$E,'[1]Image URL'!$A:$A)</f>
        <v>#N/A</v>
      </c>
      <c r="C729" t="s">
        <v>3710</v>
      </c>
      <c r="D729" t="s">
        <v>3525</v>
      </c>
      <c r="E729" t="s">
        <v>3526</v>
      </c>
      <c r="F729" t="s">
        <v>2866</v>
      </c>
      <c r="G729" t="s">
        <v>2866</v>
      </c>
      <c r="H729" t="s">
        <v>3513</v>
      </c>
      <c r="J729" t="s">
        <v>212</v>
      </c>
      <c r="U729" t="s">
        <v>584</v>
      </c>
      <c r="V729" t="s">
        <v>1385</v>
      </c>
      <c r="W729">
        <v>77838267509</v>
      </c>
      <c r="X729">
        <v>10077838167509</v>
      </c>
      <c r="Y729" t="s">
        <v>218</v>
      </c>
      <c r="Z729" t="s">
        <v>844</v>
      </c>
      <c r="AA729" t="s">
        <v>394</v>
      </c>
      <c r="AB729" t="s">
        <v>329</v>
      </c>
      <c r="AC729" t="s">
        <v>536</v>
      </c>
      <c r="AD729" t="s">
        <v>3462</v>
      </c>
      <c r="AE729" t="s">
        <v>1113</v>
      </c>
      <c r="AF729" t="s">
        <v>185</v>
      </c>
      <c r="AG729">
        <v>392410.4</v>
      </c>
      <c r="AH729">
        <v>70</v>
      </c>
      <c r="AL729" t="s">
        <v>2032</v>
      </c>
      <c r="AM729" t="s">
        <v>411</v>
      </c>
      <c r="BX729" t="s">
        <v>2866</v>
      </c>
    </row>
    <row r="730" spans="1:112" x14ac:dyDescent="0.25">
      <c r="A730" t="s">
        <v>3527</v>
      </c>
      <c r="B730" t="e">
        <f>_xlfn.XLOOKUP(C730,'[1]Image URL'!$E:$E,'[1]Image URL'!$A:$A)</f>
        <v>#N/A</v>
      </c>
      <c r="C730" t="s">
        <v>3713</v>
      </c>
      <c r="D730" t="s">
        <v>3529</v>
      </c>
      <c r="E730" t="s">
        <v>3436</v>
      </c>
      <c r="F730" t="s">
        <v>3437</v>
      </c>
      <c r="G730" t="s">
        <v>3437</v>
      </c>
      <c r="H730" t="s">
        <v>3438</v>
      </c>
      <c r="J730" t="s">
        <v>195</v>
      </c>
      <c r="U730" t="s">
        <v>1459</v>
      </c>
      <c r="V730" t="s">
        <v>1385</v>
      </c>
      <c r="W730">
        <v>77838213209</v>
      </c>
      <c r="X730">
        <v>10077838113209</v>
      </c>
      <c r="Y730" t="s">
        <v>3439</v>
      </c>
      <c r="Z730" t="s">
        <v>764</v>
      </c>
      <c r="AA730" t="s">
        <v>1374</v>
      </c>
      <c r="AB730" t="s">
        <v>152</v>
      </c>
      <c r="AC730" t="s">
        <v>324</v>
      </c>
      <c r="AD730" t="s">
        <v>3440</v>
      </c>
      <c r="AE730" t="s">
        <v>2903</v>
      </c>
      <c r="AF730" t="s">
        <v>185</v>
      </c>
      <c r="AG730">
        <v>392410.4</v>
      </c>
      <c r="AH730">
        <v>70</v>
      </c>
      <c r="AL730" t="s">
        <v>1645</v>
      </c>
      <c r="AM730" t="s">
        <v>508</v>
      </c>
      <c r="BX730" t="s">
        <v>3437</v>
      </c>
    </row>
    <row r="731" spans="1:112" x14ac:dyDescent="0.25">
      <c r="A731" t="s">
        <v>3530</v>
      </c>
      <c r="B731" t="e">
        <f>_xlfn.XLOOKUP(C731,'[1]Image URL'!$E:$E,'[1]Image URL'!$A:$A)</f>
        <v>#N/A</v>
      </c>
      <c r="C731">
        <v>83007</v>
      </c>
      <c r="D731" t="s">
        <v>3532</v>
      </c>
      <c r="E731" t="s">
        <v>3444</v>
      </c>
      <c r="F731" t="s">
        <v>334</v>
      </c>
      <c r="G731" t="s">
        <v>334</v>
      </c>
      <c r="H731" t="s">
        <v>413</v>
      </c>
      <c r="U731" t="s">
        <v>1459</v>
      </c>
      <c r="V731" t="s">
        <v>1385</v>
      </c>
      <c r="W731">
        <v>77838893548</v>
      </c>
      <c r="X731">
        <v>10077838893545</v>
      </c>
      <c r="Y731" t="s">
        <v>3488</v>
      </c>
      <c r="Z731" t="s">
        <v>680</v>
      </c>
      <c r="AA731" t="s">
        <v>3489</v>
      </c>
      <c r="AB731" t="s">
        <v>3489</v>
      </c>
      <c r="AC731" t="s">
        <v>3490</v>
      </c>
      <c r="AD731" t="s">
        <v>634</v>
      </c>
      <c r="AE731" t="s">
        <v>479</v>
      </c>
      <c r="AF731" t="s">
        <v>235</v>
      </c>
      <c r="AG731">
        <v>392410.4</v>
      </c>
      <c r="AH731">
        <v>70</v>
      </c>
      <c r="AL731" t="s">
        <v>205</v>
      </c>
      <c r="CC731" t="s">
        <v>334</v>
      </c>
      <c r="CX731" t="s">
        <v>186</v>
      </c>
    </row>
    <row r="732" spans="1:112" x14ac:dyDescent="0.25">
      <c r="A732" t="s">
        <v>3533</v>
      </c>
      <c r="B732" t="e">
        <f>_xlfn.XLOOKUP(C732,'[1]Image URL'!$E:$E,'[1]Image URL'!$A:$A)</f>
        <v>#N/A</v>
      </c>
      <c r="C732">
        <v>71003</v>
      </c>
      <c r="D732" t="s">
        <v>3534</v>
      </c>
      <c r="E732" t="s">
        <v>3458</v>
      </c>
      <c r="F732" t="s">
        <v>3459</v>
      </c>
      <c r="G732" t="s">
        <v>3459</v>
      </c>
      <c r="H732" t="s">
        <v>3460</v>
      </c>
      <c r="J732" t="s">
        <v>195</v>
      </c>
      <c r="U732" t="s">
        <v>1459</v>
      </c>
      <c r="V732" t="s">
        <v>1385</v>
      </c>
      <c r="W732">
        <v>77838276211</v>
      </c>
      <c r="X732">
        <v>10077838176211</v>
      </c>
      <c r="Y732" t="s">
        <v>3461</v>
      </c>
      <c r="Z732" t="s">
        <v>1560</v>
      </c>
      <c r="AA732" t="s">
        <v>865</v>
      </c>
      <c r="AB732" t="s">
        <v>1273</v>
      </c>
      <c r="AC732" t="s">
        <v>288</v>
      </c>
      <c r="AD732" t="s">
        <v>3462</v>
      </c>
      <c r="AE732" t="s">
        <v>635</v>
      </c>
      <c r="AF732" t="s">
        <v>268</v>
      </c>
      <c r="AG732">
        <v>392410.4</v>
      </c>
      <c r="AH732">
        <v>65</v>
      </c>
      <c r="AL732" t="s">
        <v>1943</v>
      </c>
      <c r="AM732" t="s">
        <v>3463</v>
      </c>
      <c r="AN732" t="s">
        <v>3459</v>
      </c>
    </row>
    <row r="733" spans="1:112" x14ac:dyDescent="0.25">
      <c r="A733" t="s">
        <v>3535</v>
      </c>
      <c r="B733" t="e">
        <f>_xlfn.XLOOKUP(C733,'[1]Image URL'!$E:$E,'[1]Image URL'!$A:$A)</f>
        <v>#N/A</v>
      </c>
      <c r="C733" t="s">
        <v>3727</v>
      </c>
      <c r="D733" t="s">
        <v>3536</v>
      </c>
      <c r="E733" t="s">
        <v>3517</v>
      </c>
      <c r="F733" t="s">
        <v>374</v>
      </c>
      <c r="G733" t="s">
        <v>374</v>
      </c>
      <c r="H733" t="s">
        <v>3518</v>
      </c>
      <c r="J733" t="s">
        <v>195</v>
      </c>
      <c r="U733" t="s">
        <v>1459</v>
      </c>
      <c r="V733" t="s">
        <v>1385</v>
      </c>
      <c r="W733">
        <v>77838676202</v>
      </c>
      <c r="X733">
        <v>10077838176204</v>
      </c>
      <c r="Y733" t="s">
        <v>452</v>
      </c>
      <c r="Z733" t="s">
        <v>1631</v>
      </c>
      <c r="AA733" t="s">
        <v>1932</v>
      </c>
      <c r="AB733" t="s">
        <v>1367</v>
      </c>
      <c r="AC733" t="s">
        <v>530</v>
      </c>
      <c r="AD733" t="s">
        <v>3346</v>
      </c>
      <c r="AE733" t="s">
        <v>1113</v>
      </c>
      <c r="AF733" t="s">
        <v>268</v>
      </c>
      <c r="AG733">
        <v>392410.4</v>
      </c>
      <c r="AH733">
        <v>65</v>
      </c>
      <c r="AL733" t="s">
        <v>3271</v>
      </c>
      <c r="AM733" t="s">
        <v>3519</v>
      </c>
      <c r="AN733" t="s">
        <v>374</v>
      </c>
    </row>
    <row r="734" spans="1:112" x14ac:dyDescent="0.25">
      <c r="A734" t="s">
        <v>3537</v>
      </c>
      <c r="B734" t="e">
        <f>_xlfn.XLOOKUP(C734,'[1]Image URL'!$E:$E,'[1]Image URL'!$A:$A)</f>
        <v>#N/A</v>
      </c>
      <c r="C734">
        <v>84402</v>
      </c>
      <c r="D734" t="s">
        <v>3538</v>
      </c>
      <c r="E734" t="s">
        <v>3539</v>
      </c>
      <c r="F734" t="s">
        <v>575</v>
      </c>
      <c r="G734" t="s">
        <v>575</v>
      </c>
      <c r="H734" t="s">
        <v>193</v>
      </c>
      <c r="J734" t="s">
        <v>212</v>
      </c>
      <c r="U734" t="s">
        <v>584</v>
      </c>
      <c r="V734" t="s">
        <v>157</v>
      </c>
      <c r="W734">
        <v>77838201800</v>
      </c>
      <c r="X734">
        <v>10077838001803</v>
      </c>
      <c r="Y734" t="s">
        <v>1265</v>
      </c>
      <c r="Z734" t="s">
        <v>1084</v>
      </c>
      <c r="AA734" t="s">
        <v>192</v>
      </c>
      <c r="AB734" t="s">
        <v>866</v>
      </c>
      <c r="AC734" t="s">
        <v>1136</v>
      </c>
      <c r="AD734" t="s">
        <v>3540</v>
      </c>
      <c r="AE734" t="s">
        <v>496</v>
      </c>
      <c r="AF734" t="s">
        <v>349</v>
      </c>
      <c r="AG734">
        <v>392410.4</v>
      </c>
      <c r="AH734">
        <v>85</v>
      </c>
      <c r="AM734" t="s">
        <v>3541</v>
      </c>
      <c r="CC734" t="s">
        <v>575</v>
      </c>
      <c r="CQ734" t="s">
        <v>2181</v>
      </c>
    </row>
    <row r="735" spans="1:112" x14ac:dyDescent="0.25">
      <c r="A735" t="s">
        <v>3542</v>
      </c>
      <c r="B735" t="e">
        <f>_xlfn.XLOOKUP(C735,'[1]Image URL'!$E:$E,'[1]Image URL'!$A:$A)</f>
        <v>#N/A</v>
      </c>
      <c r="C735">
        <v>652403</v>
      </c>
      <c r="D735" t="s">
        <v>3543</v>
      </c>
      <c r="E735" t="s">
        <v>3526</v>
      </c>
      <c r="F735" t="s">
        <v>3474</v>
      </c>
      <c r="G735" t="s">
        <v>3474</v>
      </c>
      <c r="H735" t="s">
        <v>3544</v>
      </c>
      <c r="J735" t="s">
        <v>212</v>
      </c>
      <c r="U735" t="s">
        <v>584</v>
      </c>
      <c r="V735" t="s">
        <v>1385</v>
      </c>
      <c r="W735">
        <v>77838267455</v>
      </c>
      <c r="X735">
        <v>10077838167455</v>
      </c>
      <c r="Y735" t="s">
        <v>218</v>
      </c>
      <c r="Z735" t="s">
        <v>1386</v>
      </c>
      <c r="AA735" t="s">
        <v>192</v>
      </c>
      <c r="AB735" t="s">
        <v>188</v>
      </c>
      <c r="AC735" t="s">
        <v>329</v>
      </c>
      <c r="AD735" t="s">
        <v>634</v>
      </c>
      <c r="AE735" t="s">
        <v>163</v>
      </c>
      <c r="AF735" t="s">
        <v>185</v>
      </c>
      <c r="AG735">
        <v>392410.4</v>
      </c>
      <c r="AH735">
        <v>70</v>
      </c>
      <c r="AL735" t="s">
        <v>2032</v>
      </c>
      <c r="AM735" t="s">
        <v>847</v>
      </c>
      <c r="BX735" t="s">
        <v>3474</v>
      </c>
    </row>
    <row r="736" spans="1:112" x14ac:dyDescent="0.25">
      <c r="A736" t="s">
        <v>3545</v>
      </c>
      <c r="B736" t="e">
        <f>_xlfn.XLOOKUP(C736,'[1]Image URL'!$E:$E,'[1]Image URL'!$A:$A)</f>
        <v>#N/A</v>
      </c>
      <c r="C736">
        <v>652603</v>
      </c>
      <c r="D736" t="s">
        <v>3547</v>
      </c>
      <c r="E736" t="s">
        <v>3548</v>
      </c>
      <c r="F736" t="s">
        <v>374</v>
      </c>
      <c r="G736" t="s">
        <v>201</v>
      </c>
      <c r="H736" t="s">
        <v>186</v>
      </c>
      <c r="J736" t="s">
        <v>195</v>
      </c>
      <c r="U736" t="s">
        <v>1459</v>
      </c>
      <c r="V736" t="s">
        <v>1385</v>
      </c>
      <c r="W736">
        <v>77838685419</v>
      </c>
      <c r="X736">
        <v>10077838185411</v>
      </c>
      <c r="Y736" t="s">
        <v>3549</v>
      </c>
      <c r="Z736" t="s">
        <v>505</v>
      </c>
      <c r="AA736" t="s">
        <v>2676</v>
      </c>
      <c r="AB736" t="s">
        <v>288</v>
      </c>
      <c r="AC736" t="s">
        <v>211</v>
      </c>
      <c r="AD736" t="s">
        <v>555</v>
      </c>
      <c r="AE736" t="s">
        <v>184</v>
      </c>
      <c r="AF736" t="s">
        <v>235</v>
      </c>
      <c r="AG736">
        <v>392410.4</v>
      </c>
      <c r="AH736">
        <v>100</v>
      </c>
      <c r="AL736" t="s">
        <v>350</v>
      </c>
      <c r="AM736" t="s">
        <v>847</v>
      </c>
    </row>
    <row r="737" spans="1:113" x14ac:dyDescent="0.25">
      <c r="A737" t="s">
        <v>3550</v>
      </c>
      <c r="B737" t="e">
        <f>_xlfn.XLOOKUP(C737,'[1]Image URL'!$E:$E,'[1]Image URL'!$A:$A)</f>
        <v>#N/A</v>
      </c>
      <c r="C737">
        <v>87542</v>
      </c>
      <c r="D737" t="s">
        <v>3551</v>
      </c>
      <c r="E737" t="s">
        <v>3552</v>
      </c>
      <c r="F737" t="s">
        <v>1982</v>
      </c>
      <c r="G737" t="s">
        <v>1982</v>
      </c>
      <c r="H737" t="s">
        <v>186</v>
      </c>
      <c r="J737" t="s">
        <v>195</v>
      </c>
      <c r="U737" t="s">
        <v>1459</v>
      </c>
      <c r="V737" t="s">
        <v>1385</v>
      </c>
      <c r="W737">
        <v>77838811160</v>
      </c>
      <c r="X737">
        <v>10077838811167</v>
      </c>
      <c r="Y737" t="s">
        <v>304</v>
      </c>
      <c r="Z737" t="s">
        <v>2462</v>
      </c>
      <c r="AA737" t="s">
        <v>2055</v>
      </c>
      <c r="AB737" t="s">
        <v>3553</v>
      </c>
      <c r="AC737" t="s">
        <v>410</v>
      </c>
      <c r="AD737" t="s">
        <v>183</v>
      </c>
      <c r="AE737" t="s">
        <v>184</v>
      </c>
      <c r="AF737" t="s">
        <v>185</v>
      </c>
      <c r="AG737">
        <v>392410.4</v>
      </c>
      <c r="AH737">
        <v>70</v>
      </c>
      <c r="AL737" t="s">
        <v>1790</v>
      </c>
      <c r="AM737" t="s">
        <v>1202</v>
      </c>
      <c r="AN737" t="s">
        <v>1982</v>
      </c>
    </row>
    <row r="738" spans="1:113" x14ac:dyDescent="0.25">
      <c r="A738" t="s">
        <v>3554</v>
      </c>
      <c r="B738" t="e">
        <f>_xlfn.XLOOKUP(C738,'[1]Image URL'!$E:$E,'[1]Image URL'!$A:$A)</f>
        <v>#N/A</v>
      </c>
      <c r="C738">
        <v>47005</v>
      </c>
      <c r="D738" t="s">
        <v>3556</v>
      </c>
      <c r="E738" t="s">
        <v>3523</v>
      </c>
      <c r="F738" t="s">
        <v>2450</v>
      </c>
      <c r="G738" t="s">
        <v>2450</v>
      </c>
      <c r="H738" t="s">
        <v>3513</v>
      </c>
      <c r="J738" t="s">
        <v>195</v>
      </c>
      <c r="U738" t="s">
        <v>1459</v>
      </c>
      <c r="V738" t="s">
        <v>1385</v>
      </c>
      <c r="W738">
        <v>77838033579</v>
      </c>
      <c r="X738">
        <v>10077838033576</v>
      </c>
      <c r="Y738" t="s">
        <v>3514</v>
      </c>
      <c r="Z738" t="s">
        <v>1560</v>
      </c>
      <c r="AA738" t="s">
        <v>1714</v>
      </c>
      <c r="AB738" t="s">
        <v>361</v>
      </c>
      <c r="AC738" t="s">
        <v>361</v>
      </c>
      <c r="AD738" t="s">
        <v>234</v>
      </c>
      <c r="AE738" t="s">
        <v>314</v>
      </c>
      <c r="AF738" t="s">
        <v>349</v>
      </c>
      <c r="AG738">
        <v>392410.4</v>
      </c>
      <c r="AH738">
        <v>65</v>
      </c>
      <c r="AL738" t="s">
        <v>1533</v>
      </c>
      <c r="AM738" t="s">
        <v>411</v>
      </c>
      <c r="CQ738" t="s">
        <v>201</v>
      </c>
      <c r="DH738" t="s">
        <v>1575</v>
      </c>
    </row>
    <row r="739" spans="1:113" x14ac:dyDescent="0.25">
      <c r="A739" t="s">
        <v>3557</v>
      </c>
      <c r="B739" t="e">
        <f>_xlfn.XLOOKUP(C739,'[1]Image URL'!$E:$E,'[1]Image URL'!$A:$A)</f>
        <v>#N/A</v>
      </c>
      <c r="C739">
        <v>86002</v>
      </c>
      <c r="D739" t="s">
        <v>3559</v>
      </c>
      <c r="E739" t="s">
        <v>3444</v>
      </c>
      <c r="F739" t="s">
        <v>334</v>
      </c>
      <c r="G739" t="s">
        <v>334</v>
      </c>
      <c r="H739" t="s">
        <v>413</v>
      </c>
      <c r="U739" t="s">
        <v>1459</v>
      </c>
      <c r="V739" t="s">
        <v>1385</v>
      </c>
      <c r="W739">
        <v>77838893555</v>
      </c>
      <c r="X739">
        <v>10077838893552</v>
      </c>
      <c r="Y739" t="s">
        <v>3488</v>
      </c>
      <c r="Z739" t="s">
        <v>680</v>
      </c>
      <c r="AA739" t="s">
        <v>3489</v>
      </c>
      <c r="AB739" t="s">
        <v>3489</v>
      </c>
      <c r="AC739" t="s">
        <v>3490</v>
      </c>
      <c r="AD739" t="s">
        <v>634</v>
      </c>
      <c r="AE739" t="s">
        <v>479</v>
      </c>
      <c r="AF739" t="s">
        <v>235</v>
      </c>
      <c r="AG739">
        <v>392410.4</v>
      </c>
      <c r="AH739">
        <v>70</v>
      </c>
      <c r="AL739" t="s">
        <v>205</v>
      </c>
      <c r="CC739" t="s">
        <v>334</v>
      </c>
      <c r="CX739" t="s">
        <v>186</v>
      </c>
    </row>
    <row r="740" spans="1:113" x14ac:dyDescent="0.25">
      <c r="A740" t="s">
        <v>3560</v>
      </c>
      <c r="B740" t="e">
        <f>_xlfn.XLOOKUP(C740,'[1]Image URL'!$E:$E,'[1]Image URL'!$A:$A)</f>
        <v>#N/A</v>
      </c>
      <c r="C740">
        <v>455003</v>
      </c>
      <c r="D740" t="s">
        <v>3562</v>
      </c>
      <c r="E740" t="s">
        <v>3473</v>
      </c>
      <c r="F740" t="s">
        <v>3011</v>
      </c>
      <c r="G740" t="s">
        <v>1864</v>
      </c>
      <c r="H740" t="s">
        <v>3474</v>
      </c>
      <c r="J740" t="s">
        <v>195</v>
      </c>
      <c r="U740" t="s">
        <v>1459</v>
      </c>
      <c r="V740" t="s">
        <v>1385</v>
      </c>
      <c r="W740">
        <v>77838807811</v>
      </c>
      <c r="X740">
        <v>10077838807818</v>
      </c>
      <c r="Y740" t="s">
        <v>3445</v>
      </c>
      <c r="Z740" t="s">
        <v>1348</v>
      </c>
      <c r="AA740" t="s">
        <v>995</v>
      </c>
      <c r="AB740" t="s">
        <v>160</v>
      </c>
      <c r="AC740" t="s">
        <v>707</v>
      </c>
      <c r="AD740" t="s">
        <v>3475</v>
      </c>
      <c r="AE740" t="s">
        <v>1113</v>
      </c>
      <c r="AF740" t="s">
        <v>246</v>
      </c>
      <c r="AG740">
        <v>392410.4</v>
      </c>
      <c r="AH740">
        <v>60</v>
      </c>
      <c r="AL740" t="s">
        <v>1645</v>
      </c>
      <c r="AM740" t="s">
        <v>1202</v>
      </c>
    </row>
    <row r="741" spans="1:113" x14ac:dyDescent="0.25">
      <c r="A741" t="s">
        <v>3563</v>
      </c>
      <c r="B741" t="e">
        <f>_xlfn.XLOOKUP(C741,'[1]Image URL'!$E:$E,'[1]Image URL'!$A:$A)</f>
        <v>#N/A</v>
      </c>
      <c r="C741">
        <v>609131</v>
      </c>
      <c r="E741" t="s">
        <v>3444</v>
      </c>
      <c r="F741" t="s">
        <v>334</v>
      </c>
      <c r="G741" t="s">
        <v>334</v>
      </c>
      <c r="H741" t="s">
        <v>413</v>
      </c>
      <c r="U741" t="s">
        <v>1459</v>
      </c>
      <c r="V741" t="s">
        <v>1385</v>
      </c>
      <c r="W741">
        <v>77838893760</v>
      </c>
      <c r="X741">
        <v>10077838893767</v>
      </c>
      <c r="Y741" t="s">
        <v>3500</v>
      </c>
      <c r="Z741" t="s">
        <v>1966</v>
      </c>
      <c r="AA741" t="s">
        <v>2218</v>
      </c>
      <c r="AB741" t="s">
        <v>332</v>
      </c>
      <c r="AC741" t="s">
        <v>145</v>
      </c>
      <c r="AD741" t="s">
        <v>669</v>
      </c>
      <c r="AE741" t="s">
        <v>314</v>
      </c>
      <c r="AF741" t="s">
        <v>268</v>
      </c>
      <c r="AG741">
        <v>392410.4</v>
      </c>
      <c r="AH741">
        <v>65</v>
      </c>
      <c r="AL741" t="s">
        <v>205</v>
      </c>
      <c r="CC741" t="s">
        <v>334</v>
      </c>
      <c r="CX741" t="s">
        <v>186</v>
      </c>
    </row>
    <row r="742" spans="1:113" x14ac:dyDescent="0.25">
      <c r="A742" t="s">
        <v>3565</v>
      </c>
      <c r="B742" t="e">
        <f>_xlfn.XLOOKUP(C742,'[1]Image URL'!$E:$E,'[1]Image URL'!$A:$A)</f>
        <v>#N/A</v>
      </c>
      <c r="C742">
        <v>911414</v>
      </c>
      <c r="D742" t="s">
        <v>3566</v>
      </c>
      <c r="E742" t="s">
        <v>3567</v>
      </c>
      <c r="F742" t="s">
        <v>1420</v>
      </c>
      <c r="G742" t="s">
        <v>1420</v>
      </c>
      <c r="H742" t="s">
        <v>412</v>
      </c>
      <c r="I742" t="s">
        <v>194</v>
      </c>
      <c r="J742" t="s">
        <v>148</v>
      </c>
      <c r="U742" t="s">
        <v>217</v>
      </c>
      <c r="V742" t="s">
        <v>157</v>
      </c>
      <c r="W742">
        <v>77838189122</v>
      </c>
      <c r="X742">
        <v>10077838189129</v>
      </c>
      <c r="Y742" t="s">
        <v>3568</v>
      </c>
      <c r="Z742" t="s">
        <v>3569</v>
      </c>
      <c r="AA742" t="s">
        <v>1812</v>
      </c>
      <c r="AB742" t="s">
        <v>518</v>
      </c>
      <c r="AC742" t="s">
        <v>1226</v>
      </c>
      <c r="AD742" t="s">
        <v>455</v>
      </c>
      <c r="AE742" t="s">
        <v>315</v>
      </c>
      <c r="AF742" t="s">
        <v>456</v>
      </c>
      <c r="AG742">
        <v>392410.4</v>
      </c>
      <c r="AH742">
        <v>175</v>
      </c>
      <c r="AL742" t="s">
        <v>3570</v>
      </c>
      <c r="AN742" t="s">
        <v>1420</v>
      </c>
    </row>
    <row r="743" spans="1:113" x14ac:dyDescent="0.25">
      <c r="A743" t="s">
        <v>3571</v>
      </c>
      <c r="B743" t="e">
        <f>_xlfn.XLOOKUP(C743,'[1]Image URL'!$E:$E,'[1]Image URL'!$A:$A)</f>
        <v>#N/A</v>
      </c>
      <c r="C743">
        <v>602400</v>
      </c>
      <c r="D743" t="s">
        <v>3573</v>
      </c>
      <c r="E743" t="s">
        <v>3473</v>
      </c>
      <c r="F743" t="s">
        <v>3011</v>
      </c>
      <c r="G743" t="s">
        <v>1864</v>
      </c>
      <c r="H743" t="s">
        <v>3474</v>
      </c>
      <c r="J743" t="s">
        <v>195</v>
      </c>
      <c r="U743" t="s">
        <v>1459</v>
      </c>
      <c r="V743" t="s">
        <v>1385</v>
      </c>
      <c r="W743">
        <v>77838807804</v>
      </c>
      <c r="X743">
        <v>10077838807801</v>
      </c>
      <c r="Y743" t="s">
        <v>3445</v>
      </c>
      <c r="Z743" t="s">
        <v>1348</v>
      </c>
      <c r="AA743" t="s">
        <v>995</v>
      </c>
      <c r="AB743" t="s">
        <v>160</v>
      </c>
      <c r="AC743" t="s">
        <v>707</v>
      </c>
      <c r="AD743" t="s">
        <v>3475</v>
      </c>
      <c r="AE743" t="s">
        <v>1113</v>
      </c>
      <c r="AF743" t="s">
        <v>246</v>
      </c>
      <c r="AG743">
        <v>392410.4</v>
      </c>
      <c r="AH743">
        <v>60</v>
      </c>
      <c r="AL743" t="s">
        <v>1645</v>
      </c>
      <c r="AM743" t="s">
        <v>1202</v>
      </c>
    </row>
    <row r="744" spans="1:113" x14ac:dyDescent="0.25">
      <c r="A744" t="s">
        <v>3574</v>
      </c>
      <c r="B744" t="e">
        <f>_xlfn.XLOOKUP(C744,'[1]Image URL'!$E:$E,'[1]Image URL'!$A:$A)</f>
        <v>#N/A</v>
      </c>
      <c r="C744" t="s">
        <v>3774</v>
      </c>
      <c r="D744" t="s">
        <v>3516</v>
      </c>
      <c r="E744" t="s">
        <v>3517</v>
      </c>
      <c r="F744" t="s">
        <v>374</v>
      </c>
      <c r="G744" t="s">
        <v>374</v>
      </c>
      <c r="H744" t="s">
        <v>3518</v>
      </c>
      <c r="J744" t="s">
        <v>195</v>
      </c>
      <c r="U744" t="s">
        <v>1459</v>
      </c>
      <c r="V744" t="s">
        <v>1385</v>
      </c>
      <c r="W744">
        <v>77838273739</v>
      </c>
      <c r="X744">
        <v>10077838173739</v>
      </c>
      <c r="Y744" t="s">
        <v>452</v>
      </c>
      <c r="Z744" t="s">
        <v>1631</v>
      </c>
      <c r="AA744" t="s">
        <v>1932</v>
      </c>
      <c r="AB744" t="s">
        <v>1367</v>
      </c>
      <c r="AC744" t="s">
        <v>530</v>
      </c>
      <c r="AD744" t="s">
        <v>3346</v>
      </c>
      <c r="AE744" t="s">
        <v>1113</v>
      </c>
      <c r="AF744" t="s">
        <v>268</v>
      </c>
      <c r="AG744">
        <v>392410.4</v>
      </c>
      <c r="AH744">
        <v>65</v>
      </c>
      <c r="AL744" t="s">
        <v>3271</v>
      </c>
      <c r="AM744" t="s">
        <v>3519</v>
      </c>
      <c r="AN744" t="s">
        <v>374</v>
      </c>
    </row>
    <row r="745" spans="1:113" x14ac:dyDescent="0.25">
      <c r="A745" t="s">
        <v>3575</v>
      </c>
      <c r="B745" t="e">
        <f>_xlfn.XLOOKUP(C745,'[1]Image URL'!$E:$E,'[1]Image URL'!$A:$A)</f>
        <v>#N/A</v>
      </c>
      <c r="C745" t="s">
        <v>3777</v>
      </c>
      <c r="D745" t="s">
        <v>3576</v>
      </c>
      <c r="E745" t="s">
        <v>3526</v>
      </c>
      <c r="F745" t="s">
        <v>3437</v>
      </c>
      <c r="G745" t="s">
        <v>3437</v>
      </c>
      <c r="H745" t="s">
        <v>3513</v>
      </c>
      <c r="J745" t="s">
        <v>212</v>
      </c>
      <c r="U745" t="s">
        <v>584</v>
      </c>
      <c r="V745" t="s">
        <v>1385</v>
      </c>
      <c r="W745">
        <v>77838267417</v>
      </c>
      <c r="X745">
        <v>10077838167417</v>
      </c>
      <c r="Y745" t="s">
        <v>3173</v>
      </c>
      <c r="Z745" t="s">
        <v>505</v>
      </c>
      <c r="AA745" t="s">
        <v>3410</v>
      </c>
      <c r="AB745" t="s">
        <v>1388</v>
      </c>
      <c r="AC745" t="s">
        <v>3312</v>
      </c>
      <c r="AD745" t="s">
        <v>3174</v>
      </c>
      <c r="AE745" t="s">
        <v>426</v>
      </c>
      <c r="AF745" t="s">
        <v>185</v>
      </c>
      <c r="AG745">
        <v>392410.4</v>
      </c>
      <c r="AH745">
        <v>85</v>
      </c>
      <c r="AL745" t="s">
        <v>3577</v>
      </c>
      <c r="AM745" t="s">
        <v>508</v>
      </c>
      <c r="BX745" t="s">
        <v>3437</v>
      </c>
    </row>
    <row r="746" spans="1:113" x14ac:dyDescent="0.25">
      <c r="A746" t="s">
        <v>3578</v>
      </c>
      <c r="B746" t="e">
        <f>_xlfn.XLOOKUP(C746,'[1]Image URL'!$E:$E,'[1]Image URL'!$A:$A)</f>
        <v>#N/A</v>
      </c>
      <c r="C746">
        <v>130060</v>
      </c>
      <c r="D746" t="s">
        <v>3580</v>
      </c>
      <c r="E746" t="s">
        <v>3444</v>
      </c>
      <c r="F746" t="s">
        <v>2629</v>
      </c>
      <c r="G746" t="s">
        <v>2629</v>
      </c>
      <c r="H746" t="s">
        <v>186</v>
      </c>
      <c r="U746" t="s">
        <v>1459</v>
      </c>
      <c r="V746" t="s">
        <v>1385</v>
      </c>
      <c r="W746">
        <v>77838892145</v>
      </c>
      <c r="X746">
        <v>10077838892142</v>
      </c>
      <c r="Y746" t="s">
        <v>3500</v>
      </c>
      <c r="Z746" t="s">
        <v>1966</v>
      </c>
      <c r="AA746" t="s">
        <v>2218</v>
      </c>
      <c r="AB746" t="s">
        <v>332</v>
      </c>
      <c r="AC746" t="s">
        <v>145</v>
      </c>
      <c r="AD746" t="s">
        <v>669</v>
      </c>
      <c r="AE746" t="s">
        <v>314</v>
      </c>
      <c r="AF746" t="s">
        <v>268</v>
      </c>
      <c r="AG746">
        <v>392410.4</v>
      </c>
      <c r="AH746">
        <v>65</v>
      </c>
      <c r="AL746" t="s">
        <v>1645</v>
      </c>
      <c r="CC746" t="s">
        <v>2629</v>
      </c>
      <c r="CX746" t="s">
        <v>201</v>
      </c>
    </row>
    <row r="747" spans="1:113" x14ac:dyDescent="0.25">
      <c r="A747" t="s">
        <v>3581</v>
      </c>
      <c r="B747" t="e">
        <f>_xlfn.XLOOKUP(C747,'[1]Image URL'!$E:$E,'[1]Image URL'!$A:$A)</f>
        <v>#N/A</v>
      </c>
      <c r="C747">
        <v>41203</v>
      </c>
      <c r="D747" t="s">
        <v>3582</v>
      </c>
      <c r="E747" t="s">
        <v>3583</v>
      </c>
      <c r="F747" t="s">
        <v>340</v>
      </c>
      <c r="G747" t="s">
        <v>340</v>
      </c>
      <c r="H747" t="s">
        <v>186</v>
      </c>
      <c r="J747" t="s">
        <v>195</v>
      </c>
      <c r="U747" t="s">
        <v>1459</v>
      </c>
      <c r="V747" t="s">
        <v>1385</v>
      </c>
      <c r="W747">
        <v>77838811122</v>
      </c>
      <c r="X747">
        <v>10077838811129</v>
      </c>
      <c r="Y747" t="s">
        <v>955</v>
      </c>
      <c r="Z747" t="s">
        <v>1835</v>
      </c>
      <c r="AA747" t="s">
        <v>472</v>
      </c>
      <c r="AB747" t="s">
        <v>1273</v>
      </c>
      <c r="AC747" t="s">
        <v>542</v>
      </c>
      <c r="AD747" t="s">
        <v>234</v>
      </c>
      <c r="AE747" t="s">
        <v>163</v>
      </c>
      <c r="AF747" t="s">
        <v>235</v>
      </c>
      <c r="AG747">
        <v>392410.4</v>
      </c>
      <c r="AH747">
        <v>70</v>
      </c>
      <c r="AL747" t="s">
        <v>2189</v>
      </c>
      <c r="AM747" t="s">
        <v>411</v>
      </c>
      <c r="AN747" t="s">
        <v>340</v>
      </c>
    </row>
    <row r="748" spans="1:113" x14ac:dyDescent="0.25">
      <c r="A748" t="s">
        <v>3584</v>
      </c>
      <c r="B748" t="e">
        <f>_xlfn.XLOOKUP(C748,'[1]Image URL'!$E:$E,'[1]Image URL'!$A:$A)</f>
        <v>#N/A</v>
      </c>
      <c r="C748">
        <v>4394242</v>
      </c>
      <c r="D748" t="s">
        <v>3582</v>
      </c>
      <c r="E748" t="s">
        <v>3583</v>
      </c>
      <c r="F748" t="s">
        <v>340</v>
      </c>
      <c r="G748" t="s">
        <v>340</v>
      </c>
      <c r="H748" t="s">
        <v>186</v>
      </c>
      <c r="J748" t="s">
        <v>195</v>
      </c>
      <c r="U748" t="s">
        <v>1459</v>
      </c>
      <c r="V748" t="s">
        <v>1385</v>
      </c>
      <c r="W748">
        <v>77838811122</v>
      </c>
      <c r="X748">
        <v>10077838811129</v>
      </c>
      <c r="Y748" t="s">
        <v>955</v>
      </c>
      <c r="Z748" t="s">
        <v>1835</v>
      </c>
      <c r="AA748" t="s">
        <v>472</v>
      </c>
      <c r="AB748" t="s">
        <v>1273</v>
      </c>
      <c r="AC748" t="s">
        <v>542</v>
      </c>
      <c r="AD748" t="s">
        <v>234</v>
      </c>
      <c r="AE748" t="s">
        <v>163</v>
      </c>
      <c r="AF748" t="s">
        <v>235</v>
      </c>
      <c r="AG748">
        <v>392410.4</v>
      </c>
      <c r="AH748">
        <v>70</v>
      </c>
      <c r="AL748" t="s">
        <v>2189</v>
      </c>
      <c r="AM748" t="s">
        <v>411</v>
      </c>
      <c r="AN748" t="s">
        <v>340</v>
      </c>
    </row>
    <row r="749" spans="1:113" x14ac:dyDescent="0.25">
      <c r="A749" t="s">
        <v>3585</v>
      </c>
      <c r="B749" t="e">
        <f>_xlfn.XLOOKUP(C749,'[1]Image URL'!$E:$E,'[1]Image URL'!$A:$A)</f>
        <v>#N/A</v>
      </c>
      <c r="C749">
        <v>86202</v>
      </c>
      <c r="D749" t="s">
        <v>3587</v>
      </c>
      <c r="E749" t="s">
        <v>3444</v>
      </c>
      <c r="F749" t="s">
        <v>334</v>
      </c>
      <c r="G749" t="s">
        <v>334</v>
      </c>
      <c r="H749" t="s">
        <v>413</v>
      </c>
      <c r="U749" t="s">
        <v>1459</v>
      </c>
      <c r="V749" t="s">
        <v>1385</v>
      </c>
      <c r="W749">
        <v>77838893616</v>
      </c>
      <c r="X749">
        <v>10077838893613</v>
      </c>
      <c r="Y749" t="s">
        <v>3281</v>
      </c>
      <c r="Z749" t="s">
        <v>1701</v>
      </c>
      <c r="AA749" t="s">
        <v>1485</v>
      </c>
      <c r="AB749" t="s">
        <v>288</v>
      </c>
      <c r="AC749" t="s">
        <v>1674</v>
      </c>
      <c r="AD749" t="s">
        <v>234</v>
      </c>
      <c r="AE749" t="s">
        <v>163</v>
      </c>
      <c r="AF749" t="s">
        <v>235</v>
      </c>
      <c r="AG749">
        <v>392410.4</v>
      </c>
      <c r="AH749">
        <v>70</v>
      </c>
      <c r="AL749" t="s">
        <v>205</v>
      </c>
      <c r="CC749" t="s">
        <v>334</v>
      </c>
      <c r="CX749" t="s">
        <v>186</v>
      </c>
    </row>
    <row r="750" spans="1:113" x14ac:dyDescent="0.25">
      <c r="A750" t="s">
        <v>3588</v>
      </c>
      <c r="B750" t="e">
        <f>_xlfn.XLOOKUP(C750,'[1]Image URL'!$E:$E,'[1]Image URL'!$A:$A)</f>
        <v>#N/A</v>
      </c>
      <c r="C750" t="s">
        <v>3793</v>
      </c>
      <c r="D750" t="s">
        <v>3589</v>
      </c>
      <c r="E750" t="s">
        <v>3590</v>
      </c>
      <c r="F750" t="s">
        <v>186</v>
      </c>
      <c r="G750" t="s">
        <v>1610</v>
      </c>
      <c r="H750" t="s">
        <v>193</v>
      </c>
      <c r="J750" t="s">
        <v>195</v>
      </c>
      <c r="U750" t="s">
        <v>1459</v>
      </c>
      <c r="V750" t="s">
        <v>1385</v>
      </c>
      <c r="W750">
        <v>77838200513</v>
      </c>
      <c r="X750">
        <v>10077838200510</v>
      </c>
      <c r="Y750" t="s">
        <v>218</v>
      </c>
      <c r="Z750" t="s">
        <v>3081</v>
      </c>
      <c r="AA750" t="s">
        <v>266</v>
      </c>
      <c r="AB750" t="s">
        <v>3469</v>
      </c>
      <c r="AC750" t="s">
        <v>288</v>
      </c>
      <c r="AD750" t="s">
        <v>3475</v>
      </c>
      <c r="AE750" t="s">
        <v>600</v>
      </c>
      <c r="AF750" t="s">
        <v>268</v>
      </c>
      <c r="AG750">
        <v>392410.4</v>
      </c>
      <c r="AH750">
        <v>65</v>
      </c>
      <c r="AM750" t="s">
        <v>847</v>
      </c>
      <c r="BZ750" t="s">
        <v>374</v>
      </c>
      <c r="CA750" t="s">
        <v>374</v>
      </c>
      <c r="CE750" t="s">
        <v>374</v>
      </c>
      <c r="DI750" t="s">
        <v>374</v>
      </c>
    </row>
    <row r="751" spans="1:113" x14ac:dyDescent="0.25">
      <c r="A751" t="s">
        <v>3591</v>
      </c>
      <c r="B751" t="e">
        <f>_xlfn.XLOOKUP(C751,'[1]Image URL'!$E:$E,'[1]Image URL'!$A:$A)</f>
        <v>#N/A</v>
      </c>
      <c r="C751" t="s">
        <v>3796</v>
      </c>
      <c r="D751" t="s">
        <v>3593</v>
      </c>
      <c r="E751" t="s">
        <v>3444</v>
      </c>
      <c r="F751" t="s">
        <v>334</v>
      </c>
      <c r="G751" t="s">
        <v>334</v>
      </c>
      <c r="H751" t="s">
        <v>413</v>
      </c>
      <c r="U751" t="s">
        <v>1459</v>
      </c>
      <c r="V751" t="s">
        <v>1385</v>
      </c>
      <c r="W751">
        <v>77838893531</v>
      </c>
      <c r="X751">
        <v>10077838893538</v>
      </c>
      <c r="Y751" t="s">
        <v>3488</v>
      </c>
      <c r="Z751" t="s">
        <v>680</v>
      </c>
      <c r="AA751" t="s">
        <v>3489</v>
      </c>
      <c r="AB751" t="s">
        <v>3489</v>
      </c>
      <c r="AC751" t="s">
        <v>3490</v>
      </c>
      <c r="AD751" t="s">
        <v>634</v>
      </c>
      <c r="AE751" t="s">
        <v>479</v>
      </c>
      <c r="AF751" t="s">
        <v>235</v>
      </c>
      <c r="AG751">
        <v>392410.4</v>
      </c>
      <c r="AH751">
        <v>70</v>
      </c>
      <c r="AL751" t="s">
        <v>205</v>
      </c>
      <c r="CC751" t="s">
        <v>334</v>
      </c>
      <c r="CX751" t="s">
        <v>186</v>
      </c>
    </row>
    <row r="752" spans="1:113" x14ac:dyDescent="0.25">
      <c r="A752" t="s">
        <v>3594</v>
      </c>
      <c r="B752" t="e">
        <f>_xlfn.XLOOKUP(C752,'[1]Image URL'!$E:$E,'[1]Image URL'!$A:$A)</f>
        <v>#N/A</v>
      </c>
      <c r="C752">
        <v>911403</v>
      </c>
      <c r="D752" t="s">
        <v>3576</v>
      </c>
      <c r="E752" t="s">
        <v>3526</v>
      </c>
      <c r="F752" t="s">
        <v>3437</v>
      </c>
      <c r="G752" t="s">
        <v>3437</v>
      </c>
      <c r="H752" t="s">
        <v>3513</v>
      </c>
      <c r="J752" t="s">
        <v>212</v>
      </c>
      <c r="U752" t="s">
        <v>584</v>
      </c>
      <c r="V752" t="s">
        <v>1385</v>
      </c>
      <c r="W752">
        <v>77838267417</v>
      </c>
      <c r="X752">
        <v>10077838167417</v>
      </c>
      <c r="Y752" t="s">
        <v>3173</v>
      </c>
      <c r="Z752" t="s">
        <v>505</v>
      </c>
      <c r="AA752" t="s">
        <v>3410</v>
      </c>
      <c r="AB752" t="s">
        <v>1388</v>
      </c>
      <c r="AC752" t="s">
        <v>3312</v>
      </c>
      <c r="AD752" t="s">
        <v>3174</v>
      </c>
      <c r="AE752" t="s">
        <v>426</v>
      </c>
      <c r="AF752" t="s">
        <v>185</v>
      </c>
      <c r="AG752">
        <v>392410.4</v>
      </c>
      <c r="AH752">
        <v>85</v>
      </c>
      <c r="AL752" t="s">
        <v>3577</v>
      </c>
      <c r="AM752" t="s">
        <v>508</v>
      </c>
      <c r="BX752" t="s">
        <v>3437</v>
      </c>
    </row>
    <row r="753" spans="1:112" x14ac:dyDescent="0.25">
      <c r="A753" t="s">
        <v>3595</v>
      </c>
      <c r="B753" t="e">
        <f>_xlfn.XLOOKUP(C753,'[1]Image URL'!$E:$E,'[1]Image URL'!$A:$A)</f>
        <v>#N/A</v>
      </c>
      <c r="C753">
        <v>36202</v>
      </c>
      <c r="D753" t="s">
        <v>3596</v>
      </c>
      <c r="E753" t="s">
        <v>3458</v>
      </c>
      <c r="F753" t="s">
        <v>3459</v>
      </c>
      <c r="G753" t="s">
        <v>3459</v>
      </c>
      <c r="H753" t="s">
        <v>3460</v>
      </c>
      <c r="J753" t="s">
        <v>195</v>
      </c>
      <c r="U753" t="s">
        <v>1459</v>
      </c>
      <c r="V753" t="s">
        <v>1385</v>
      </c>
      <c r="W753">
        <v>77838273746</v>
      </c>
      <c r="X753">
        <v>10077838173746</v>
      </c>
      <c r="Y753" t="s">
        <v>3461</v>
      </c>
      <c r="Z753" t="s">
        <v>1560</v>
      </c>
      <c r="AA753" t="s">
        <v>865</v>
      </c>
      <c r="AB753" t="s">
        <v>1273</v>
      </c>
      <c r="AC753" t="s">
        <v>288</v>
      </c>
      <c r="AD753" t="s">
        <v>3462</v>
      </c>
      <c r="AE753" t="s">
        <v>635</v>
      </c>
      <c r="AF753" t="s">
        <v>268</v>
      </c>
      <c r="AG753">
        <v>392410.4</v>
      </c>
      <c r="AH753">
        <v>65</v>
      </c>
      <c r="AL753" t="s">
        <v>1943</v>
      </c>
      <c r="AM753" t="s">
        <v>3463</v>
      </c>
      <c r="AN753" t="s">
        <v>3459</v>
      </c>
    </row>
    <row r="754" spans="1:112" x14ac:dyDescent="0.25">
      <c r="A754" t="s">
        <v>3597</v>
      </c>
      <c r="B754" t="e">
        <f>_xlfn.XLOOKUP(C754,'[1]Image URL'!$E:$E,'[1]Image URL'!$A:$A)</f>
        <v>#N/A</v>
      </c>
      <c r="C754" t="s">
        <v>3805</v>
      </c>
      <c r="D754" t="s">
        <v>3598</v>
      </c>
      <c r="E754" t="s">
        <v>3599</v>
      </c>
      <c r="F754" t="s">
        <v>846</v>
      </c>
      <c r="G754" t="s">
        <v>846</v>
      </c>
      <c r="H754" t="s">
        <v>3600</v>
      </c>
      <c r="J754" t="s">
        <v>212</v>
      </c>
      <c r="U754" t="s">
        <v>584</v>
      </c>
      <c r="V754" t="s">
        <v>1385</v>
      </c>
      <c r="W754">
        <v>77838267646</v>
      </c>
      <c r="X754">
        <v>10077838167646</v>
      </c>
      <c r="Y754" t="s">
        <v>1789</v>
      </c>
      <c r="Z754" t="s">
        <v>1266</v>
      </c>
      <c r="AA754" t="s">
        <v>222</v>
      </c>
      <c r="AB754" t="s">
        <v>2196</v>
      </c>
      <c r="AC754" t="s">
        <v>182</v>
      </c>
      <c r="AD754" t="s">
        <v>2173</v>
      </c>
      <c r="AE754" t="s">
        <v>204</v>
      </c>
      <c r="AF754" t="s">
        <v>185</v>
      </c>
      <c r="AG754">
        <v>392410.4</v>
      </c>
      <c r="AH754">
        <v>70</v>
      </c>
      <c r="AL754" t="s">
        <v>1645</v>
      </c>
      <c r="AM754" t="s">
        <v>2131</v>
      </c>
      <c r="BX754" t="s">
        <v>846</v>
      </c>
    </row>
    <row r="755" spans="1:112" x14ac:dyDescent="0.25">
      <c r="A755" t="s">
        <v>3601</v>
      </c>
      <c r="B755" t="e">
        <f>_xlfn.XLOOKUP(C755,'[1]Image URL'!$E:$E,'[1]Image URL'!$A:$A)</f>
        <v>#N/A</v>
      </c>
      <c r="C755">
        <v>4312603</v>
      </c>
      <c r="D755" t="s">
        <v>3602</v>
      </c>
      <c r="E755" t="s">
        <v>3422</v>
      </c>
      <c r="F755" t="s">
        <v>1734</v>
      </c>
      <c r="G755" t="s">
        <v>1734</v>
      </c>
      <c r="H755" t="s">
        <v>3423</v>
      </c>
      <c r="J755" t="s">
        <v>195</v>
      </c>
      <c r="U755" t="s">
        <v>1459</v>
      </c>
      <c r="V755" t="s">
        <v>1385</v>
      </c>
      <c r="W755">
        <v>77838133149</v>
      </c>
      <c r="X755">
        <v>10077838133146</v>
      </c>
      <c r="Y755" t="s">
        <v>1125</v>
      </c>
      <c r="Z755" t="s">
        <v>2963</v>
      </c>
      <c r="AA755" t="s">
        <v>742</v>
      </c>
      <c r="AB755" t="s">
        <v>192</v>
      </c>
      <c r="AC755" t="s">
        <v>463</v>
      </c>
      <c r="AD755" t="s">
        <v>997</v>
      </c>
      <c r="AE755" t="s">
        <v>268</v>
      </c>
      <c r="AF755" t="s">
        <v>268</v>
      </c>
      <c r="AG755">
        <v>392410.4</v>
      </c>
      <c r="AH755">
        <v>65</v>
      </c>
      <c r="AM755" t="s">
        <v>2131</v>
      </c>
      <c r="BX755" t="s">
        <v>1734</v>
      </c>
    </row>
    <row r="756" spans="1:112" x14ac:dyDescent="0.25">
      <c r="A756" t="s">
        <v>3603</v>
      </c>
      <c r="B756" t="e">
        <f>_xlfn.XLOOKUP(C756,'[1]Image URL'!$E:$E,'[1]Image URL'!$A:$A)</f>
        <v>#N/A</v>
      </c>
      <c r="C756" t="s">
        <v>3816</v>
      </c>
      <c r="D756" t="s">
        <v>3604</v>
      </c>
      <c r="E756" t="s">
        <v>3605</v>
      </c>
      <c r="F756" t="s">
        <v>1374</v>
      </c>
      <c r="G756" t="s">
        <v>466</v>
      </c>
      <c r="H756" t="s">
        <v>334</v>
      </c>
      <c r="U756" t="s">
        <v>156</v>
      </c>
      <c r="V756" t="s">
        <v>157</v>
      </c>
      <c r="W756">
        <v>77838299029</v>
      </c>
      <c r="X756">
        <v>10077838099022</v>
      </c>
      <c r="Y756" t="s">
        <v>3047</v>
      </c>
      <c r="Z756" t="s">
        <v>1866</v>
      </c>
      <c r="AA756" t="s">
        <v>329</v>
      </c>
      <c r="AB756" t="s">
        <v>1602</v>
      </c>
      <c r="AC756" t="s">
        <v>475</v>
      </c>
      <c r="AD756" t="s">
        <v>2861</v>
      </c>
      <c r="AE756" t="s">
        <v>1942</v>
      </c>
      <c r="AF756" t="s">
        <v>268</v>
      </c>
      <c r="AG756">
        <v>392410.4</v>
      </c>
      <c r="AH756">
        <v>85</v>
      </c>
      <c r="AL756" t="s">
        <v>1320</v>
      </c>
      <c r="CD756" t="s">
        <v>188</v>
      </c>
      <c r="DB756" t="s">
        <v>549</v>
      </c>
    </row>
    <row r="757" spans="1:112" x14ac:dyDescent="0.25">
      <c r="A757" t="s">
        <v>3606</v>
      </c>
      <c r="B757" t="e">
        <f>_xlfn.XLOOKUP(C757,'[1]Image URL'!$E:$E,'[1]Image URL'!$A:$A)</f>
        <v>#N/A</v>
      </c>
      <c r="C757" t="s">
        <v>3819</v>
      </c>
      <c r="D757" t="s">
        <v>3608</v>
      </c>
      <c r="E757" t="s">
        <v>3523</v>
      </c>
      <c r="F757" t="s">
        <v>2450</v>
      </c>
      <c r="G757" t="s">
        <v>2450</v>
      </c>
      <c r="H757" t="s">
        <v>3513</v>
      </c>
      <c r="J757" t="s">
        <v>195</v>
      </c>
      <c r="U757" t="s">
        <v>1459</v>
      </c>
      <c r="V757" t="s">
        <v>1385</v>
      </c>
      <c r="W757">
        <v>77838233559</v>
      </c>
      <c r="X757">
        <v>10077838033552</v>
      </c>
      <c r="Y757" t="s">
        <v>3514</v>
      </c>
      <c r="Z757" t="s">
        <v>1560</v>
      </c>
      <c r="AA757" t="s">
        <v>1714</v>
      </c>
      <c r="AB757" t="s">
        <v>361</v>
      </c>
      <c r="AC757" t="s">
        <v>361</v>
      </c>
      <c r="AD757" t="s">
        <v>234</v>
      </c>
      <c r="AE757" t="s">
        <v>314</v>
      </c>
      <c r="AF757" t="s">
        <v>349</v>
      </c>
      <c r="AG757">
        <v>392410.4</v>
      </c>
      <c r="AH757">
        <v>65</v>
      </c>
      <c r="AL757" t="s">
        <v>1533</v>
      </c>
      <c r="AM757" t="s">
        <v>411</v>
      </c>
      <c r="CQ757" t="s">
        <v>201</v>
      </c>
      <c r="DH757" t="s">
        <v>1575</v>
      </c>
    </row>
    <row r="758" spans="1:112" x14ac:dyDescent="0.25">
      <c r="A758" t="s">
        <v>3609</v>
      </c>
      <c r="B758" t="e">
        <f>_xlfn.XLOOKUP(C758,'[1]Image URL'!$E:$E,'[1]Image URL'!$A:$A)</f>
        <v>#N/A</v>
      </c>
      <c r="C758">
        <v>652703</v>
      </c>
      <c r="D758" t="s">
        <v>3562</v>
      </c>
      <c r="E758" t="s">
        <v>3473</v>
      </c>
      <c r="F758" t="s">
        <v>3011</v>
      </c>
      <c r="G758" t="s">
        <v>1864</v>
      </c>
      <c r="H758" t="s">
        <v>3474</v>
      </c>
      <c r="J758" t="s">
        <v>195</v>
      </c>
      <c r="U758" t="s">
        <v>1459</v>
      </c>
      <c r="V758" t="s">
        <v>1385</v>
      </c>
      <c r="W758">
        <v>77838807811</v>
      </c>
      <c r="X758">
        <v>10077838807818</v>
      </c>
      <c r="Y758" t="s">
        <v>3445</v>
      </c>
      <c r="Z758" t="s">
        <v>1348</v>
      </c>
      <c r="AA758" t="s">
        <v>995</v>
      </c>
      <c r="AB758" t="s">
        <v>160</v>
      </c>
      <c r="AC758" t="s">
        <v>707</v>
      </c>
      <c r="AD758" t="s">
        <v>3475</v>
      </c>
      <c r="AE758" t="s">
        <v>1113</v>
      </c>
      <c r="AF758" t="s">
        <v>246</v>
      </c>
      <c r="AG758">
        <v>392410.4</v>
      </c>
      <c r="AH758">
        <v>60</v>
      </c>
      <c r="AL758" t="s">
        <v>1645</v>
      </c>
      <c r="AM758" t="s">
        <v>1202</v>
      </c>
    </row>
    <row r="759" spans="1:112" x14ac:dyDescent="0.25">
      <c r="A759" t="s">
        <v>3610</v>
      </c>
      <c r="B759" t="e">
        <f>_xlfn.XLOOKUP(C759,'[1]Image URL'!$E:$E,'[1]Image URL'!$A:$A)</f>
        <v>#N/A</v>
      </c>
      <c r="C759" t="s">
        <v>3827</v>
      </c>
      <c r="D759" t="s">
        <v>3611</v>
      </c>
      <c r="E759" t="s">
        <v>3612</v>
      </c>
      <c r="F759" t="s">
        <v>340</v>
      </c>
      <c r="G759" t="s">
        <v>340</v>
      </c>
      <c r="H759" t="s">
        <v>1641</v>
      </c>
      <c r="J759" t="s">
        <v>212</v>
      </c>
      <c r="U759" t="s">
        <v>584</v>
      </c>
      <c r="V759" t="s">
        <v>157</v>
      </c>
      <c r="W759">
        <v>77838027974</v>
      </c>
      <c r="X759">
        <v>10077838027971</v>
      </c>
      <c r="Y759" t="s">
        <v>3613</v>
      </c>
      <c r="Z759" t="s">
        <v>1509</v>
      </c>
      <c r="AA759" t="s">
        <v>421</v>
      </c>
      <c r="AB759" t="s">
        <v>1846</v>
      </c>
      <c r="AC759" t="s">
        <v>2745</v>
      </c>
      <c r="AD759" t="s">
        <v>1562</v>
      </c>
      <c r="AE759" t="s">
        <v>184</v>
      </c>
      <c r="AF759" t="s">
        <v>268</v>
      </c>
      <c r="AG759">
        <v>392410.4</v>
      </c>
      <c r="AH759">
        <v>92.5</v>
      </c>
      <c r="AM759" t="s">
        <v>3496</v>
      </c>
      <c r="CC759" t="s">
        <v>340</v>
      </c>
      <c r="CQ759" t="s">
        <v>939</v>
      </c>
    </row>
    <row r="760" spans="1:112" x14ac:dyDescent="0.25">
      <c r="A760" t="s">
        <v>3614</v>
      </c>
      <c r="B760" t="e">
        <f>_xlfn.XLOOKUP(C760,'[1]Image URL'!$E:$E,'[1]Image URL'!$A:$A)</f>
        <v>#N/A</v>
      </c>
      <c r="C760" t="s">
        <v>3831</v>
      </c>
      <c r="D760" t="s">
        <v>3615</v>
      </c>
      <c r="E760" t="s">
        <v>3616</v>
      </c>
      <c r="F760" t="s">
        <v>201</v>
      </c>
      <c r="G760" t="s">
        <v>201</v>
      </c>
      <c r="H760" t="s">
        <v>2917</v>
      </c>
      <c r="J760" t="s">
        <v>212</v>
      </c>
      <c r="U760" t="s">
        <v>584</v>
      </c>
      <c r="V760" t="s">
        <v>157</v>
      </c>
      <c r="W760">
        <v>77838263273</v>
      </c>
      <c r="X760">
        <v>10077838000424</v>
      </c>
      <c r="Y760" t="s">
        <v>3047</v>
      </c>
      <c r="Z760" t="s">
        <v>1643</v>
      </c>
      <c r="AA760" t="s">
        <v>3617</v>
      </c>
      <c r="AB760" t="s">
        <v>1273</v>
      </c>
      <c r="AC760" t="s">
        <v>3618</v>
      </c>
      <c r="AD760" t="s">
        <v>3462</v>
      </c>
      <c r="AE760" t="s">
        <v>635</v>
      </c>
      <c r="AF760" t="s">
        <v>268</v>
      </c>
      <c r="AG760">
        <v>392410.4</v>
      </c>
      <c r="AH760">
        <v>70</v>
      </c>
      <c r="AL760" t="s">
        <v>3619</v>
      </c>
      <c r="AM760" t="s">
        <v>3620</v>
      </c>
      <c r="CC760" t="s">
        <v>201</v>
      </c>
      <c r="CQ760" t="s">
        <v>201</v>
      </c>
    </row>
    <row r="761" spans="1:112" x14ac:dyDescent="0.25">
      <c r="A761" t="s">
        <v>3621</v>
      </c>
      <c r="B761" t="e">
        <f>_xlfn.XLOOKUP(C761,'[1]Image URL'!$E:$E,'[1]Image URL'!$A:$A)</f>
        <v>#N/A</v>
      </c>
      <c r="C761">
        <v>87503</v>
      </c>
      <c r="D761" t="s">
        <v>3596</v>
      </c>
      <c r="E761" t="s">
        <v>3458</v>
      </c>
      <c r="F761" t="s">
        <v>3459</v>
      </c>
      <c r="G761" t="s">
        <v>3459</v>
      </c>
      <c r="H761" t="s">
        <v>3460</v>
      </c>
      <c r="J761" t="s">
        <v>195</v>
      </c>
      <c r="U761" t="s">
        <v>1459</v>
      </c>
      <c r="V761" t="s">
        <v>1385</v>
      </c>
      <c r="W761">
        <v>77838273746</v>
      </c>
      <c r="X761">
        <v>10077838173746</v>
      </c>
      <c r="Y761" t="s">
        <v>3461</v>
      </c>
      <c r="Z761" t="s">
        <v>1560</v>
      </c>
      <c r="AA761" t="s">
        <v>865</v>
      </c>
      <c r="AB761" t="s">
        <v>1273</v>
      </c>
      <c r="AC761" t="s">
        <v>288</v>
      </c>
      <c r="AD761" t="s">
        <v>3462</v>
      </c>
      <c r="AE761" t="s">
        <v>635</v>
      </c>
      <c r="AF761" t="s">
        <v>268</v>
      </c>
      <c r="AG761">
        <v>392410.4</v>
      </c>
      <c r="AH761">
        <v>65</v>
      </c>
      <c r="AL761" t="s">
        <v>1943</v>
      </c>
      <c r="AM761" t="s">
        <v>3463</v>
      </c>
      <c r="AN761" t="s">
        <v>3459</v>
      </c>
    </row>
    <row r="762" spans="1:112" x14ac:dyDescent="0.25">
      <c r="A762" t="s">
        <v>3622</v>
      </c>
      <c r="B762" t="e">
        <f>_xlfn.XLOOKUP(C762,'[1]Image URL'!$E:$E,'[1]Image URL'!$A:$A)</f>
        <v>#N/A</v>
      </c>
      <c r="C762">
        <v>71029</v>
      </c>
      <c r="D762" t="s">
        <v>3624</v>
      </c>
      <c r="E762" t="s">
        <v>3548</v>
      </c>
      <c r="F762" t="s">
        <v>374</v>
      </c>
      <c r="G762" t="s">
        <v>201</v>
      </c>
      <c r="H762" t="s">
        <v>186</v>
      </c>
      <c r="J762" t="s">
        <v>195</v>
      </c>
      <c r="U762" t="s">
        <v>1459</v>
      </c>
      <c r="V762" t="s">
        <v>1385</v>
      </c>
      <c r="W762">
        <v>77838685402</v>
      </c>
      <c r="X762">
        <v>10077838185404</v>
      </c>
      <c r="Y762" t="s">
        <v>3549</v>
      </c>
      <c r="Z762" t="s">
        <v>505</v>
      </c>
      <c r="AA762" t="s">
        <v>2676</v>
      </c>
      <c r="AB762" t="s">
        <v>288</v>
      </c>
      <c r="AC762" t="s">
        <v>211</v>
      </c>
      <c r="AD762" t="s">
        <v>555</v>
      </c>
      <c r="AE762" t="s">
        <v>184</v>
      </c>
      <c r="AF762" t="s">
        <v>235</v>
      </c>
      <c r="AG762">
        <v>392410.4</v>
      </c>
      <c r="AH762">
        <v>100</v>
      </c>
      <c r="AL762" t="s">
        <v>350</v>
      </c>
      <c r="AM762" t="s">
        <v>847</v>
      </c>
    </row>
    <row r="763" spans="1:112" x14ac:dyDescent="0.25">
      <c r="A763" t="s">
        <v>3625</v>
      </c>
      <c r="B763" t="e">
        <f>_xlfn.XLOOKUP(C763,'[1]Image URL'!$E:$E,'[1]Image URL'!$A:$A)</f>
        <v>#N/A</v>
      </c>
      <c r="C763" t="s">
        <v>3838</v>
      </c>
      <c r="D763" t="s">
        <v>3626</v>
      </c>
      <c r="E763" t="s">
        <v>3627</v>
      </c>
      <c r="F763" t="s">
        <v>340</v>
      </c>
      <c r="G763" t="s">
        <v>340</v>
      </c>
      <c r="H763" t="s">
        <v>152</v>
      </c>
      <c r="J763" t="s">
        <v>212</v>
      </c>
      <c r="U763" t="s">
        <v>584</v>
      </c>
      <c r="V763" t="s">
        <v>1385</v>
      </c>
      <c r="W763">
        <v>77838217689</v>
      </c>
      <c r="X763">
        <v>10077838017682</v>
      </c>
      <c r="Y763" t="s">
        <v>1802</v>
      </c>
      <c r="Z763" t="s">
        <v>903</v>
      </c>
      <c r="AA763" t="s">
        <v>633</v>
      </c>
      <c r="AB763" t="s">
        <v>312</v>
      </c>
      <c r="AC763" t="s">
        <v>288</v>
      </c>
      <c r="AD763" t="s">
        <v>245</v>
      </c>
      <c r="AE763" t="s">
        <v>349</v>
      </c>
      <c r="AF763" t="s">
        <v>185</v>
      </c>
      <c r="AG763">
        <v>392410.1</v>
      </c>
      <c r="AH763">
        <v>92.5</v>
      </c>
      <c r="AL763" t="s">
        <v>2740</v>
      </c>
      <c r="AM763" t="s">
        <v>1717</v>
      </c>
      <c r="AS763" t="s">
        <v>3628</v>
      </c>
      <c r="CC763" t="s">
        <v>340</v>
      </c>
      <c r="CQ763" t="s">
        <v>3629</v>
      </c>
    </row>
    <row r="764" spans="1:112" x14ac:dyDescent="0.25">
      <c r="A764" t="s">
        <v>3630</v>
      </c>
      <c r="B764" t="e">
        <f>_xlfn.XLOOKUP(C764,'[1]Image URL'!$E:$E,'[1]Image URL'!$A:$A)</f>
        <v>#N/A</v>
      </c>
      <c r="C764" t="s">
        <v>3841</v>
      </c>
      <c r="D764" t="s">
        <v>3632</v>
      </c>
      <c r="E764" t="s">
        <v>3444</v>
      </c>
      <c r="F764" t="s">
        <v>2629</v>
      </c>
      <c r="G764" t="s">
        <v>2629</v>
      </c>
      <c r="H764" t="s">
        <v>186</v>
      </c>
      <c r="U764" t="s">
        <v>1459</v>
      </c>
      <c r="V764" t="s">
        <v>1385</v>
      </c>
      <c r="W764">
        <v>77838893456</v>
      </c>
      <c r="X764">
        <v>10077838893453</v>
      </c>
      <c r="Y764" t="s">
        <v>3445</v>
      </c>
      <c r="Z764" t="s">
        <v>764</v>
      </c>
      <c r="AA764" t="s">
        <v>3446</v>
      </c>
      <c r="AB764" t="s">
        <v>3446</v>
      </c>
      <c r="AC764" t="s">
        <v>3447</v>
      </c>
      <c r="AD764" t="s">
        <v>234</v>
      </c>
      <c r="AE764" t="s">
        <v>163</v>
      </c>
      <c r="AF764" t="s">
        <v>235</v>
      </c>
      <c r="AG764">
        <v>392410.4</v>
      </c>
      <c r="AH764">
        <v>70</v>
      </c>
      <c r="AL764" t="s">
        <v>1645</v>
      </c>
      <c r="CC764" t="s">
        <v>2629</v>
      </c>
      <c r="CX764" t="s">
        <v>201</v>
      </c>
    </row>
    <row r="765" spans="1:112" x14ac:dyDescent="0.25">
      <c r="A765" t="s">
        <v>3633</v>
      </c>
      <c r="B765" t="e">
        <f>_xlfn.XLOOKUP(C765,'[1]Image URL'!$E:$E,'[1]Image URL'!$A:$A)</f>
        <v>#N/A</v>
      </c>
      <c r="C765">
        <v>454907</v>
      </c>
      <c r="D765" t="s">
        <v>3634</v>
      </c>
      <c r="E765" t="s">
        <v>3552</v>
      </c>
      <c r="F765" t="s">
        <v>1982</v>
      </c>
      <c r="G765" t="s">
        <v>1982</v>
      </c>
      <c r="H765" t="s">
        <v>186</v>
      </c>
      <c r="J765" t="s">
        <v>195</v>
      </c>
      <c r="U765" t="s">
        <v>1459</v>
      </c>
      <c r="V765" t="s">
        <v>1385</v>
      </c>
      <c r="W765">
        <v>77838811177</v>
      </c>
      <c r="X765">
        <v>10077838811174</v>
      </c>
      <c r="Y765" t="s">
        <v>304</v>
      </c>
      <c r="Z765" t="s">
        <v>2462</v>
      </c>
      <c r="AA765" t="s">
        <v>2055</v>
      </c>
      <c r="AB765" t="s">
        <v>3553</v>
      </c>
      <c r="AC765" t="s">
        <v>410</v>
      </c>
      <c r="AD765" t="s">
        <v>183</v>
      </c>
      <c r="AE765" t="s">
        <v>184</v>
      </c>
      <c r="AF765" t="s">
        <v>185</v>
      </c>
      <c r="AG765">
        <v>392410.4</v>
      </c>
      <c r="AH765">
        <v>70</v>
      </c>
      <c r="AL765" t="s">
        <v>1790</v>
      </c>
      <c r="AM765" t="s">
        <v>1202</v>
      </c>
      <c r="AN765" t="s">
        <v>1982</v>
      </c>
    </row>
    <row r="766" spans="1:112" x14ac:dyDescent="0.25">
      <c r="A766" t="s">
        <v>3635</v>
      </c>
      <c r="B766" t="e">
        <f>_xlfn.XLOOKUP(C766,'[1]Image URL'!$E:$E,'[1]Image URL'!$A:$A)</f>
        <v>#N/A</v>
      </c>
      <c r="C766">
        <v>47503</v>
      </c>
      <c r="D766" t="s">
        <v>3636</v>
      </c>
      <c r="E766" t="s">
        <v>3552</v>
      </c>
      <c r="F766" t="s">
        <v>1982</v>
      </c>
      <c r="G766" t="s">
        <v>1982</v>
      </c>
      <c r="H766" t="s">
        <v>186</v>
      </c>
      <c r="J766" t="s">
        <v>195</v>
      </c>
      <c r="U766" t="s">
        <v>1459</v>
      </c>
      <c r="V766" t="s">
        <v>1385</v>
      </c>
      <c r="W766">
        <v>77838811153</v>
      </c>
      <c r="X766">
        <v>10077838811150</v>
      </c>
      <c r="Y766" t="s">
        <v>304</v>
      </c>
      <c r="Z766" t="s">
        <v>2462</v>
      </c>
      <c r="AA766" t="s">
        <v>2055</v>
      </c>
      <c r="AB766" t="s">
        <v>3553</v>
      </c>
      <c r="AC766" t="s">
        <v>410</v>
      </c>
      <c r="AD766" t="s">
        <v>183</v>
      </c>
      <c r="AE766" t="s">
        <v>184</v>
      </c>
      <c r="AF766" t="s">
        <v>185</v>
      </c>
      <c r="AG766">
        <v>392410.4</v>
      </c>
      <c r="AH766">
        <v>70</v>
      </c>
      <c r="AL766" t="s">
        <v>1790</v>
      </c>
      <c r="AM766" t="s">
        <v>1202</v>
      </c>
      <c r="AN766" t="s">
        <v>1982</v>
      </c>
    </row>
    <row r="767" spans="1:112" x14ac:dyDescent="0.25">
      <c r="A767" t="s">
        <v>3637</v>
      </c>
      <c r="B767" t="e">
        <f>_xlfn.XLOOKUP(C767,'[1]Image URL'!$E:$E,'[1]Image URL'!$A:$A)</f>
        <v>#N/A</v>
      </c>
      <c r="C767" t="s">
        <v>3849</v>
      </c>
      <c r="D767" t="s">
        <v>3639</v>
      </c>
      <c r="E767" t="s">
        <v>3444</v>
      </c>
      <c r="F767" t="s">
        <v>1575</v>
      </c>
      <c r="G767" t="s">
        <v>1575</v>
      </c>
      <c r="H767" t="s">
        <v>186</v>
      </c>
      <c r="U767" t="s">
        <v>1459</v>
      </c>
      <c r="V767" t="s">
        <v>1385</v>
      </c>
      <c r="W767">
        <v>77838893517</v>
      </c>
      <c r="X767">
        <v>10077838893514</v>
      </c>
      <c r="Y767" t="s">
        <v>1250</v>
      </c>
      <c r="Z767" t="s">
        <v>327</v>
      </c>
      <c r="AA767" t="s">
        <v>3640</v>
      </c>
      <c r="AB767" t="s">
        <v>3640</v>
      </c>
      <c r="AC767" t="s">
        <v>3641</v>
      </c>
      <c r="AD767" t="s">
        <v>1142</v>
      </c>
      <c r="AE767" t="s">
        <v>303</v>
      </c>
      <c r="AF767" t="s">
        <v>268</v>
      </c>
      <c r="AG767">
        <v>392410.2</v>
      </c>
      <c r="AH767">
        <v>70</v>
      </c>
      <c r="AL767" t="s">
        <v>1645</v>
      </c>
      <c r="CC767" t="s">
        <v>1575</v>
      </c>
      <c r="CX767" t="s">
        <v>201</v>
      </c>
    </row>
    <row r="768" spans="1:112" x14ac:dyDescent="0.25">
      <c r="A768" t="s">
        <v>3642</v>
      </c>
      <c r="B768" t="e">
        <f>_xlfn.XLOOKUP(C768,'[1]Image URL'!$E:$E,'[1]Image URL'!$A:$A)</f>
        <v>#N/A</v>
      </c>
      <c r="C768" t="s">
        <v>3857</v>
      </c>
      <c r="D768" t="s">
        <v>3643</v>
      </c>
      <c r="E768" t="s">
        <v>3599</v>
      </c>
      <c r="F768" t="s">
        <v>846</v>
      </c>
      <c r="G768" t="s">
        <v>846</v>
      </c>
      <c r="H768" t="s">
        <v>3600</v>
      </c>
      <c r="J768" t="s">
        <v>212</v>
      </c>
      <c r="U768" t="s">
        <v>584</v>
      </c>
      <c r="V768" t="s">
        <v>1385</v>
      </c>
      <c r="W768">
        <v>77838767610</v>
      </c>
      <c r="X768">
        <v>10077838667610</v>
      </c>
      <c r="Y768" t="s">
        <v>659</v>
      </c>
      <c r="Z768" t="s">
        <v>1141</v>
      </c>
      <c r="AA768" t="s">
        <v>2257</v>
      </c>
      <c r="AB768" t="s">
        <v>1602</v>
      </c>
      <c r="AC768" t="s">
        <v>288</v>
      </c>
      <c r="AD768" t="s">
        <v>867</v>
      </c>
      <c r="AE768" t="s">
        <v>314</v>
      </c>
      <c r="AF768" t="s">
        <v>185</v>
      </c>
      <c r="AG768">
        <v>392410.4</v>
      </c>
      <c r="AH768">
        <v>70</v>
      </c>
      <c r="AL768" t="s">
        <v>3271</v>
      </c>
      <c r="AM768" t="s">
        <v>1269</v>
      </c>
      <c r="BX768" t="s">
        <v>846</v>
      </c>
    </row>
    <row r="769" spans="1:115" x14ac:dyDescent="0.25">
      <c r="A769" t="s">
        <v>3644</v>
      </c>
      <c r="B769" t="e">
        <f>_xlfn.XLOOKUP(C769,'[1]Image URL'!$E:$E,'[1]Image URL'!$A:$A)</f>
        <v>#N/A</v>
      </c>
      <c r="C769">
        <v>455002</v>
      </c>
      <c r="D769" t="s">
        <v>3645</v>
      </c>
      <c r="E769" t="s">
        <v>3426</v>
      </c>
      <c r="F769" t="s">
        <v>2450</v>
      </c>
      <c r="G769" t="s">
        <v>2450</v>
      </c>
      <c r="H769" t="s">
        <v>413</v>
      </c>
      <c r="J769" t="s">
        <v>195</v>
      </c>
      <c r="U769" t="s">
        <v>1459</v>
      </c>
      <c r="V769" t="s">
        <v>1385</v>
      </c>
      <c r="W769">
        <v>77838811115</v>
      </c>
      <c r="X769">
        <v>10077838811112</v>
      </c>
      <c r="Y769" t="s">
        <v>3427</v>
      </c>
      <c r="Z769" t="s">
        <v>1141</v>
      </c>
      <c r="AA769" t="s">
        <v>421</v>
      </c>
      <c r="AB769" t="s">
        <v>332</v>
      </c>
      <c r="AC769" t="s">
        <v>361</v>
      </c>
      <c r="AD769" t="s">
        <v>1884</v>
      </c>
      <c r="AE769" t="s">
        <v>315</v>
      </c>
      <c r="AF769" t="s">
        <v>403</v>
      </c>
      <c r="AG769">
        <v>392410.4</v>
      </c>
      <c r="AH769">
        <v>70</v>
      </c>
      <c r="AM769" t="s">
        <v>847</v>
      </c>
      <c r="AN769" t="s">
        <v>2450</v>
      </c>
    </row>
    <row r="770" spans="1:115" x14ac:dyDescent="0.25">
      <c r="A770" t="s">
        <v>3646</v>
      </c>
      <c r="B770" t="e">
        <f>_xlfn.XLOOKUP(C770,'[1]Image URL'!$E:$E,'[1]Image URL'!$A:$A)</f>
        <v>#N/A</v>
      </c>
      <c r="C770" t="s">
        <v>3862</v>
      </c>
      <c r="D770" t="s">
        <v>3647</v>
      </c>
      <c r="E770" t="s">
        <v>3526</v>
      </c>
      <c r="F770" t="s">
        <v>2866</v>
      </c>
      <c r="G770" t="s">
        <v>2866</v>
      </c>
      <c r="H770" t="s">
        <v>3513</v>
      </c>
      <c r="J770" t="s">
        <v>212</v>
      </c>
      <c r="U770" t="s">
        <v>584</v>
      </c>
      <c r="V770" t="s">
        <v>1385</v>
      </c>
      <c r="W770">
        <v>77838267516</v>
      </c>
      <c r="X770">
        <v>10077838167516</v>
      </c>
      <c r="Y770" t="s">
        <v>218</v>
      </c>
      <c r="Z770" t="s">
        <v>844</v>
      </c>
      <c r="AA770" t="s">
        <v>394</v>
      </c>
      <c r="AB770" t="s">
        <v>329</v>
      </c>
      <c r="AC770" t="s">
        <v>536</v>
      </c>
      <c r="AD770" t="s">
        <v>3462</v>
      </c>
      <c r="AE770" t="s">
        <v>1113</v>
      </c>
      <c r="AF770" t="s">
        <v>185</v>
      </c>
      <c r="AG770">
        <v>392410.4</v>
      </c>
      <c r="AH770">
        <v>70</v>
      </c>
      <c r="AL770" t="s">
        <v>2032</v>
      </c>
      <c r="AM770" t="s">
        <v>411</v>
      </c>
      <c r="BX770" t="s">
        <v>2866</v>
      </c>
    </row>
    <row r="771" spans="1:115" x14ac:dyDescent="0.25">
      <c r="A771" t="s">
        <v>3648</v>
      </c>
      <c r="B771" t="e">
        <f>_xlfn.XLOOKUP(C771,'[1]Image URL'!$E:$E,'[1]Image URL'!$A:$A)</f>
        <v>#N/A</v>
      </c>
      <c r="C771">
        <v>650403</v>
      </c>
      <c r="D771" t="s">
        <v>3649</v>
      </c>
      <c r="E771" t="s">
        <v>3481</v>
      </c>
      <c r="F771" t="s">
        <v>3482</v>
      </c>
      <c r="G771" t="s">
        <v>994</v>
      </c>
      <c r="H771" t="s">
        <v>1374</v>
      </c>
      <c r="U771" t="s">
        <v>217</v>
      </c>
      <c r="V771" t="s">
        <v>1385</v>
      </c>
      <c r="W771">
        <v>77838893722</v>
      </c>
      <c r="X771">
        <v>10077838893729</v>
      </c>
      <c r="Y771" t="s">
        <v>240</v>
      </c>
      <c r="Z771" t="s">
        <v>1844</v>
      </c>
      <c r="AA771" t="s">
        <v>3110</v>
      </c>
      <c r="AB771" t="s">
        <v>668</v>
      </c>
      <c r="AC771" t="s">
        <v>523</v>
      </c>
      <c r="AD771" t="s">
        <v>203</v>
      </c>
      <c r="AE771" t="s">
        <v>315</v>
      </c>
      <c r="AF771" t="s">
        <v>302</v>
      </c>
      <c r="AG771">
        <v>940180.40009999997</v>
      </c>
      <c r="AH771">
        <v>175</v>
      </c>
      <c r="AL771" t="s">
        <v>3483</v>
      </c>
      <c r="DG771" t="s">
        <v>3484</v>
      </c>
    </row>
    <row r="772" spans="1:115" x14ac:dyDescent="0.25">
      <c r="A772" t="s">
        <v>3650</v>
      </c>
      <c r="B772" t="e">
        <f>_xlfn.XLOOKUP(C772,'[1]Image URL'!$E:$E,'[1]Image URL'!$A:$A)</f>
        <v>#N/A</v>
      </c>
      <c r="C772">
        <v>3336202</v>
      </c>
      <c r="D772" t="s">
        <v>3651</v>
      </c>
      <c r="E772" t="s">
        <v>3652</v>
      </c>
      <c r="F772" t="s">
        <v>170</v>
      </c>
      <c r="G772" t="s">
        <v>145</v>
      </c>
      <c r="H772" t="s">
        <v>334</v>
      </c>
      <c r="I772" t="s">
        <v>194</v>
      </c>
      <c r="J772" t="s">
        <v>212</v>
      </c>
      <c r="U772" t="s">
        <v>217</v>
      </c>
      <c r="V772" t="s">
        <v>157</v>
      </c>
      <c r="W772">
        <v>77838209509</v>
      </c>
      <c r="X772">
        <v>10077838009502</v>
      </c>
      <c r="Y772" t="s">
        <v>3653</v>
      </c>
      <c r="Z772" t="s">
        <v>1509</v>
      </c>
      <c r="AA772" t="s">
        <v>462</v>
      </c>
      <c r="AB772" t="s">
        <v>462</v>
      </c>
      <c r="AC772" t="s">
        <v>1692</v>
      </c>
      <c r="AD772" t="s">
        <v>1142</v>
      </c>
      <c r="AE772" t="s">
        <v>204</v>
      </c>
      <c r="AF772" t="s">
        <v>235</v>
      </c>
      <c r="AG772">
        <v>392410.4</v>
      </c>
      <c r="AH772">
        <v>125</v>
      </c>
      <c r="AL772" t="s">
        <v>399</v>
      </c>
      <c r="AM772" t="s">
        <v>2451</v>
      </c>
      <c r="AT772" t="s">
        <v>575</v>
      </c>
      <c r="DJ772" t="s">
        <v>145</v>
      </c>
      <c r="DK772" t="s">
        <v>664</v>
      </c>
    </row>
    <row r="773" spans="1:115" x14ac:dyDescent="0.25">
      <c r="A773" t="s">
        <v>3654</v>
      </c>
      <c r="B773" t="e">
        <f>_xlfn.XLOOKUP(C773,'[1]Image URL'!$E:$E,'[1]Image URL'!$A:$A)</f>
        <v>#N/A</v>
      </c>
      <c r="C773">
        <v>810003</v>
      </c>
      <c r="D773" t="s">
        <v>3647</v>
      </c>
      <c r="E773" t="s">
        <v>3526</v>
      </c>
      <c r="F773" t="s">
        <v>2866</v>
      </c>
      <c r="G773" t="s">
        <v>2866</v>
      </c>
      <c r="H773" t="s">
        <v>3513</v>
      </c>
      <c r="J773" t="s">
        <v>212</v>
      </c>
      <c r="U773" t="s">
        <v>584</v>
      </c>
      <c r="V773" t="s">
        <v>1385</v>
      </c>
      <c r="W773">
        <v>77838267516</v>
      </c>
      <c r="X773">
        <v>10077838167516</v>
      </c>
      <c r="Y773" t="s">
        <v>218</v>
      </c>
      <c r="Z773" t="s">
        <v>844</v>
      </c>
      <c r="AA773" t="s">
        <v>394</v>
      </c>
      <c r="AB773" t="s">
        <v>329</v>
      </c>
      <c r="AC773" t="s">
        <v>536</v>
      </c>
      <c r="AD773" t="s">
        <v>3462</v>
      </c>
      <c r="AE773" t="s">
        <v>1113</v>
      </c>
      <c r="AF773" t="s">
        <v>185</v>
      </c>
      <c r="AG773">
        <v>392410.4</v>
      </c>
      <c r="AH773">
        <v>70</v>
      </c>
      <c r="AL773" t="s">
        <v>2032</v>
      </c>
      <c r="AM773" t="s">
        <v>411</v>
      </c>
      <c r="BX773" t="s">
        <v>2866</v>
      </c>
    </row>
    <row r="774" spans="1:115" x14ac:dyDescent="0.25">
      <c r="A774" t="s">
        <v>3655</v>
      </c>
      <c r="B774" t="e">
        <f>_xlfn.XLOOKUP(C774,'[1]Image URL'!$E:$E,'[1]Image URL'!$A:$A)</f>
        <v>#N/A</v>
      </c>
      <c r="C774">
        <v>5553437</v>
      </c>
      <c r="D774" t="s">
        <v>3656</v>
      </c>
      <c r="E774" t="s">
        <v>3583</v>
      </c>
      <c r="F774" t="s">
        <v>340</v>
      </c>
      <c r="G774" t="s">
        <v>340</v>
      </c>
      <c r="H774" t="s">
        <v>186</v>
      </c>
      <c r="J774" t="s">
        <v>195</v>
      </c>
      <c r="U774" t="s">
        <v>1459</v>
      </c>
      <c r="V774" t="s">
        <v>1385</v>
      </c>
      <c r="W774">
        <v>77838811146</v>
      </c>
      <c r="X774">
        <v>10077838811143</v>
      </c>
      <c r="Y774" t="s">
        <v>955</v>
      </c>
      <c r="Z774" t="s">
        <v>1835</v>
      </c>
      <c r="AA774" t="s">
        <v>472</v>
      </c>
      <c r="AB774" t="s">
        <v>1273</v>
      </c>
      <c r="AC774" t="s">
        <v>542</v>
      </c>
      <c r="AD774" t="s">
        <v>234</v>
      </c>
      <c r="AE774" t="s">
        <v>163</v>
      </c>
      <c r="AF774" t="s">
        <v>235</v>
      </c>
      <c r="AG774">
        <v>392410.4</v>
      </c>
      <c r="AH774">
        <v>70</v>
      </c>
      <c r="AL774" t="s">
        <v>2189</v>
      </c>
      <c r="AM774" t="s">
        <v>411</v>
      </c>
      <c r="AN774" t="s">
        <v>340</v>
      </c>
    </row>
    <row r="775" spans="1:115" x14ac:dyDescent="0.25">
      <c r="A775" t="s">
        <v>3657</v>
      </c>
      <c r="B775" t="e">
        <f>_xlfn.XLOOKUP(C775,'[1]Image URL'!$E:$E,'[1]Image URL'!$A:$A)</f>
        <v>#N/A</v>
      </c>
      <c r="C775">
        <v>721807</v>
      </c>
      <c r="D775" t="s">
        <v>3421</v>
      </c>
      <c r="E775" t="s">
        <v>3422</v>
      </c>
      <c r="F775" t="s">
        <v>1734</v>
      </c>
      <c r="G775" t="s">
        <v>1734</v>
      </c>
      <c r="H775" t="s">
        <v>3423</v>
      </c>
      <c r="J775" t="s">
        <v>195</v>
      </c>
      <c r="U775" t="s">
        <v>1459</v>
      </c>
      <c r="V775" t="s">
        <v>1385</v>
      </c>
      <c r="W775">
        <v>77838028902</v>
      </c>
      <c r="X775">
        <v>10077838028909</v>
      </c>
      <c r="Y775" t="s">
        <v>1125</v>
      </c>
      <c r="Z775" t="s">
        <v>2963</v>
      </c>
      <c r="AA775" t="s">
        <v>742</v>
      </c>
      <c r="AB775" t="s">
        <v>192</v>
      </c>
      <c r="AC775" t="s">
        <v>463</v>
      </c>
      <c r="AD775" t="s">
        <v>997</v>
      </c>
      <c r="AE775" t="s">
        <v>268</v>
      </c>
      <c r="AF775" t="s">
        <v>268</v>
      </c>
      <c r="AG775">
        <v>392410.4</v>
      </c>
      <c r="AH775">
        <v>65</v>
      </c>
      <c r="AM775" t="s">
        <v>2131</v>
      </c>
      <c r="BX775" t="s">
        <v>1734</v>
      </c>
    </row>
    <row r="776" spans="1:115" x14ac:dyDescent="0.25">
      <c r="A776" t="s">
        <v>3658</v>
      </c>
      <c r="B776" t="e">
        <f>_xlfn.XLOOKUP(C776,'[1]Image URL'!$E:$E,'[1]Image URL'!$A:$A)</f>
        <v>#N/A</v>
      </c>
      <c r="C776">
        <v>721207</v>
      </c>
      <c r="D776" t="s">
        <v>3660</v>
      </c>
      <c r="E776" t="s">
        <v>3436</v>
      </c>
      <c r="F776" t="s">
        <v>3437</v>
      </c>
      <c r="G776" t="s">
        <v>3437</v>
      </c>
      <c r="H776" t="s">
        <v>3438</v>
      </c>
      <c r="J776" t="s">
        <v>195</v>
      </c>
      <c r="U776" t="s">
        <v>1459</v>
      </c>
      <c r="V776" t="s">
        <v>1385</v>
      </c>
      <c r="W776">
        <v>77838209189</v>
      </c>
      <c r="X776">
        <v>10077838109189</v>
      </c>
      <c r="Y776" t="s">
        <v>3439</v>
      </c>
      <c r="Z776" t="s">
        <v>764</v>
      </c>
      <c r="AA776" t="s">
        <v>1374</v>
      </c>
      <c r="AB776" t="s">
        <v>152</v>
      </c>
      <c r="AC776" t="s">
        <v>324</v>
      </c>
      <c r="AD776" t="s">
        <v>3440</v>
      </c>
      <c r="AE776" t="s">
        <v>2903</v>
      </c>
      <c r="AF776" t="s">
        <v>185</v>
      </c>
      <c r="AG776">
        <v>392410.4</v>
      </c>
      <c r="AH776">
        <v>70</v>
      </c>
      <c r="AL776" t="s">
        <v>1645</v>
      </c>
      <c r="AM776" t="s">
        <v>508</v>
      </c>
      <c r="BX776" t="s">
        <v>3437</v>
      </c>
    </row>
    <row r="777" spans="1:115" x14ac:dyDescent="0.25">
      <c r="A777" t="s">
        <v>3661</v>
      </c>
      <c r="B777" t="e">
        <f>_xlfn.XLOOKUP(C777,'[1]Image URL'!$E:$E,'[1]Image URL'!$A:$A)</f>
        <v>#N/A</v>
      </c>
      <c r="C777">
        <v>4446003</v>
      </c>
      <c r="D777" t="s">
        <v>3662</v>
      </c>
      <c r="E777" t="s">
        <v>3663</v>
      </c>
      <c r="H777" t="s">
        <v>3664</v>
      </c>
      <c r="U777" t="s">
        <v>3665</v>
      </c>
      <c r="V777" t="s">
        <v>3290</v>
      </c>
      <c r="W777">
        <v>77838254721</v>
      </c>
      <c r="X777">
        <v>10077838154721</v>
      </c>
      <c r="Y777" t="s">
        <v>3666</v>
      </c>
      <c r="Z777" t="s">
        <v>1737</v>
      </c>
      <c r="AA777" t="s">
        <v>472</v>
      </c>
      <c r="AB777" t="s">
        <v>457</v>
      </c>
      <c r="AC777" t="s">
        <v>152</v>
      </c>
      <c r="AD777" t="s">
        <v>1390</v>
      </c>
      <c r="AE777" t="s">
        <v>184</v>
      </c>
      <c r="AF777" t="s">
        <v>315</v>
      </c>
      <c r="AG777">
        <v>732393.00800000003</v>
      </c>
      <c r="AH777">
        <v>70</v>
      </c>
      <c r="AM777" t="s">
        <v>3496</v>
      </c>
      <c r="CC777" t="s">
        <v>3129</v>
      </c>
    </row>
    <row r="778" spans="1:115" x14ac:dyDescent="0.25">
      <c r="A778" t="s">
        <v>3667</v>
      </c>
      <c r="B778" t="e">
        <f>_xlfn.XLOOKUP(C778,'[1]Image URL'!$E:$E,'[1]Image URL'!$A:$A)</f>
        <v>#N/A</v>
      </c>
      <c r="C778">
        <v>722307</v>
      </c>
      <c r="D778" t="s">
        <v>3668</v>
      </c>
      <c r="E778" t="s">
        <v>3669</v>
      </c>
      <c r="F778" t="s">
        <v>664</v>
      </c>
      <c r="G778" t="s">
        <v>664</v>
      </c>
      <c r="H778" t="s">
        <v>186</v>
      </c>
      <c r="J778" t="s">
        <v>212</v>
      </c>
      <c r="U778" t="s">
        <v>584</v>
      </c>
      <c r="V778" t="s">
        <v>157</v>
      </c>
      <c r="W778">
        <v>77838208540</v>
      </c>
      <c r="X778">
        <v>10077838008543</v>
      </c>
      <c r="Y778" t="s">
        <v>3023</v>
      </c>
      <c r="Z778" t="s">
        <v>465</v>
      </c>
      <c r="AA778" t="s">
        <v>1374</v>
      </c>
      <c r="AB778" t="s">
        <v>1510</v>
      </c>
      <c r="AC778" t="s">
        <v>757</v>
      </c>
      <c r="AD778" t="s">
        <v>1390</v>
      </c>
      <c r="AE778" t="s">
        <v>184</v>
      </c>
      <c r="AF778" t="s">
        <v>315</v>
      </c>
      <c r="AG778">
        <v>392410.4</v>
      </c>
      <c r="AH778">
        <v>70</v>
      </c>
      <c r="AM778" t="s">
        <v>1735</v>
      </c>
      <c r="CC778" t="s">
        <v>664</v>
      </c>
      <c r="CQ778" t="s">
        <v>939</v>
      </c>
    </row>
    <row r="779" spans="1:115" x14ac:dyDescent="0.25">
      <c r="A779" t="s">
        <v>3670</v>
      </c>
      <c r="B779" t="e">
        <f>_xlfn.XLOOKUP(C779,'[1]Image URL'!$E:$E,'[1]Image URL'!$A:$A)</f>
        <v>#N/A</v>
      </c>
      <c r="C779">
        <v>882103</v>
      </c>
      <c r="D779" t="s">
        <v>3492</v>
      </c>
      <c r="E779" t="s">
        <v>3493</v>
      </c>
      <c r="H779" t="s">
        <v>3494</v>
      </c>
      <c r="J779" t="s">
        <v>212</v>
      </c>
      <c r="U779" t="s">
        <v>584</v>
      </c>
      <c r="V779" t="s">
        <v>157</v>
      </c>
      <c r="W779">
        <v>77838000366</v>
      </c>
      <c r="X779">
        <v>10077838000363</v>
      </c>
      <c r="Y779" t="s">
        <v>665</v>
      </c>
      <c r="Z779" t="s">
        <v>2277</v>
      </c>
      <c r="AA779" t="s">
        <v>3495</v>
      </c>
      <c r="AB779" t="s">
        <v>220</v>
      </c>
      <c r="AC779" t="s">
        <v>462</v>
      </c>
      <c r="AD779" t="s">
        <v>1562</v>
      </c>
      <c r="AE779" t="s">
        <v>1113</v>
      </c>
      <c r="AF779" t="s">
        <v>302</v>
      </c>
      <c r="AG779">
        <v>392410.2</v>
      </c>
      <c r="AH779">
        <v>175</v>
      </c>
      <c r="AM779" t="s">
        <v>3496</v>
      </c>
      <c r="CC779" t="s">
        <v>334</v>
      </c>
      <c r="CQ779" t="s">
        <v>550</v>
      </c>
    </row>
    <row r="780" spans="1:115" x14ac:dyDescent="0.25">
      <c r="A780" t="s">
        <v>3671</v>
      </c>
      <c r="B780" t="e">
        <f>_xlfn.XLOOKUP(C780,'[1]Image URL'!$E:$E,'[1]Image URL'!$A:$A)</f>
        <v>#N/A</v>
      </c>
      <c r="C780" t="s">
        <v>3928</v>
      </c>
      <c r="D780" t="s">
        <v>3672</v>
      </c>
      <c r="E780" t="s">
        <v>3673</v>
      </c>
      <c r="F780" t="s">
        <v>170</v>
      </c>
      <c r="G780" t="s">
        <v>145</v>
      </c>
      <c r="H780" t="s">
        <v>334</v>
      </c>
      <c r="I780" t="s">
        <v>194</v>
      </c>
      <c r="J780" t="s">
        <v>212</v>
      </c>
      <c r="U780" t="s">
        <v>217</v>
      </c>
      <c r="V780" t="s">
        <v>157</v>
      </c>
      <c r="W780">
        <v>77838209547</v>
      </c>
      <c r="X780">
        <v>10077838009540</v>
      </c>
      <c r="Y780" t="s">
        <v>3653</v>
      </c>
      <c r="Z780" t="s">
        <v>1509</v>
      </c>
      <c r="AA780" t="s">
        <v>462</v>
      </c>
      <c r="AB780" t="s">
        <v>462</v>
      </c>
      <c r="AC780" t="s">
        <v>1692</v>
      </c>
      <c r="AD780" t="s">
        <v>1142</v>
      </c>
      <c r="AE780" t="s">
        <v>204</v>
      </c>
      <c r="AF780" t="s">
        <v>235</v>
      </c>
      <c r="AG780">
        <v>392410.4</v>
      </c>
      <c r="AH780">
        <v>125</v>
      </c>
      <c r="AL780" t="s">
        <v>399</v>
      </c>
      <c r="AM780" t="s">
        <v>2451</v>
      </c>
      <c r="AT780" t="s">
        <v>575</v>
      </c>
      <c r="DJ780" t="s">
        <v>145</v>
      </c>
      <c r="DK780" t="s">
        <v>664</v>
      </c>
    </row>
    <row r="781" spans="1:115" x14ac:dyDescent="0.25">
      <c r="A781" t="s">
        <v>3674</v>
      </c>
      <c r="B781" t="e">
        <f>_xlfn.XLOOKUP(C781,'[1]Image URL'!$E:$E,'[1]Image URL'!$A:$A)</f>
        <v>#N/A</v>
      </c>
      <c r="C781">
        <v>5552437</v>
      </c>
      <c r="D781" t="s">
        <v>3675</v>
      </c>
      <c r="E781" t="s">
        <v>3453</v>
      </c>
      <c r="F781" t="s">
        <v>211</v>
      </c>
      <c r="G781" t="s">
        <v>211</v>
      </c>
      <c r="H781" t="s">
        <v>392</v>
      </c>
      <c r="I781" t="s">
        <v>194</v>
      </c>
      <c r="J781" t="s">
        <v>212</v>
      </c>
      <c r="U781" t="s">
        <v>217</v>
      </c>
      <c r="V781" t="s">
        <v>157</v>
      </c>
      <c r="W781">
        <v>77838504741</v>
      </c>
      <c r="X781">
        <v>10077838004743</v>
      </c>
      <c r="Y781" t="s">
        <v>3454</v>
      </c>
      <c r="Z781" t="s">
        <v>424</v>
      </c>
      <c r="AA781" t="s">
        <v>3455</v>
      </c>
      <c r="AB781" t="s">
        <v>1990</v>
      </c>
      <c r="AC781" t="s">
        <v>530</v>
      </c>
      <c r="AD781" t="s">
        <v>479</v>
      </c>
      <c r="AE781" t="s">
        <v>164</v>
      </c>
      <c r="AF781" t="s">
        <v>185</v>
      </c>
      <c r="AG781">
        <v>392410.4</v>
      </c>
      <c r="AH781">
        <v>175</v>
      </c>
      <c r="AL781" t="s">
        <v>1320</v>
      </c>
      <c r="AN781" t="s">
        <v>211</v>
      </c>
      <c r="CC781" t="s">
        <v>324</v>
      </c>
    </row>
    <row r="782" spans="1:115" x14ac:dyDescent="0.25">
      <c r="A782" t="s">
        <v>3676</v>
      </c>
      <c r="B782" t="e">
        <f>_xlfn.XLOOKUP(C782,'[1]Image URL'!$E:$E,'[1]Image URL'!$A:$A)</f>
        <v>#N/A</v>
      </c>
      <c r="C782">
        <v>4443202</v>
      </c>
      <c r="D782" t="s">
        <v>3643</v>
      </c>
      <c r="E782" t="s">
        <v>3599</v>
      </c>
      <c r="F782" t="s">
        <v>846</v>
      </c>
      <c r="G782" t="s">
        <v>846</v>
      </c>
      <c r="H782" t="s">
        <v>3600</v>
      </c>
      <c r="J782" t="s">
        <v>212</v>
      </c>
      <c r="U782" t="s">
        <v>584</v>
      </c>
      <c r="V782" t="s">
        <v>1385</v>
      </c>
      <c r="W782">
        <v>77838767610</v>
      </c>
      <c r="X782">
        <v>10077838667610</v>
      </c>
      <c r="Y782" t="s">
        <v>659</v>
      </c>
      <c r="Z782" t="s">
        <v>1141</v>
      </c>
      <c r="AA782" t="s">
        <v>2257</v>
      </c>
      <c r="AB782" t="s">
        <v>1602</v>
      </c>
      <c r="AC782" t="s">
        <v>288</v>
      </c>
      <c r="AD782" t="s">
        <v>867</v>
      </c>
      <c r="AE782" t="s">
        <v>314</v>
      </c>
      <c r="AF782" t="s">
        <v>185</v>
      </c>
      <c r="AG782">
        <v>392410.4</v>
      </c>
      <c r="AH782">
        <v>70</v>
      </c>
      <c r="AL782" t="s">
        <v>3271</v>
      </c>
      <c r="AM782" t="s">
        <v>1269</v>
      </c>
      <c r="BX782" t="s">
        <v>846</v>
      </c>
    </row>
    <row r="783" spans="1:115" x14ac:dyDescent="0.25">
      <c r="A783" t="s">
        <v>3677</v>
      </c>
      <c r="B783" t="e">
        <f>_xlfn.XLOOKUP(C783,'[1]Image URL'!$E:$E,'[1]Image URL'!$A:$A)</f>
        <v>#N/A</v>
      </c>
      <c r="C783" t="s">
        <v>3950</v>
      </c>
      <c r="D783" t="s">
        <v>3465</v>
      </c>
      <c r="E783" t="s">
        <v>3426</v>
      </c>
      <c r="F783" t="s">
        <v>2450</v>
      </c>
      <c r="G783" t="s">
        <v>2450</v>
      </c>
      <c r="H783" t="s">
        <v>413</v>
      </c>
      <c r="J783" t="s">
        <v>195</v>
      </c>
      <c r="U783" t="s">
        <v>1459</v>
      </c>
      <c r="V783" t="s">
        <v>1385</v>
      </c>
      <c r="W783">
        <v>77838811092</v>
      </c>
      <c r="X783">
        <v>10077838811099</v>
      </c>
      <c r="Y783" t="s">
        <v>3427</v>
      </c>
      <c r="Z783" t="s">
        <v>1141</v>
      </c>
      <c r="AA783" t="s">
        <v>421</v>
      </c>
      <c r="AB783" t="s">
        <v>332</v>
      </c>
      <c r="AC783" t="s">
        <v>361</v>
      </c>
      <c r="AD783" t="s">
        <v>1884</v>
      </c>
      <c r="AE783" t="s">
        <v>315</v>
      </c>
      <c r="AF783" t="s">
        <v>403</v>
      </c>
      <c r="AG783">
        <v>392410.4</v>
      </c>
      <c r="AH783">
        <v>70</v>
      </c>
      <c r="AM783" t="s">
        <v>847</v>
      </c>
      <c r="AN783" t="s">
        <v>2450</v>
      </c>
    </row>
    <row r="784" spans="1:115" x14ac:dyDescent="0.25">
      <c r="A784" t="s">
        <v>3678</v>
      </c>
      <c r="B784" t="e">
        <f>_xlfn.XLOOKUP(C784,'[1]Image URL'!$E:$E,'[1]Image URL'!$A:$A)</f>
        <v>#N/A</v>
      </c>
      <c r="C784">
        <v>5553837</v>
      </c>
      <c r="D784" t="s">
        <v>3680</v>
      </c>
      <c r="E784" t="s">
        <v>3444</v>
      </c>
      <c r="F784" t="s">
        <v>334</v>
      </c>
      <c r="G784" t="s">
        <v>334</v>
      </c>
      <c r="H784" t="s">
        <v>413</v>
      </c>
      <c r="U784" t="s">
        <v>1459</v>
      </c>
      <c r="V784" t="s">
        <v>1385</v>
      </c>
      <c r="W784">
        <v>77838893401</v>
      </c>
      <c r="X784">
        <v>10077838893408</v>
      </c>
      <c r="Y784" t="s">
        <v>3681</v>
      </c>
      <c r="Z784" t="s">
        <v>764</v>
      </c>
      <c r="AA784" t="s">
        <v>3682</v>
      </c>
      <c r="AB784" t="s">
        <v>3682</v>
      </c>
      <c r="AC784" t="s">
        <v>2419</v>
      </c>
      <c r="AD784" t="s">
        <v>634</v>
      </c>
      <c r="AE784" t="s">
        <v>163</v>
      </c>
      <c r="AF784" t="s">
        <v>185</v>
      </c>
      <c r="AG784">
        <v>392410.4</v>
      </c>
      <c r="AH784">
        <v>65</v>
      </c>
      <c r="AL784" t="s">
        <v>3683</v>
      </c>
      <c r="CC784" t="s">
        <v>334</v>
      </c>
      <c r="CX784" t="s">
        <v>201</v>
      </c>
    </row>
    <row r="785" spans="1:110" x14ac:dyDescent="0.25">
      <c r="A785" t="s">
        <v>3684</v>
      </c>
      <c r="B785" t="e">
        <f>_xlfn.XLOOKUP(C785,'[1]Image URL'!$E:$E,'[1]Image URL'!$A:$A)</f>
        <v>#N/A</v>
      </c>
      <c r="C785">
        <v>5552637</v>
      </c>
      <c r="D785" t="s">
        <v>3685</v>
      </c>
      <c r="E785" t="s">
        <v>3686</v>
      </c>
      <c r="F785" t="s">
        <v>457</v>
      </c>
      <c r="G785" t="s">
        <v>457</v>
      </c>
      <c r="H785" t="s">
        <v>392</v>
      </c>
      <c r="I785" t="s">
        <v>194</v>
      </c>
      <c r="J785" t="s">
        <v>148</v>
      </c>
      <c r="U785" t="s">
        <v>217</v>
      </c>
      <c r="V785" t="s">
        <v>157</v>
      </c>
      <c r="W785">
        <v>77838189177</v>
      </c>
      <c r="X785">
        <v>10077838189174</v>
      </c>
      <c r="Y785" t="s">
        <v>452</v>
      </c>
      <c r="Z785" t="s">
        <v>2163</v>
      </c>
      <c r="AA785" t="s">
        <v>747</v>
      </c>
      <c r="AB785" t="s">
        <v>868</v>
      </c>
      <c r="AC785" t="s">
        <v>3687</v>
      </c>
      <c r="AD785" t="s">
        <v>183</v>
      </c>
      <c r="AE785" t="s">
        <v>184</v>
      </c>
      <c r="AF785" t="s">
        <v>185</v>
      </c>
      <c r="AG785">
        <v>392350</v>
      </c>
      <c r="AH785">
        <v>85</v>
      </c>
      <c r="AL785" t="s">
        <v>1744</v>
      </c>
      <c r="AN785" t="s">
        <v>457</v>
      </c>
    </row>
    <row r="786" spans="1:110" x14ac:dyDescent="0.25">
      <c r="A786" t="s">
        <v>3688</v>
      </c>
      <c r="B786" t="e">
        <f>_xlfn.XLOOKUP(C786,'[1]Image URL'!$E:$E,'[1]Image URL'!$A:$A)</f>
        <v>#N/A</v>
      </c>
      <c r="C786">
        <v>41102</v>
      </c>
      <c r="D786" t="s">
        <v>3525</v>
      </c>
      <c r="E786" t="s">
        <v>3526</v>
      </c>
      <c r="F786" t="s">
        <v>2866</v>
      </c>
      <c r="G786" t="s">
        <v>2866</v>
      </c>
      <c r="H786" t="s">
        <v>3513</v>
      </c>
      <c r="J786" t="s">
        <v>212</v>
      </c>
      <c r="U786" t="s">
        <v>584</v>
      </c>
      <c r="V786" t="s">
        <v>1385</v>
      </c>
      <c r="W786">
        <v>77838267509</v>
      </c>
      <c r="X786">
        <v>10077838167509</v>
      </c>
      <c r="Y786" t="s">
        <v>218</v>
      </c>
      <c r="Z786" t="s">
        <v>844</v>
      </c>
      <c r="AA786" t="s">
        <v>394</v>
      </c>
      <c r="AB786" t="s">
        <v>329</v>
      </c>
      <c r="AC786" t="s">
        <v>536</v>
      </c>
      <c r="AD786" t="s">
        <v>3462</v>
      </c>
      <c r="AE786" t="s">
        <v>1113</v>
      </c>
      <c r="AF786" t="s">
        <v>185</v>
      </c>
      <c r="AG786">
        <v>392410.4</v>
      </c>
      <c r="AH786">
        <v>70</v>
      </c>
      <c r="AL786" t="s">
        <v>2032</v>
      </c>
      <c r="AM786" t="s">
        <v>411</v>
      </c>
      <c r="BX786" t="s">
        <v>2866</v>
      </c>
    </row>
    <row r="787" spans="1:110" x14ac:dyDescent="0.25">
      <c r="A787" t="s">
        <v>3689</v>
      </c>
      <c r="B787" t="e">
        <f>_xlfn.XLOOKUP(C787,'[1]Image URL'!$E:$E,'[1]Image URL'!$A:$A)</f>
        <v>#N/A</v>
      </c>
      <c r="C787">
        <v>3330202</v>
      </c>
      <c r="D787" t="s">
        <v>3551</v>
      </c>
      <c r="E787" t="s">
        <v>3552</v>
      </c>
      <c r="F787" t="s">
        <v>1982</v>
      </c>
      <c r="G787" t="s">
        <v>1982</v>
      </c>
      <c r="H787" t="s">
        <v>186</v>
      </c>
      <c r="J787" t="s">
        <v>195</v>
      </c>
      <c r="U787" t="s">
        <v>1459</v>
      </c>
      <c r="V787" t="s">
        <v>1385</v>
      </c>
      <c r="W787">
        <v>77838811160</v>
      </c>
      <c r="X787">
        <v>10077838811167</v>
      </c>
      <c r="Y787" t="s">
        <v>304</v>
      </c>
      <c r="Z787" t="s">
        <v>2462</v>
      </c>
      <c r="AA787" t="s">
        <v>2055</v>
      </c>
      <c r="AB787" t="s">
        <v>3553</v>
      </c>
      <c r="AC787" t="s">
        <v>410</v>
      </c>
      <c r="AD787" t="s">
        <v>183</v>
      </c>
      <c r="AE787" t="s">
        <v>184</v>
      </c>
      <c r="AF787" t="s">
        <v>185</v>
      </c>
      <c r="AG787">
        <v>392410.4</v>
      </c>
      <c r="AH787">
        <v>70</v>
      </c>
      <c r="AL787" t="s">
        <v>1790</v>
      </c>
      <c r="AM787" t="s">
        <v>1202</v>
      </c>
      <c r="AN787" t="s">
        <v>1982</v>
      </c>
    </row>
    <row r="788" spans="1:110" x14ac:dyDescent="0.25">
      <c r="A788" t="s">
        <v>3690</v>
      </c>
      <c r="B788" t="e">
        <f>_xlfn.XLOOKUP(C788,'[1]Image URL'!$E:$E,'[1]Image URL'!$A:$A)</f>
        <v>#N/A</v>
      </c>
      <c r="C788" t="s">
        <v>3981</v>
      </c>
      <c r="D788" t="s">
        <v>3467</v>
      </c>
      <c r="E788" t="s">
        <v>3468</v>
      </c>
      <c r="F788" t="s">
        <v>394</v>
      </c>
      <c r="G788" t="s">
        <v>374</v>
      </c>
      <c r="H788" t="s">
        <v>193</v>
      </c>
      <c r="J788" t="s">
        <v>195</v>
      </c>
      <c r="U788" t="s">
        <v>1459</v>
      </c>
      <c r="V788" t="s">
        <v>1385</v>
      </c>
      <c r="W788">
        <v>77838200490</v>
      </c>
      <c r="X788">
        <v>10077838200497</v>
      </c>
      <c r="Y788" t="s">
        <v>240</v>
      </c>
      <c r="Z788" t="s">
        <v>746</v>
      </c>
      <c r="AA788" t="s">
        <v>145</v>
      </c>
      <c r="AB788" t="s">
        <v>3469</v>
      </c>
      <c r="AC788" t="s">
        <v>145</v>
      </c>
      <c r="AD788" t="s">
        <v>183</v>
      </c>
      <c r="AE788" t="s">
        <v>184</v>
      </c>
      <c r="AF788" t="s">
        <v>185</v>
      </c>
      <c r="AG788">
        <v>392410.4</v>
      </c>
      <c r="AH788">
        <v>65</v>
      </c>
      <c r="AM788" t="s">
        <v>1202</v>
      </c>
      <c r="BZ788" t="s">
        <v>1575</v>
      </c>
      <c r="CA788" t="s">
        <v>374</v>
      </c>
      <c r="DF788" t="s">
        <v>847</v>
      </c>
    </row>
    <row r="789" spans="1:110" x14ac:dyDescent="0.25">
      <c r="A789" t="s">
        <v>3691</v>
      </c>
      <c r="B789" t="e">
        <f>_xlfn.XLOOKUP(C789,'[1]Image URL'!$E:$E,'[1]Image URL'!$A:$A)</f>
        <v>#N/A</v>
      </c>
      <c r="C789" t="s">
        <v>3986</v>
      </c>
      <c r="D789" t="s">
        <v>3692</v>
      </c>
      <c r="E789" t="s">
        <v>3599</v>
      </c>
      <c r="F789" t="s">
        <v>846</v>
      </c>
      <c r="G789" t="s">
        <v>846</v>
      </c>
      <c r="H789" t="s">
        <v>3600</v>
      </c>
      <c r="J789" t="s">
        <v>212</v>
      </c>
      <c r="U789" t="s">
        <v>584</v>
      </c>
      <c r="V789" t="s">
        <v>1385</v>
      </c>
      <c r="W789">
        <v>77838267615</v>
      </c>
      <c r="X789">
        <v>10077838167615</v>
      </c>
      <c r="Y789" t="s">
        <v>659</v>
      </c>
      <c r="Z789" t="s">
        <v>1141</v>
      </c>
      <c r="AA789" t="s">
        <v>2257</v>
      </c>
      <c r="AB789" t="s">
        <v>1602</v>
      </c>
      <c r="AC789" t="s">
        <v>288</v>
      </c>
      <c r="AD789" t="s">
        <v>867</v>
      </c>
      <c r="AE789" t="s">
        <v>314</v>
      </c>
      <c r="AF789" t="s">
        <v>185</v>
      </c>
      <c r="AG789">
        <v>392410.4</v>
      </c>
      <c r="AH789">
        <v>70</v>
      </c>
      <c r="AL789" t="s">
        <v>3271</v>
      </c>
      <c r="AM789" t="s">
        <v>1269</v>
      </c>
      <c r="BX789" t="s">
        <v>846</v>
      </c>
    </row>
    <row r="790" spans="1:110" x14ac:dyDescent="0.25">
      <c r="A790" t="s">
        <v>3693</v>
      </c>
      <c r="B790" t="e">
        <f>_xlfn.XLOOKUP(C790,'[1]Image URL'!$E:$E,'[1]Image URL'!$A:$A)</f>
        <v>#N/A</v>
      </c>
      <c r="C790">
        <v>5552837</v>
      </c>
      <c r="D790" t="s">
        <v>3695</v>
      </c>
      <c r="E790" t="s">
        <v>3436</v>
      </c>
      <c r="F790" t="s">
        <v>3437</v>
      </c>
      <c r="G790" t="s">
        <v>3437</v>
      </c>
      <c r="H790" t="s">
        <v>3438</v>
      </c>
      <c r="J790" t="s">
        <v>195</v>
      </c>
      <c r="U790" t="s">
        <v>1459</v>
      </c>
      <c r="V790" t="s">
        <v>1385</v>
      </c>
      <c r="W790">
        <v>77838233481</v>
      </c>
      <c r="X790">
        <v>10077838033484</v>
      </c>
      <c r="Y790" t="s">
        <v>3439</v>
      </c>
      <c r="Z790" t="s">
        <v>764</v>
      </c>
      <c r="AA790" t="s">
        <v>1374</v>
      </c>
      <c r="AB790" t="s">
        <v>152</v>
      </c>
      <c r="AC790" t="s">
        <v>324</v>
      </c>
      <c r="AD790" t="s">
        <v>3440</v>
      </c>
      <c r="AE790" t="s">
        <v>2903</v>
      </c>
      <c r="AF790" t="s">
        <v>185</v>
      </c>
      <c r="AG790">
        <v>392410.4</v>
      </c>
      <c r="AH790">
        <v>70</v>
      </c>
      <c r="AL790" t="s">
        <v>1645</v>
      </c>
      <c r="AM790" t="s">
        <v>508</v>
      </c>
      <c r="BX790" t="s">
        <v>3437</v>
      </c>
    </row>
    <row r="791" spans="1:110" x14ac:dyDescent="0.25">
      <c r="A791" t="s">
        <v>3696</v>
      </c>
      <c r="B791" t="e">
        <f>_xlfn.XLOOKUP(C791,'[1]Image URL'!$E:$E,'[1]Image URL'!$A:$A)</f>
        <v>#N/A</v>
      </c>
      <c r="C791">
        <v>698207</v>
      </c>
      <c r="D791" t="s">
        <v>3698</v>
      </c>
      <c r="E791" t="s">
        <v>3444</v>
      </c>
      <c r="F791" t="s">
        <v>1575</v>
      </c>
      <c r="G791" t="s">
        <v>1575</v>
      </c>
      <c r="H791" t="s">
        <v>186</v>
      </c>
      <c r="U791" t="s">
        <v>1459</v>
      </c>
      <c r="V791" t="s">
        <v>1385</v>
      </c>
      <c r="W791">
        <v>77838893388</v>
      </c>
      <c r="X791">
        <v>10077838893385</v>
      </c>
      <c r="Y791" t="s">
        <v>1250</v>
      </c>
      <c r="Z791" t="s">
        <v>327</v>
      </c>
      <c r="AA791" t="s">
        <v>3640</v>
      </c>
      <c r="AB791" t="s">
        <v>3640</v>
      </c>
      <c r="AC791" t="s">
        <v>3641</v>
      </c>
      <c r="AD791" t="s">
        <v>1142</v>
      </c>
      <c r="AE791" t="s">
        <v>303</v>
      </c>
      <c r="AF791" t="s">
        <v>268</v>
      </c>
      <c r="AG791">
        <v>392410.4</v>
      </c>
      <c r="AH791">
        <v>65</v>
      </c>
      <c r="AL791" t="s">
        <v>1645</v>
      </c>
      <c r="CC791" t="s">
        <v>1575</v>
      </c>
      <c r="CX791" t="s">
        <v>201</v>
      </c>
    </row>
    <row r="792" spans="1:110" x14ac:dyDescent="0.25">
      <c r="A792" t="s">
        <v>3699</v>
      </c>
      <c r="B792" t="e">
        <f>_xlfn.XLOOKUP(C792,'[1]Image URL'!$E:$E,'[1]Image URL'!$A:$A)</f>
        <v>#N/A</v>
      </c>
      <c r="C792">
        <v>3336003</v>
      </c>
      <c r="D792" t="s">
        <v>3700</v>
      </c>
      <c r="E792" t="s">
        <v>3612</v>
      </c>
      <c r="F792" t="s">
        <v>340</v>
      </c>
      <c r="G792" t="s">
        <v>340</v>
      </c>
      <c r="H792" t="s">
        <v>1641</v>
      </c>
      <c r="J792" t="s">
        <v>212</v>
      </c>
      <c r="U792" t="s">
        <v>584</v>
      </c>
      <c r="V792" t="s">
        <v>157</v>
      </c>
      <c r="W792">
        <v>77838000373</v>
      </c>
      <c r="X792">
        <v>10077838000370</v>
      </c>
      <c r="Y792" t="s">
        <v>3613</v>
      </c>
      <c r="Z792" t="s">
        <v>1509</v>
      </c>
      <c r="AA792" t="s">
        <v>421</v>
      </c>
      <c r="AB792" t="s">
        <v>1846</v>
      </c>
      <c r="AC792" t="s">
        <v>2745</v>
      </c>
      <c r="AD792" t="s">
        <v>1562</v>
      </c>
      <c r="AE792" t="s">
        <v>184</v>
      </c>
      <c r="AF792" t="s">
        <v>268</v>
      </c>
      <c r="AG792">
        <v>392410.4</v>
      </c>
      <c r="AH792">
        <v>92.5</v>
      </c>
      <c r="AM792" t="s">
        <v>3496</v>
      </c>
      <c r="CC792" t="s">
        <v>340</v>
      </c>
      <c r="CQ792" t="s">
        <v>939</v>
      </c>
    </row>
    <row r="793" spans="1:110" x14ac:dyDescent="0.25">
      <c r="A793" t="s">
        <v>3701</v>
      </c>
      <c r="B793" t="e">
        <f>_xlfn.XLOOKUP(C793,'[1]Image URL'!$E:$E,'[1]Image URL'!$A:$A)</f>
        <v>#N/A</v>
      </c>
      <c r="C793">
        <v>8919406</v>
      </c>
      <c r="D793" t="s">
        <v>3702</v>
      </c>
      <c r="E793" t="s">
        <v>3686</v>
      </c>
      <c r="F793" t="s">
        <v>457</v>
      </c>
      <c r="G793" t="s">
        <v>457</v>
      </c>
      <c r="H793" t="s">
        <v>392</v>
      </c>
      <c r="I793" t="s">
        <v>194</v>
      </c>
      <c r="J793" t="s">
        <v>148</v>
      </c>
      <c r="U793" t="s">
        <v>217</v>
      </c>
      <c r="V793" t="s">
        <v>157</v>
      </c>
      <c r="W793">
        <v>77838189214</v>
      </c>
      <c r="X793">
        <v>10077838189211</v>
      </c>
      <c r="Y793" t="s">
        <v>452</v>
      </c>
      <c r="Z793" t="s">
        <v>2163</v>
      </c>
      <c r="AA793" t="s">
        <v>747</v>
      </c>
      <c r="AB793" t="s">
        <v>868</v>
      </c>
      <c r="AC793" t="s">
        <v>3687</v>
      </c>
      <c r="AD793" t="s">
        <v>183</v>
      </c>
      <c r="AE793" t="s">
        <v>184</v>
      </c>
      <c r="AF793" t="s">
        <v>185</v>
      </c>
      <c r="AG793">
        <v>392350</v>
      </c>
      <c r="AH793">
        <v>85</v>
      </c>
      <c r="AL793" t="s">
        <v>1744</v>
      </c>
      <c r="AN793" t="s">
        <v>457</v>
      </c>
    </row>
    <row r="794" spans="1:110" x14ac:dyDescent="0.25">
      <c r="A794" t="s">
        <v>3703</v>
      </c>
      <c r="B794" t="e">
        <f>_xlfn.XLOOKUP(C794,'[1]Image URL'!$E:$E,'[1]Image URL'!$A:$A)</f>
        <v>#N/A</v>
      </c>
      <c r="C794">
        <v>4446202</v>
      </c>
      <c r="D794" t="s">
        <v>3705</v>
      </c>
      <c r="E794" t="s">
        <v>3444</v>
      </c>
      <c r="F794" t="s">
        <v>1575</v>
      </c>
      <c r="G794" t="s">
        <v>1575</v>
      </c>
      <c r="H794" t="s">
        <v>186</v>
      </c>
      <c r="U794" t="s">
        <v>1459</v>
      </c>
      <c r="V794" t="s">
        <v>1385</v>
      </c>
      <c r="W794">
        <v>77838893395</v>
      </c>
      <c r="X794">
        <v>10077838893392</v>
      </c>
      <c r="Y794" t="s">
        <v>1250</v>
      </c>
      <c r="Z794" t="s">
        <v>327</v>
      </c>
      <c r="AA794" t="s">
        <v>3640</v>
      </c>
      <c r="AB794" t="s">
        <v>3640</v>
      </c>
      <c r="AC794" t="s">
        <v>3641</v>
      </c>
      <c r="AD794" t="s">
        <v>1142</v>
      </c>
      <c r="AE794" t="s">
        <v>303</v>
      </c>
      <c r="AF794" t="s">
        <v>268</v>
      </c>
      <c r="AG794">
        <v>392410.4</v>
      </c>
      <c r="AH794">
        <v>65</v>
      </c>
      <c r="AL794" t="s">
        <v>1645</v>
      </c>
      <c r="CC794" t="s">
        <v>1575</v>
      </c>
      <c r="CX794" t="s">
        <v>201</v>
      </c>
    </row>
    <row r="795" spans="1:110" x14ac:dyDescent="0.25">
      <c r="A795" t="s">
        <v>3706</v>
      </c>
      <c r="B795" t="e">
        <f>_xlfn.XLOOKUP(C795,'[1]Image URL'!$E:$E,'[1]Image URL'!$A:$A)</f>
        <v>#N/A</v>
      </c>
      <c r="C795">
        <v>791303</v>
      </c>
      <c r="D795" t="s">
        <v>3707</v>
      </c>
      <c r="E795" t="s">
        <v>3669</v>
      </c>
      <c r="F795" t="s">
        <v>664</v>
      </c>
      <c r="G795" t="s">
        <v>664</v>
      </c>
      <c r="H795" t="s">
        <v>186</v>
      </c>
      <c r="J795" t="s">
        <v>212</v>
      </c>
      <c r="U795" t="s">
        <v>584</v>
      </c>
      <c r="V795" t="s">
        <v>157</v>
      </c>
      <c r="W795">
        <v>77838208335</v>
      </c>
      <c r="X795">
        <v>10077838008338</v>
      </c>
      <c r="Y795" t="s">
        <v>3023</v>
      </c>
      <c r="Z795" t="s">
        <v>465</v>
      </c>
      <c r="AA795" t="s">
        <v>1374</v>
      </c>
      <c r="AB795" t="s">
        <v>1510</v>
      </c>
      <c r="AC795" t="s">
        <v>757</v>
      </c>
      <c r="AD795" t="s">
        <v>1390</v>
      </c>
      <c r="AE795" t="s">
        <v>184</v>
      </c>
      <c r="AF795" t="s">
        <v>315</v>
      </c>
      <c r="AG795">
        <v>392410.4</v>
      </c>
      <c r="AH795">
        <v>70</v>
      </c>
      <c r="AM795" t="s">
        <v>1735</v>
      </c>
      <c r="CC795" t="s">
        <v>664</v>
      </c>
      <c r="CQ795" t="s">
        <v>939</v>
      </c>
    </row>
    <row r="796" spans="1:110" x14ac:dyDescent="0.25">
      <c r="A796" t="s">
        <v>3708</v>
      </c>
      <c r="B796" t="e">
        <f>_xlfn.XLOOKUP(C796,'[1]Image URL'!$E:$E,'[1]Image URL'!$A:$A)</f>
        <v>#N/A</v>
      </c>
      <c r="C796">
        <v>5552237</v>
      </c>
      <c r="D796" t="s">
        <v>3573</v>
      </c>
      <c r="E796" t="s">
        <v>3473</v>
      </c>
      <c r="F796" t="s">
        <v>3011</v>
      </c>
      <c r="G796" t="s">
        <v>1864</v>
      </c>
      <c r="H796" t="s">
        <v>3474</v>
      </c>
      <c r="J796" t="s">
        <v>195</v>
      </c>
      <c r="U796" t="s">
        <v>1459</v>
      </c>
      <c r="V796" t="s">
        <v>1385</v>
      </c>
      <c r="W796">
        <v>77838807804</v>
      </c>
      <c r="X796">
        <v>10077838807801</v>
      </c>
      <c r="Y796" t="s">
        <v>3445</v>
      </c>
      <c r="Z796" t="s">
        <v>1348</v>
      </c>
      <c r="AA796" t="s">
        <v>995</v>
      </c>
      <c r="AB796" t="s">
        <v>160</v>
      </c>
      <c r="AC796" t="s">
        <v>707</v>
      </c>
      <c r="AD796" t="s">
        <v>3475</v>
      </c>
      <c r="AE796" t="s">
        <v>1113</v>
      </c>
      <c r="AF796" t="s">
        <v>246</v>
      </c>
      <c r="AG796">
        <v>392410.4</v>
      </c>
      <c r="AH796">
        <v>60</v>
      </c>
      <c r="AL796" t="s">
        <v>1645</v>
      </c>
      <c r="AM796" t="s">
        <v>1202</v>
      </c>
    </row>
    <row r="797" spans="1:110" x14ac:dyDescent="0.25">
      <c r="A797" t="s">
        <v>3709</v>
      </c>
      <c r="B797" t="e">
        <f>_xlfn.XLOOKUP(C797,'[1]Image URL'!$E:$E,'[1]Image URL'!$A:$A)</f>
        <v>#N/A</v>
      </c>
      <c r="C797">
        <v>4446002</v>
      </c>
      <c r="D797" t="s">
        <v>3711</v>
      </c>
      <c r="E797" t="s">
        <v>3444</v>
      </c>
      <c r="F797" t="s">
        <v>334</v>
      </c>
      <c r="G797" t="s">
        <v>334</v>
      </c>
      <c r="H797" t="s">
        <v>413</v>
      </c>
      <c r="U797" t="s">
        <v>1459</v>
      </c>
      <c r="V797" t="s">
        <v>1385</v>
      </c>
      <c r="W797">
        <v>77838892176</v>
      </c>
      <c r="X797">
        <v>10077838892173</v>
      </c>
      <c r="Y797" t="s">
        <v>3500</v>
      </c>
      <c r="Z797" t="s">
        <v>1966</v>
      </c>
      <c r="AA797" t="s">
        <v>2218</v>
      </c>
      <c r="AB797" t="s">
        <v>332</v>
      </c>
      <c r="AC797" t="s">
        <v>145</v>
      </c>
      <c r="AD797" t="s">
        <v>669</v>
      </c>
      <c r="AE797" t="s">
        <v>314</v>
      </c>
      <c r="AF797" t="s">
        <v>268</v>
      </c>
      <c r="AG797">
        <v>392410.4</v>
      </c>
      <c r="AH797">
        <v>65</v>
      </c>
      <c r="AL797" t="s">
        <v>205</v>
      </c>
      <c r="CC797" t="s">
        <v>334</v>
      </c>
      <c r="CX797" t="s">
        <v>186</v>
      </c>
    </row>
    <row r="798" spans="1:110" x14ac:dyDescent="0.25">
      <c r="A798" t="s">
        <v>3712</v>
      </c>
      <c r="B798" t="e">
        <f>_xlfn.XLOOKUP(C798,'[1]Image URL'!$E:$E,'[1]Image URL'!$A:$A)</f>
        <v>#N/A</v>
      </c>
      <c r="C798">
        <v>721007</v>
      </c>
      <c r="D798" t="s">
        <v>3714</v>
      </c>
      <c r="E798" t="s">
        <v>3436</v>
      </c>
      <c r="F798" t="s">
        <v>3437</v>
      </c>
      <c r="G798" t="s">
        <v>3437</v>
      </c>
      <c r="H798" t="s">
        <v>3438</v>
      </c>
      <c r="J798" t="s">
        <v>195</v>
      </c>
      <c r="U798" t="s">
        <v>1459</v>
      </c>
      <c r="V798" t="s">
        <v>1385</v>
      </c>
      <c r="W798">
        <v>77838213216</v>
      </c>
      <c r="X798">
        <v>10077838113216</v>
      </c>
      <c r="Y798" t="s">
        <v>3439</v>
      </c>
      <c r="Z798" t="s">
        <v>764</v>
      </c>
      <c r="AA798" t="s">
        <v>1374</v>
      </c>
      <c r="AB798" t="s">
        <v>152</v>
      </c>
      <c r="AC798" t="s">
        <v>324</v>
      </c>
      <c r="AD798" t="s">
        <v>3440</v>
      </c>
      <c r="AE798" t="s">
        <v>2903</v>
      </c>
      <c r="AF798" t="s">
        <v>185</v>
      </c>
      <c r="AG798">
        <v>392410.4</v>
      </c>
      <c r="AH798">
        <v>70</v>
      </c>
      <c r="AL798" t="s">
        <v>1645</v>
      </c>
      <c r="AM798" t="s">
        <v>508</v>
      </c>
      <c r="BX798" t="s">
        <v>3437</v>
      </c>
    </row>
    <row r="799" spans="1:110" x14ac:dyDescent="0.25">
      <c r="A799" t="s">
        <v>3715</v>
      </c>
      <c r="B799" t="e">
        <f>_xlfn.XLOOKUP(C799,'[1]Image URL'!$E:$E,'[1]Image URL'!$A:$A)</f>
        <v>#N/A</v>
      </c>
      <c r="C799">
        <v>4452003</v>
      </c>
      <c r="D799" t="s">
        <v>3716</v>
      </c>
      <c r="E799" t="s">
        <v>3717</v>
      </c>
      <c r="F799" t="s">
        <v>3718</v>
      </c>
      <c r="G799" t="s">
        <v>3718</v>
      </c>
      <c r="H799" t="s">
        <v>2129</v>
      </c>
      <c r="J799" t="s">
        <v>212</v>
      </c>
      <c r="U799" t="s">
        <v>584</v>
      </c>
      <c r="V799" t="s">
        <v>157</v>
      </c>
      <c r="W799">
        <v>77838001059</v>
      </c>
      <c r="X799">
        <v>10077838001056</v>
      </c>
      <c r="Y799" t="s">
        <v>3281</v>
      </c>
      <c r="Z799" t="s">
        <v>666</v>
      </c>
      <c r="AA799" t="s">
        <v>421</v>
      </c>
      <c r="AB799" t="s">
        <v>2969</v>
      </c>
      <c r="AC799" t="s">
        <v>2210</v>
      </c>
      <c r="AD799" t="s">
        <v>301</v>
      </c>
      <c r="AE799" t="s">
        <v>184</v>
      </c>
      <c r="AF799" t="s">
        <v>164</v>
      </c>
      <c r="AG799">
        <v>392410.4</v>
      </c>
      <c r="AH799">
        <v>100</v>
      </c>
      <c r="AM799" t="s">
        <v>3719</v>
      </c>
      <c r="CC799" t="s">
        <v>3718</v>
      </c>
    </row>
    <row r="800" spans="1:110" x14ac:dyDescent="0.25">
      <c r="A800" t="s">
        <v>3720</v>
      </c>
      <c r="B800" t="e">
        <f>_xlfn.XLOOKUP(C800,'[1]Image URL'!$E:$E,'[1]Image URL'!$A:$A)</f>
        <v>#N/A</v>
      </c>
      <c r="C800">
        <v>811203</v>
      </c>
      <c r="D800" t="s">
        <v>3598</v>
      </c>
      <c r="E800" t="s">
        <v>3599</v>
      </c>
      <c r="F800" t="s">
        <v>846</v>
      </c>
      <c r="G800" t="s">
        <v>846</v>
      </c>
      <c r="H800" t="s">
        <v>3600</v>
      </c>
      <c r="J800" t="s">
        <v>212</v>
      </c>
      <c r="U800" t="s">
        <v>584</v>
      </c>
      <c r="V800" t="s">
        <v>1385</v>
      </c>
      <c r="W800">
        <v>77838267646</v>
      </c>
      <c r="X800">
        <v>10077838167646</v>
      </c>
      <c r="Y800" t="s">
        <v>1789</v>
      </c>
      <c r="Z800" t="s">
        <v>1266</v>
      </c>
      <c r="AA800" t="s">
        <v>222</v>
      </c>
      <c r="AB800" t="s">
        <v>2196</v>
      </c>
      <c r="AC800" t="s">
        <v>182</v>
      </c>
      <c r="AD800" t="s">
        <v>2173</v>
      </c>
      <c r="AE800" t="s">
        <v>204</v>
      </c>
      <c r="AF800" t="s">
        <v>185</v>
      </c>
      <c r="AG800">
        <v>392410.4</v>
      </c>
      <c r="AH800">
        <v>70</v>
      </c>
      <c r="AL800" t="s">
        <v>1645</v>
      </c>
      <c r="AM800" t="s">
        <v>2131</v>
      </c>
      <c r="BX800" t="s">
        <v>846</v>
      </c>
    </row>
    <row r="801" spans="1:113" x14ac:dyDescent="0.25">
      <c r="A801" t="s">
        <v>3721</v>
      </c>
      <c r="B801" t="e">
        <f>_xlfn.XLOOKUP(C801,'[1]Image URL'!$E:$E,'[1]Image URL'!$A:$A)</f>
        <v>#N/A</v>
      </c>
      <c r="C801">
        <v>4440603</v>
      </c>
      <c r="D801" t="s">
        <v>3722</v>
      </c>
      <c r="E801" t="s">
        <v>3723</v>
      </c>
      <c r="F801" t="s">
        <v>329</v>
      </c>
      <c r="G801" t="s">
        <v>329</v>
      </c>
      <c r="H801" t="s">
        <v>392</v>
      </c>
      <c r="I801" t="s">
        <v>194</v>
      </c>
      <c r="J801" t="s">
        <v>148</v>
      </c>
      <c r="U801" t="s">
        <v>217</v>
      </c>
      <c r="V801" t="s">
        <v>157</v>
      </c>
      <c r="W801">
        <v>77838684955</v>
      </c>
      <c r="X801">
        <v>10077838184957</v>
      </c>
      <c r="Y801" t="s">
        <v>3724</v>
      </c>
      <c r="Z801" t="s">
        <v>3725</v>
      </c>
      <c r="AA801" t="s">
        <v>1258</v>
      </c>
      <c r="AB801" t="s">
        <v>1484</v>
      </c>
      <c r="AC801" t="s">
        <v>775</v>
      </c>
      <c r="AD801" t="s">
        <v>426</v>
      </c>
      <c r="AE801" t="s">
        <v>268</v>
      </c>
      <c r="AF801" t="s">
        <v>302</v>
      </c>
      <c r="AG801">
        <v>392350</v>
      </c>
      <c r="AH801">
        <v>92.5</v>
      </c>
      <c r="AL801" t="s">
        <v>197</v>
      </c>
      <c r="AN801" t="s">
        <v>329</v>
      </c>
      <c r="CC801" t="s">
        <v>329</v>
      </c>
    </row>
    <row r="802" spans="1:113" x14ac:dyDescent="0.25">
      <c r="A802" t="s">
        <v>3726</v>
      </c>
      <c r="B802" t="e">
        <f>_xlfn.XLOOKUP(C802,'[1]Image URL'!$E:$E,'[1]Image URL'!$A:$A)</f>
        <v>#N/A</v>
      </c>
      <c r="C802">
        <v>811003</v>
      </c>
      <c r="D802" t="s">
        <v>3728</v>
      </c>
      <c r="E802" t="s">
        <v>3436</v>
      </c>
      <c r="F802" t="s">
        <v>3437</v>
      </c>
      <c r="G802" t="s">
        <v>3437</v>
      </c>
      <c r="H802" t="s">
        <v>3438</v>
      </c>
      <c r="J802" t="s">
        <v>195</v>
      </c>
      <c r="U802" t="s">
        <v>1459</v>
      </c>
      <c r="V802" t="s">
        <v>1385</v>
      </c>
      <c r="W802">
        <v>77838233474</v>
      </c>
      <c r="X802">
        <v>10077838033477</v>
      </c>
      <c r="Y802" t="s">
        <v>3439</v>
      </c>
      <c r="Z802" t="s">
        <v>764</v>
      </c>
      <c r="AA802" t="s">
        <v>1374</v>
      </c>
      <c r="AB802" t="s">
        <v>152</v>
      </c>
      <c r="AC802" t="s">
        <v>324</v>
      </c>
      <c r="AD802" t="s">
        <v>3440</v>
      </c>
      <c r="AE802" t="s">
        <v>2903</v>
      </c>
      <c r="AF802" t="s">
        <v>185</v>
      </c>
      <c r="AG802">
        <v>392410.4</v>
      </c>
      <c r="AH802">
        <v>70</v>
      </c>
      <c r="AL802" t="s">
        <v>1645</v>
      </c>
      <c r="AM802" t="s">
        <v>508</v>
      </c>
      <c r="BX802" t="s">
        <v>3437</v>
      </c>
    </row>
    <row r="803" spans="1:113" x14ac:dyDescent="0.25">
      <c r="A803" t="s">
        <v>3729</v>
      </c>
      <c r="B803" t="e">
        <f>_xlfn.XLOOKUP(C803,'[1]Image URL'!$E:$E,'[1]Image URL'!$A:$A)</f>
        <v>#N/A</v>
      </c>
      <c r="C803">
        <v>8920406</v>
      </c>
      <c r="D803" t="s">
        <v>3730</v>
      </c>
      <c r="E803" t="s">
        <v>3731</v>
      </c>
      <c r="F803" t="s">
        <v>3474</v>
      </c>
      <c r="G803" t="s">
        <v>3474</v>
      </c>
      <c r="H803" t="s">
        <v>1641</v>
      </c>
      <c r="J803" t="s">
        <v>212</v>
      </c>
      <c r="U803" t="s">
        <v>584</v>
      </c>
      <c r="V803" t="s">
        <v>157</v>
      </c>
      <c r="W803">
        <v>77838200285</v>
      </c>
      <c r="X803">
        <v>10077838000288</v>
      </c>
      <c r="Y803" t="s">
        <v>3732</v>
      </c>
      <c r="Z803" t="s">
        <v>408</v>
      </c>
      <c r="AA803" t="s">
        <v>462</v>
      </c>
      <c r="AB803" t="s">
        <v>2210</v>
      </c>
      <c r="AC803" t="s">
        <v>386</v>
      </c>
      <c r="AD803" t="s">
        <v>1681</v>
      </c>
      <c r="AE803" t="s">
        <v>204</v>
      </c>
      <c r="AF803" t="s">
        <v>403</v>
      </c>
      <c r="AG803">
        <v>392410.4</v>
      </c>
      <c r="AH803">
        <v>85</v>
      </c>
      <c r="AM803" t="s">
        <v>847</v>
      </c>
      <c r="CC803" t="s">
        <v>3474</v>
      </c>
      <c r="CQ803" t="s">
        <v>2964</v>
      </c>
    </row>
    <row r="804" spans="1:113" x14ac:dyDescent="0.25">
      <c r="A804" t="s">
        <v>3733</v>
      </c>
      <c r="B804" t="e">
        <f>_xlfn.XLOOKUP(C804,'[1]Image URL'!$E:$E,'[1]Image URL'!$A:$A)</f>
        <v>#N/A</v>
      </c>
      <c r="C804" t="s">
        <v>4075</v>
      </c>
      <c r="D804" t="s">
        <v>3734</v>
      </c>
      <c r="E804" t="s">
        <v>3735</v>
      </c>
      <c r="F804" t="s">
        <v>192</v>
      </c>
      <c r="G804" t="s">
        <v>192</v>
      </c>
      <c r="H804" t="s">
        <v>334</v>
      </c>
      <c r="I804" t="s">
        <v>194</v>
      </c>
      <c r="J804" t="s">
        <v>212</v>
      </c>
      <c r="U804" t="s">
        <v>217</v>
      </c>
      <c r="V804" t="s">
        <v>157</v>
      </c>
      <c r="W804">
        <v>77838221136</v>
      </c>
      <c r="X804">
        <v>10077838021139</v>
      </c>
      <c r="Y804" t="s">
        <v>2834</v>
      </c>
      <c r="Z804" t="s">
        <v>1509</v>
      </c>
      <c r="AA804" t="s">
        <v>1846</v>
      </c>
      <c r="AB804" t="s">
        <v>1349</v>
      </c>
      <c r="AC804" t="s">
        <v>866</v>
      </c>
      <c r="AD804" t="s">
        <v>1142</v>
      </c>
      <c r="AE804" t="s">
        <v>204</v>
      </c>
      <c r="AF804" t="s">
        <v>235</v>
      </c>
      <c r="AG804">
        <v>392410.4</v>
      </c>
      <c r="AH804">
        <v>92.5</v>
      </c>
      <c r="AL804" t="s">
        <v>1320</v>
      </c>
      <c r="AM804" t="s">
        <v>3736</v>
      </c>
      <c r="AN804" t="s">
        <v>192</v>
      </c>
      <c r="AT804" t="s">
        <v>575</v>
      </c>
      <c r="CQ804" t="s">
        <v>394</v>
      </c>
    </row>
    <row r="805" spans="1:113" x14ac:dyDescent="0.25">
      <c r="A805" t="s">
        <v>3737</v>
      </c>
      <c r="B805" t="e">
        <f>_xlfn.XLOOKUP(C805,'[1]Image URL'!$E:$E,'[1]Image URL'!$A:$A)</f>
        <v>#N/A</v>
      </c>
      <c r="C805">
        <v>720607</v>
      </c>
      <c r="D805" t="s">
        <v>3534</v>
      </c>
      <c r="E805" t="s">
        <v>3458</v>
      </c>
      <c r="F805" t="s">
        <v>3459</v>
      </c>
      <c r="G805" t="s">
        <v>3459</v>
      </c>
      <c r="H805" t="s">
        <v>3460</v>
      </c>
      <c r="J805" t="s">
        <v>195</v>
      </c>
      <c r="U805" t="s">
        <v>1459</v>
      </c>
      <c r="V805" t="s">
        <v>1385</v>
      </c>
      <c r="W805">
        <v>77838276211</v>
      </c>
      <c r="X805">
        <v>10077838176211</v>
      </c>
      <c r="Y805" t="s">
        <v>3461</v>
      </c>
      <c r="Z805" t="s">
        <v>1560</v>
      </c>
      <c r="AA805" t="s">
        <v>865</v>
      </c>
      <c r="AB805" t="s">
        <v>1273</v>
      </c>
      <c r="AC805" t="s">
        <v>288</v>
      </c>
      <c r="AD805" t="s">
        <v>3462</v>
      </c>
      <c r="AE805" t="s">
        <v>635</v>
      </c>
      <c r="AF805" t="s">
        <v>268</v>
      </c>
      <c r="AG805">
        <v>392410.4</v>
      </c>
      <c r="AH805">
        <v>65</v>
      </c>
      <c r="AL805" t="s">
        <v>1943</v>
      </c>
      <c r="AM805" t="s">
        <v>3463</v>
      </c>
      <c r="AN805" t="s">
        <v>3459</v>
      </c>
    </row>
    <row r="806" spans="1:113" x14ac:dyDescent="0.25">
      <c r="A806" t="s">
        <v>3738</v>
      </c>
      <c r="B806" t="e">
        <f>_xlfn.XLOOKUP(C806,'[1]Image URL'!$E:$E,'[1]Image URL'!$A:$A)</f>
        <v>#N/A</v>
      </c>
      <c r="C806" t="s">
        <v>4082</v>
      </c>
      <c r="D806" t="s">
        <v>3739</v>
      </c>
      <c r="E806" t="s">
        <v>3740</v>
      </c>
      <c r="F806" t="s">
        <v>457</v>
      </c>
      <c r="G806" t="s">
        <v>457</v>
      </c>
      <c r="H806" t="s">
        <v>186</v>
      </c>
      <c r="I806" t="s">
        <v>194</v>
      </c>
      <c r="J806" t="s">
        <v>212</v>
      </c>
      <c r="U806" t="s">
        <v>217</v>
      </c>
      <c r="V806" t="s">
        <v>157</v>
      </c>
      <c r="W806">
        <v>77838206287</v>
      </c>
      <c r="X806">
        <v>10077838006280</v>
      </c>
      <c r="Y806" t="s">
        <v>2946</v>
      </c>
      <c r="Z806" t="s">
        <v>3332</v>
      </c>
      <c r="AA806" t="s">
        <v>1485</v>
      </c>
      <c r="AB806" t="s">
        <v>1485</v>
      </c>
      <c r="AC806" t="s">
        <v>233</v>
      </c>
      <c r="AD806" t="s">
        <v>301</v>
      </c>
      <c r="AE806" t="s">
        <v>184</v>
      </c>
      <c r="AF806" t="s">
        <v>164</v>
      </c>
      <c r="AG806">
        <v>392410.4</v>
      </c>
      <c r="AH806">
        <v>100</v>
      </c>
      <c r="AL806" t="s">
        <v>2494</v>
      </c>
      <c r="AM806" t="s">
        <v>230</v>
      </c>
      <c r="AN806" t="s">
        <v>457</v>
      </c>
      <c r="AT806" t="s">
        <v>1567</v>
      </c>
      <c r="CQ806" t="s">
        <v>536</v>
      </c>
    </row>
    <row r="807" spans="1:113" x14ac:dyDescent="0.25">
      <c r="A807" t="s">
        <v>3741</v>
      </c>
      <c r="B807" t="e">
        <f>_xlfn.XLOOKUP(C807,'[1]Image URL'!$E:$E,'[1]Image URL'!$A:$A)</f>
        <v>#N/A</v>
      </c>
      <c r="C807">
        <v>721507</v>
      </c>
      <c r="D807" t="s">
        <v>3742</v>
      </c>
      <c r="E807" t="s">
        <v>3422</v>
      </c>
      <c r="F807" t="s">
        <v>1734</v>
      </c>
      <c r="G807" t="s">
        <v>1734</v>
      </c>
      <c r="H807" t="s">
        <v>3423</v>
      </c>
      <c r="J807" t="s">
        <v>195</v>
      </c>
      <c r="U807" t="s">
        <v>1459</v>
      </c>
      <c r="V807" t="s">
        <v>1385</v>
      </c>
      <c r="W807">
        <v>77838112311</v>
      </c>
      <c r="X807">
        <v>10077838112318</v>
      </c>
      <c r="Y807" t="s">
        <v>1125</v>
      </c>
      <c r="Z807" t="s">
        <v>2963</v>
      </c>
      <c r="AA807" t="s">
        <v>742</v>
      </c>
      <c r="AB807" t="s">
        <v>192</v>
      </c>
      <c r="AC807" t="s">
        <v>463</v>
      </c>
      <c r="AD807" t="s">
        <v>997</v>
      </c>
      <c r="AE807" t="s">
        <v>268</v>
      </c>
      <c r="AF807" t="s">
        <v>268</v>
      </c>
      <c r="AG807">
        <v>392410.4</v>
      </c>
      <c r="AH807">
        <v>65</v>
      </c>
      <c r="AM807" t="s">
        <v>2131</v>
      </c>
      <c r="BX807" t="s">
        <v>1734</v>
      </c>
    </row>
    <row r="808" spans="1:113" x14ac:dyDescent="0.25">
      <c r="A808" t="s">
        <v>3743</v>
      </c>
      <c r="B808" t="e">
        <f>_xlfn.XLOOKUP(C808,'[1]Image URL'!$E:$E,'[1]Image URL'!$A:$A)</f>
        <v>#N/A</v>
      </c>
      <c r="C808">
        <v>607687</v>
      </c>
      <c r="D808" t="s">
        <v>3742</v>
      </c>
      <c r="E808" t="s">
        <v>3422</v>
      </c>
      <c r="F808" t="s">
        <v>1734</v>
      </c>
      <c r="G808" t="s">
        <v>1734</v>
      </c>
      <c r="H808" t="s">
        <v>3423</v>
      </c>
      <c r="J808" t="s">
        <v>195</v>
      </c>
      <c r="U808" t="s">
        <v>1459</v>
      </c>
      <c r="V808" t="s">
        <v>1385</v>
      </c>
      <c r="W808">
        <v>77838112311</v>
      </c>
      <c r="X808">
        <v>10077838112318</v>
      </c>
      <c r="Y808" t="s">
        <v>1125</v>
      </c>
      <c r="Z808" t="s">
        <v>2963</v>
      </c>
      <c r="AA808" t="s">
        <v>742</v>
      </c>
      <c r="AB808" t="s">
        <v>192</v>
      </c>
      <c r="AC808" t="s">
        <v>463</v>
      </c>
      <c r="AD808" t="s">
        <v>997</v>
      </c>
      <c r="AE808" t="s">
        <v>268</v>
      </c>
      <c r="AF808" t="s">
        <v>268</v>
      </c>
      <c r="AG808">
        <v>392410.4</v>
      </c>
      <c r="AH808">
        <v>65</v>
      </c>
      <c r="AM808" t="s">
        <v>2131</v>
      </c>
      <c r="BX808" t="s">
        <v>1734</v>
      </c>
    </row>
    <row r="809" spans="1:113" x14ac:dyDescent="0.25">
      <c r="A809" t="s">
        <v>3744</v>
      </c>
      <c r="B809" t="e">
        <f>_xlfn.XLOOKUP(C809,'[1]Image URL'!$E:$E,'[1]Image URL'!$A:$A)</f>
        <v>#N/A</v>
      </c>
      <c r="C809">
        <v>604606</v>
      </c>
      <c r="D809" t="s">
        <v>3457</v>
      </c>
      <c r="E809" t="s">
        <v>3458</v>
      </c>
      <c r="F809" t="s">
        <v>3459</v>
      </c>
      <c r="G809" t="s">
        <v>3459</v>
      </c>
      <c r="H809" t="s">
        <v>3460</v>
      </c>
      <c r="J809" t="s">
        <v>195</v>
      </c>
      <c r="U809" t="s">
        <v>1459</v>
      </c>
      <c r="V809" t="s">
        <v>1385</v>
      </c>
      <c r="W809">
        <v>77838269091</v>
      </c>
      <c r="X809">
        <v>10077838169091</v>
      </c>
      <c r="Y809" t="s">
        <v>3461</v>
      </c>
      <c r="Z809" t="s">
        <v>1560</v>
      </c>
      <c r="AA809" t="s">
        <v>865</v>
      </c>
      <c r="AB809" t="s">
        <v>1273</v>
      </c>
      <c r="AC809" t="s">
        <v>288</v>
      </c>
      <c r="AD809" t="s">
        <v>3462</v>
      </c>
      <c r="AE809" t="s">
        <v>635</v>
      </c>
      <c r="AF809" t="s">
        <v>268</v>
      </c>
      <c r="AG809">
        <v>392410.4</v>
      </c>
      <c r="AH809">
        <v>65</v>
      </c>
      <c r="AL809" t="s">
        <v>1943</v>
      </c>
      <c r="AM809" t="s">
        <v>3463</v>
      </c>
      <c r="AN809" t="s">
        <v>3459</v>
      </c>
    </row>
    <row r="810" spans="1:113" x14ac:dyDescent="0.25">
      <c r="A810" t="s">
        <v>3745</v>
      </c>
      <c r="B810" t="e">
        <f>_xlfn.XLOOKUP(C810,'[1]Image URL'!$E:$E,'[1]Image URL'!$A:$A)</f>
        <v>#N/A</v>
      </c>
      <c r="C810">
        <v>60207</v>
      </c>
      <c r="D810" t="s">
        <v>3746</v>
      </c>
      <c r="E810" t="s">
        <v>3747</v>
      </c>
      <c r="F810" t="s">
        <v>211</v>
      </c>
      <c r="G810" t="s">
        <v>211</v>
      </c>
      <c r="H810" t="s">
        <v>392</v>
      </c>
      <c r="I810" t="s">
        <v>194</v>
      </c>
      <c r="J810" t="s">
        <v>195</v>
      </c>
      <c r="U810" t="s">
        <v>196</v>
      </c>
      <c r="V810" t="s">
        <v>157</v>
      </c>
      <c r="W810">
        <v>77838009840</v>
      </c>
      <c r="X810">
        <v>10077838008840</v>
      </c>
      <c r="Y810" t="s">
        <v>773</v>
      </c>
      <c r="Z810" t="s">
        <v>3748</v>
      </c>
      <c r="AA810" t="s">
        <v>3455</v>
      </c>
      <c r="AB810" t="s">
        <v>821</v>
      </c>
      <c r="AC810" t="s">
        <v>3749</v>
      </c>
      <c r="AD810" t="s">
        <v>1113</v>
      </c>
      <c r="AE810" t="s">
        <v>302</v>
      </c>
      <c r="AF810" t="s">
        <v>235</v>
      </c>
      <c r="AG810">
        <v>392410.4</v>
      </c>
      <c r="AH810">
        <v>125</v>
      </c>
      <c r="AN810" t="s">
        <v>211</v>
      </c>
      <c r="CC810" t="s">
        <v>324</v>
      </c>
    </row>
    <row r="811" spans="1:113" x14ac:dyDescent="0.25">
      <c r="A811" t="s">
        <v>3750</v>
      </c>
      <c r="B811" t="e">
        <f>_xlfn.XLOOKUP(C811,'[1]Image URL'!$E:$E,'[1]Image URL'!$A:$A)</f>
        <v>#N/A</v>
      </c>
      <c r="C811">
        <v>609001</v>
      </c>
      <c r="D811" t="s">
        <v>3662</v>
      </c>
      <c r="E811" t="s">
        <v>3663</v>
      </c>
      <c r="H811" t="s">
        <v>3664</v>
      </c>
      <c r="U811" t="s">
        <v>3665</v>
      </c>
      <c r="V811" t="s">
        <v>3290</v>
      </c>
      <c r="W811">
        <v>77838254721</v>
      </c>
      <c r="X811">
        <v>10077838154721</v>
      </c>
      <c r="Y811" t="s">
        <v>3666</v>
      </c>
      <c r="Z811" t="s">
        <v>1737</v>
      </c>
      <c r="AA811" t="s">
        <v>472</v>
      </c>
      <c r="AB811" t="s">
        <v>457</v>
      </c>
      <c r="AC811" t="s">
        <v>152</v>
      </c>
      <c r="AD811" t="s">
        <v>1390</v>
      </c>
      <c r="AE811" t="s">
        <v>184</v>
      </c>
      <c r="AF811" t="s">
        <v>315</v>
      </c>
      <c r="AG811">
        <v>732393.00800000003</v>
      </c>
      <c r="AH811">
        <v>70</v>
      </c>
      <c r="AM811" t="s">
        <v>3496</v>
      </c>
      <c r="CC811" t="s">
        <v>3129</v>
      </c>
    </row>
    <row r="812" spans="1:113" x14ac:dyDescent="0.25">
      <c r="A812" t="s">
        <v>3751</v>
      </c>
      <c r="B812" t="e">
        <f>_xlfn.XLOOKUP(C812,'[1]Image URL'!$E:$E,'[1]Image URL'!$A:$A)</f>
        <v>#N/A</v>
      </c>
      <c r="C812">
        <v>60211</v>
      </c>
      <c r="D812" t="s">
        <v>3656</v>
      </c>
      <c r="E812" t="s">
        <v>3583</v>
      </c>
      <c r="F812" t="s">
        <v>340</v>
      </c>
      <c r="G812" t="s">
        <v>340</v>
      </c>
      <c r="H812" t="s">
        <v>186</v>
      </c>
      <c r="J812" t="s">
        <v>195</v>
      </c>
      <c r="U812" t="s">
        <v>1459</v>
      </c>
      <c r="V812" t="s">
        <v>1385</v>
      </c>
      <c r="W812">
        <v>77838811146</v>
      </c>
      <c r="X812">
        <v>10077838811143</v>
      </c>
      <c r="Y812" t="s">
        <v>955</v>
      </c>
      <c r="Z812" t="s">
        <v>1835</v>
      </c>
      <c r="AA812" t="s">
        <v>472</v>
      </c>
      <c r="AB812" t="s">
        <v>1273</v>
      </c>
      <c r="AC812" t="s">
        <v>542</v>
      </c>
      <c r="AD812" t="s">
        <v>234</v>
      </c>
      <c r="AE812" t="s">
        <v>163</v>
      </c>
      <c r="AF812" t="s">
        <v>235</v>
      </c>
      <c r="AG812">
        <v>392410.4</v>
      </c>
      <c r="AH812">
        <v>70</v>
      </c>
      <c r="AL812" t="s">
        <v>2189</v>
      </c>
      <c r="AM812" t="s">
        <v>411</v>
      </c>
      <c r="AN812" t="s">
        <v>340</v>
      </c>
    </row>
    <row r="813" spans="1:113" x14ac:dyDescent="0.25">
      <c r="A813" t="s">
        <v>3752</v>
      </c>
      <c r="B813" t="e">
        <f>_xlfn.XLOOKUP(C813,'[1]Image URL'!$E:$E,'[1]Image URL'!$A:$A)</f>
        <v>#N/A</v>
      </c>
      <c r="C813">
        <v>60206</v>
      </c>
      <c r="D813" t="s">
        <v>3753</v>
      </c>
      <c r="E813" t="s">
        <v>3590</v>
      </c>
      <c r="F813" t="s">
        <v>186</v>
      </c>
      <c r="G813" t="s">
        <v>1610</v>
      </c>
      <c r="H813" t="s">
        <v>193</v>
      </c>
      <c r="J813" t="s">
        <v>195</v>
      </c>
      <c r="U813" t="s">
        <v>1459</v>
      </c>
      <c r="V813" t="s">
        <v>1385</v>
      </c>
      <c r="W813">
        <v>77838200506</v>
      </c>
      <c r="X813">
        <v>10077838200503</v>
      </c>
      <c r="Y813" t="s">
        <v>218</v>
      </c>
      <c r="Z813" t="s">
        <v>3081</v>
      </c>
      <c r="AA813" t="s">
        <v>266</v>
      </c>
      <c r="AB813" t="s">
        <v>3469</v>
      </c>
      <c r="AC813" t="s">
        <v>288</v>
      </c>
      <c r="AD813" t="s">
        <v>3475</v>
      </c>
      <c r="AE813" t="s">
        <v>600</v>
      </c>
      <c r="AF813" t="s">
        <v>268</v>
      </c>
      <c r="AG813">
        <v>392410.4</v>
      </c>
      <c r="AH813">
        <v>65</v>
      </c>
      <c r="AM813" t="s">
        <v>847</v>
      </c>
      <c r="BZ813" t="s">
        <v>374</v>
      </c>
      <c r="CA813" t="s">
        <v>374</v>
      </c>
      <c r="CE813" t="s">
        <v>374</v>
      </c>
      <c r="DI813" t="s">
        <v>374</v>
      </c>
    </row>
    <row r="814" spans="1:113" x14ac:dyDescent="0.25">
      <c r="A814" t="s">
        <v>3754</v>
      </c>
      <c r="B814" t="e">
        <f>_xlfn.XLOOKUP(C814,'[1]Image URL'!$E:$E,'[1]Image URL'!$A:$A)</f>
        <v>#N/A</v>
      </c>
      <c r="C814">
        <v>604609</v>
      </c>
      <c r="D814" t="s">
        <v>3755</v>
      </c>
      <c r="E814" t="s">
        <v>3756</v>
      </c>
      <c r="F814" t="s">
        <v>2989</v>
      </c>
      <c r="G814" t="s">
        <v>939</v>
      </c>
      <c r="H814" t="s">
        <v>2964</v>
      </c>
      <c r="U814" t="s">
        <v>584</v>
      </c>
      <c r="V814" t="s">
        <v>157</v>
      </c>
      <c r="W814">
        <v>77838501214</v>
      </c>
      <c r="X814">
        <v>10077838001216</v>
      </c>
      <c r="Y814" t="s">
        <v>1865</v>
      </c>
      <c r="Z814" t="s">
        <v>219</v>
      </c>
      <c r="AA814" t="s">
        <v>3757</v>
      </c>
      <c r="AB814" t="s">
        <v>2608</v>
      </c>
      <c r="AC814" t="s">
        <v>523</v>
      </c>
      <c r="AD814" t="s">
        <v>669</v>
      </c>
      <c r="AE814" t="s">
        <v>507</v>
      </c>
      <c r="AF814" t="s">
        <v>315</v>
      </c>
      <c r="AG814">
        <v>392410.4</v>
      </c>
      <c r="AH814">
        <v>85</v>
      </c>
      <c r="AL814" t="s">
        <v>2189</v>
      </c>
    </row>
    <row r="815" spans="1:113" x14ac:dyDescent="0.25">
      <c r="A815" t="s">
        <v>3758</v>
      </c>
      <c r="B815" t="e">
        <f>_xlfn.XLOOKUP(C815,'[1]Image URL'!$E:$E,'[1]Image URL'!$A:$A)</f>
        <v>#N/A</v>
      </c>
      <c r="C815">
        <v>607122</v>
      </c>
      <c r="D815" t="s">
        <v>3759</v>
      </c>
      <c r="E815" t="s">
        <v>3760</v>
      </c>
      <c r="F815" t="s">
        <v>200</v>
      </c>
      <c r="G815" t="s">
        <v>965</v>
      </c>
      <c r="H815" t="s">
        <v>223</v>
      </c>
      <c r="U815" t="s">
        <v>3628</v>
      </c>
      <c r="V815" t="s">
        <v>1385</v>
      </c>
      <c r="W815">
        <v>77838664490</v>
      </c>
      <c r="X815">
        <v>10077838164492</v>
      </c>
      <c r="Y815" t="s">
        <v>441</v>
      </c>
      <c r="Z815" t="s">
        <v>1773</v>
      </c>
      <c r="AA815" t="s">
        <v>311</v>
      </c>
      <c r="AB815" t="s">
        <v>1602</v>
      </c>
      <c r="AC815" t="s">
        <v>523</v>
      </c>
      <c r="AD815" t="s">
        <v>455</v>
      </c>
      <c r="AE815" t="s">
        <v>456</v>
      </c>
      <c r="AF815" t="s">
        <v>315</v>
      </c>
      <c r="AG815">
        <v>732393.00800000003</v>
      </c>
      <c r="AH815">
        <v>100</v>
      </c>
      <c r="AL815" t="s">
        <v>1981</v>
      </c>
      <c r="AM815" t="s">
        <v>1473</v>
      </c>
    </row>
    <row r="816" spans="1:113" x14ac:dyDescent="0.25">
      <c r="A816" t="s">
        <v>3761</v>
      </c>
      <c r="B816" t="e">
        <f>_xlfn.XLOOKUP(C816,'[1]Image URL'!$E:$E,'[1]Image URL'!$A:$A)</f>
        <v>#N/A</v>
      </c>
      <c r="C816" t="s">
        <v>4124</v>
      </c>
      <c r="D816" t="s">
        <v>3762</v>
      </c>
      <c r="E816" t="s">
        <v>3481</v>
      </c>
      <c r="F816" t="s">
        <v>3482</v>
      </c>
      <c r="G816" t="s">
        <v>994</v>
      </c>
      <c r="H816" t="s">
        <v>1374</v>
      </c>
      <c r="U816" t="s">
        <v>217</v>
      </c>
      <c r="V816" t="s">
        <v>1385</v>
      </c>
      <c r="W816">
        <v>77838893739</v>
      </c>
      <c r="X816">
        <v>10077838893736</v>
      </c>
      <c r="Y816" t="s">
        <v>240</v>
      </c>
      <c r="Z816" t="s">
        <v>1844</v>
      </c>
      <c r="AA816" t="s">
        <v>3110</v>
      </c>
      <c r="AB816" t="s">
        <v>668</v>
      </c>
      <c r="AC816" t="s">
        <v>523</v>
      </c>
      <c r="AD816" t="s">
        <v>203</v>
      </c>
      <c r="AE816" t="s">
        <v>315</v>
      </c>
      <c r="AF816" t="s">
        <v>302</v>
      </c>
      <c r="AG816">
        <v>940180.40009999997</v>
      </c>
      <c r="AH816">
        <v>175</v>
      </c>
      <c r="AL816" t="s">
        <v>3483</v>
      </c>
      <c r="DG816" t="s">
        <v>3484</v>
      </c>
    </row>
    <row r="817" spans="1:113" x14ac:dyDescent="0.25">
      <c r="A817" t="s">
        <v>3763</v>
      </c>
      <c r="B817" t="e">
        <f>_xlfn.XLOOKUP(C817,'[1]Image URL'!$E:$E,'[1]Image URL'!$A:$A)</f>
        <v>#N/A</v>
      </c>
      <c r="C817">
        <v>60202</v>
      </c>
      <c r="D817" t="s">
        <v>3716</v>
      </c>
      <c r="E817" t="s">
        <v>3717</v>
      </c>
      <c r="F817" t="s">
        <v>3718</v>
      </c>
      <c r="G817" t="s">
        <v>3718</v>
      </c>
      <c r="H817" t="s">
        <v>2129</v>
      </c>
      <c r="J817" t="s">
        <v>212</v>
      </c>
      <c r="U817" t="s">
        <v>584</v>
      </c>
      <c r="V817" t="s">
        <v>157</v>
      </c>
      <c r="W817">
        <v>77838001059</v>
      </c>
      <c r="X817">
        <v>10077838001056</v>
      </c>
      <c r="Y817" t="s">
        <v>3281</v>
      </c>
      <c r="Z817" t="s">
        <v>666</v>
      </c>
      <c r="AA817" t="s">
        <v>421</v>
      </c>
      <c r="AB817" t="s">
        <v>2969</v>
      </c>
      <c r="AC817" t="s">
        <v>2210</v>
      </c>
      <c r="AD817" t="s">
        <v>301</v>
      </c>
      <c r="AE817" t="s">
        <v>184</v>
      </c>
      <c r="AF817" t="s">
        <v>164</v>
      </c>
      <c r="AG817">
        <v>392410.4</v>
      </c>
      <c r="AH817">
        <v>100</v>
      </c>
      <c r="AM817" t="s">
        <v>3719</v>
      </c>
      <c r="CC817" t="s">
        <v>3718</v>
      </c>
    </row>
    <row r="818" spans="1:113" x14ac:dyDescent="0.25">
      <c r="A818" t="s">
        <v>3764</v>
      </c>
      <c r="B818" t="e">
        <f>_xlfn.XLOOKUP(C818,'[1]Image URL'!$E:$E,'[1]Image URL'!$A:$A)</f>
        <v>#N/A</v>
      </c>
      <c r="C818">
        <v>607002</v>
      </c>
      <c r="D818" t="s">
        <v>3765</v>
      </c>
      <c r="E818" t="s">
        <v>3766</v>
      </c>
      <c r="H818" t="s">
        <v>193</v>
      </c>
      <c r="U818" t="s">
        <v>3665</v>
      </c>
      <c r="V818" t="s">
        <v>3290</v>
      </c>
      <c r="W818">
        <v>77838275030</v>
      </c>
      <c r="X818">
        <v>10077838175030</v>
      </c>
      <c r="Y818" t="s">
        <v>659</v>
      </c>
      <c r="Z818" t="s">
        <v>3081</v>
      </c>
      <c r="AA818" t="s">
        <v>466</v>
      </c>
      <c r="AB818" t="s">
        <v>188</v>
      </c>
      <c r="AC818" t="s">
        <v>152</v>
      </c>
      <c r="AD818" t="s">
        <v>1390</v>
      </c>
      <c r="AE818" t="s">
        <v>184</v>
      </c>
      <c r="AF818" t="s">
        <v>315</v>
      </c>
      <c r="AG818">
        <v>732393.00800000003</v>
      </c>
      <c r="AH818">
        <v>60</v>
      </c>
      <c r="AM818" t="s">
        <v>508</v>
      </c>
      <c r="CC818" t="s">
        <v>3767</v>
      </c>
    </row>
    <row r="819" spans="1:113" x14ac:dyDescent="0.25">
      <c r="A819" t="s">
        <v>3768</v>
      </c>
      <c r="B819" t="e">
        <f>_xlfn.XLOOKUP(C819,'[1]Image URL'!$E:$E,'[1]Image URL'!$A:$A)</f>
        <v>#N/A</v>
      </c>
      <c r="C819">
        <v>607683</v>
      </c>
      <c r="D819" t="s">
        <v>3624</v>
      </c>
      <c r="E819" t="s">
        <v>3548</v>
      </c>
      <c r="F819" t="s">
        <v>374</v>
      </c>
      <c r="G819" t="s">
        <v>201</v>
      </c>
      <c r="H819" t="s">
        <v>186</v>
      </c>
      <c r="J819" t="s">
        <v>195</v>
      </c>
      <c r="U819" t="s">
        <v>1459</v>
      </c>
      <c r="V819" t="s">
        <v>1385</v>
      </c>
      <c r="W819">
        <v>77838685402</v>
      </c>
      <c r="X819">
        <v>10077838185404</v>
      </c>
      <c r="Y819" t="s">
        <v>3549</v>
      </c>
      <c r="Z819" t="s">
        <v>505</v>
      </c>
      <c r="AA819" t="s">
        <v>2676</v>
      </c>
      <c r="AB819" t="s">
        <v>288</v>
      </c>
      <c r="AC819" t="s">
        <v>211</v>
      </c>
      <c r="AD819" t="s">
        <v>555</v>
      </c>
      <c r="AE819" t="s">
        <v>184</v>
      </c>
      <c r="AF819" t="s">
        <v>235</v>
      </c>
      <c r="AG819">
        <v>392410.4</v>
      </c>
      <c r="AH819">
        <v>100</v>
      </c>
      <c r="AL819" t="s">
        <v>350</v>
      </c>
      <c r="AM819" t="s">
        <v>847</v>
      </c>
    </row>
    <row r="820" spans="1:113" x14ac:dyDescent="0.25">
      <c r="A820" t="s">
        <v>3769</v>
      </c>
      <c r="B820" t="e">
        <f>_xlfn.XLOOKUP(C820,'[1]Image URL'!$E:$E,'[1]Image URL'!$A:$A)</f>
        <v>#N/A</v>
      </c>
      <c r="C820">
        <v>60210</v>
      </c>
      <c r="D820" t="s">
        <v>3753</v>
      </c>
      <c r="E820" t="s">
        <v>3590</v>
      </c>
      <c r="F820" t="s">
        <v>186</v>
      </c>
      <c r="G820" t="s">
        <v>1610</v>
      </c>
      <c r="H820" t="s">
        <v>193</v>
      </c>
      <c r="J820" t="s">
        <v>195</v>
      </c>
      <c r="U820" t="s">
        <v>1459</v>
      </c>
      <c r="V820" t="s">
        <v>1385</v>
      </c>
      <c r="W820">
        <v>77838200506</v>
      </c>
      <c r="X820">
        <v>10077838200503</v>
      </c>
      <c r="Y820" t="s">
        <v>218</v>
      </c>
      <c r="Z820" t="s">
        <v>3081</v>
      </c>
      <c r="AA820" t="s">
        <v>266</v>
      </c>
      <c r="AB820" t="s">
        <v>3469</v>
      </c>
      <c r="AC820" t="s">
        <v>288</v>
      </c>
      <c r="AD820" t="s">
        <v>3475</v>
      </c>
      <c r="AE820" t="s">
        <v>600</v>
      </c>
      <c r="AF820" t="s">
        <v>268</v>
      </c>
      <c r="AG820">
        <v>392410.4</v>
      </c>
      <c r="AH820">
        <v>65</v>
      </c>
      <c r="AM820" t="s">
        <v>847</v>
      </c>
      <c r="BZ820" t="s">
        <v>374</v>
      </c>
      <c r="CA820" t="s">
        <v>374</v>
      </c>
      <c r="CE820" t="s">
        <v>374</v>
      </c>
      <c r="DI820" t="s">
        <v>374</v>
      </c>
    </row>
    <row r="821" spans="1:113" x14ac:dyDescent="0.25">
      <c r="A821" t="s">
        <v>3770</v>
      </c>
      <c r="B821" t="e">
        <f>_xlfn.XLOOKUP(C821,'[1]Image URL'!$E:$E,'[1]Image URL'!$A:$A)</f>
        <v>#N/A</v>
      </c>
      <c r="C821">
        <v>60200</v>
      </c>
      <c r="D821" t="s">
        <v>3589</v>
      </c>
      <c r="E821" t="s">
        <v>3590</v>
      </c>
      <c r="F821" t="s">
        <v>186</v>
      </c>
      <c r="G821" t="s">
        <v>1610</v>
      </c>
      <c r="H821" t="s">
        <v>193</v>
      </c>
      <c r="J821" t="s">
        <v>195</v>
      </c>
      <c r="U821" t="s">
        <v>1459</v>
      </c>
      <c r="V821" t="s">
        <v>1385</v>
      </c>
      <c r="W821">
        <v>77838200513</v>
      </c>
      <c r="X821">
        <v>10077838200510</v>
      </c>
      <c r="Y821" t="s">
        <v>218</v>
      </c>
      <c r="Z821" t="s">
        <v>3081</v>
      </c>
      <c r="AA821" t="s">
        <v>266</v>
      </c>
      <c r="AB821" t="s">
        <v>3469</v>
      </c>
      <c r="AC821" t="s">
        <v>288</v>
      </c>
      <c r="AD821" t="s">
        <v>3475</v>
      </c>
      <c r="AE821" t="s">
        <v>600</v>
      </c>
      <c r="AF821" t="s">
        <v>268</v>
      </c>
      <c r="AG821">
        <v>392410.4</v>
      </c>
      <c r="AH821">
        <v>65</v>
      </c>
      <c r="AM821" t="s">
        <v>847</v>
      </c>
      <c r="BZ821" t="s">
        <v>374</v>
      </c>
      <c r="CA821" t="s">
        <v>374</v>
      </c>
      <c r="CE821" t="s">
        <v>374</v>
      </c>
      <c r="DI821" t="s">
        <v>374</v>
      </c>
    </row>
    <row r="822" spans="1:113" x14ac:dyDescent="0.25">
      <c r="A822" t="s">
        <v>3771</v>
      </c>
      <c r="B822" t="e">
        <f>_xlfn.XLOOKUP(C822,'[1]Image URL'!$E:$E,'[1]Image URL'!$A:$A)</f>
        <v>#N/A</v>
      </c>
      <c r="C822">
        <v>60204</v>
      </c>
      <c r="D822" t="s">
        <v>3547</v>
      </c>
      <c r="E822" t="s">
        <v>3548</v>
      </c>
      <c r="F822" t="s">
        <v>374</v>
      </c>
      <c r="G822" t="s">
        <v>201</v>
      </c>
      <c r="H822" t="s">
        <v>186</v>
      </c>
      <c r="J822" t="s">
        <v>195</v>
      </c>
      <c r="U822" t="s">
        <v>1459</v>
      </c>
      <c r="V822" t="s">
        <v>1385</v>
      </c>
      <c r="W822">
        <v>77838685419</v>
      </c>
      <c r="X822">
        <v>10077838185411</v>
      </c>
      <c r="Y822" t="s">
        <v>3549</v>
      </c>
      <c r="Z822" t="s">
        <v>505</v>
      </c>
      <c r="AA822" t="s">
        <v>2676</v>
      </c>
      <c r="AB822" t="s">
        <v>288</v>
      </c>
      <c r="AC822" t="s">
        <v>211</v>
      </c>
      <c r="AD822" t="s">
        <v>555</v>
      </c>
      <c r="AE822" t="s">
        <v>184</v>
      </c>
      <c r="AF822" t="s">
        <v>235</v>
      </c>
      <c r="AG822">
        <v>392410.4</v>
      </c>
      <c r="AH822">
        <v>100</v>
      </c>
      <c r="AL822" t="s">
        <v>350</v>
      </c>
      <c r="AM822" t="s">
        <v>847</v>
      </c>
    </row>
    <row r="823" spans="1:113" x14ac:dyDescent="0.25">
      <c r="A823" t="s">
        <v>3772</v>
      </c>
      <c r="B823" t="e">
        <f>_xlfn.XLOOKUP(C823,'[1]Image URL'!$E:$E,'[1]Image URL'!$A:$A)</f>
        <v>#N/A</v>
      </c>
      <c r="C823">
        <v>607690</v>
      </c>
      <c r="D823" t="s">
        <v>3645</v>
      </c>
      <c r="E823" t="s">
        <v>3426</v>
      </c>
      <c r="F823" t="s">
        <v>2450</v>
      </c>
      <c r="G823" t="s">
        <v>2450</v>
      </c>
      <c r="H823" t="s">
        <v>413</v>
      </c>
      <c r="J823" t="s">
        <v>195</v>
      </c>
      <c r="U823" t="s">
        <v>1459</v>
      </c>
      <c r="V823" t="s">
        <v>1385</v>
      </c>
      <c r="W823">
        <v>77838811115</v>
      </c>
      <c r="X823">
        <v>10077838811112</v>
      </c>
      <c r="Y823" t="s">
        <v>3427</v>
      </c>
      <c r="Z823" t="s">
        <v>1141</v>
      </c>
      <c r="AA823" t="s">
        <v>421</v>
      </c>
      <c r="AB823" t="s">
        <v>332</v>
      </c>
      <c r="AC823" t="s">
        <v>361</v>
      </c>
      <c r="AD823" t="s">
        <v>1884</v>
      </c>
      <c r="AE823" t="s">
        <v>315</v>
      </c>
      <c r="AF823" t="s">
        <v>403</v>
      </c>
      <c r="AG823">
        <v>392410.4</v>
      </c>
      <c r="AH823">
        <v>70</v>
      </c>
      <c r="AM823" t="s">
        <v>847</v>
      </c>
      <c r="AN823" t="s">
        <v>2450</v>
      </c>
    </row>
    <row r="824" spans="1:113" x14ac:dyDescent="0.25">
      <c r="A824" t="s">
        <v>3773</v>
      </c>
      <c r="B824" t="e">
        <f>_xlfn.XLOOKUP(C824,'[1]Image URL'!$E:$E,'[1]Image URL'!$A:$A)</f>
        <v>#N/A</v>
      </c>
      <c r="C824">
        <v>604460</v>
      </c>
      <c r="D824" t="s">
        <v>3775</v>
      </c>
      <c r="E824" t="s">
        <v>3444</v>
      </c>
      <c r="F824" t="s">
        <v>334</v>
      </c>
      <c r="G824" t="s">
        <v>334</v>
      </c>
      <c r="H824" t="s">
        <v>413</v>
      </c>
      <c r="U824" t="s">
        <v>1459</v>
      </c>
      <c r="V824" t="s">
        <v>1385</v>
      </c>
      <c r="W824">
        <v>77838893562</v>
      </c>
      <c r="X824">
        <v>10077838893569</v>
      </c>
      <c r="Y824" t="s">
        <v>3681</v>
      </c>
      <c r="Z824" t="s">
        <v>764</v>
      </c>
      <c r="AA824" t="s">
        <v>3682</v>
      </c>
      <c r="AB824" t="s">
        <v>3682</v>
      </c>
      <c r="AC824" t="s">
        <v>2419</v>
      </c>
      <c r="AD824" t="s">
        <v>634</v>
      </c>
      <c r="AE824" t="s">
        <v>163</v>
      </c>
      <c r="AF824" t="s">
        <v>185</v>
      </c>
      <c r="AG824">
        <v>392410.4</v>
      </c>
      <c r="AH824">
        <v>70</v>
      </c>
      <c r="AL824" t="s">
        <v>3683</v>
      </c>
      <c r="CC824" t="s">
        <v>334</v>
      </c>
      <c r="CX824" t="s">
        <v>201</v>
      </c>
    </row>
    <row r="825" spans="1:113" x14ac:dyDescent="0.25">
      <c r="A825" t="s">
        <v>3776</v>
      </c>
      <c r="B825" t="e">
        <f>_xlfn.XLOOKUP(C825,'[1]Image URL'!$E:$E,'[1]Image URL'!$A:$A)</f>
        <v>#N/A</v>
      </c>
      <c r="C825" t="s">
        <v>4165</v>
      </c>
      <c r="D825" t="s">
        <v>3778</v>
      </c>
      <c r="E825" t="s">
        <v>3444</v>
      </c>
      <c r="F825" t="s">
        <v>334</v>
      </c>
      <c r="G825" t="s">
        <v>334</v>
      </c>
      <c r="H825" t="s">
        <v>413</v>
      </c>
      <c r="U825" t="s">
        <v>1459</v>
      </c>
      <c r="V825" t="s">
        <v>1385</v>
      </c>
      <c r="W825">
        <v>77838893579</v>
      </c>
      <c r="X825">
        <v>10077838893576</v>
      </c>
      <c r="Y825" t="s">
        <v>3681</v>
      </c>
      <c r="Z825" t="s">
        <v>764</v>
      </c>
      <c r="AA825" t="s">
        <v>3682</v>
      </c>
      <c r="AB825" t="s">
        <v>3682</v>
      </c>
      <c r="AC825" t="s">
        <v>2419</v>
      </c>
      <c r="AD825" t="s">
        <v>634</v>
      </c>
      <c r="AE825" t="s">
        <v>163</v>
      </c>
      <c r="AF825" t="s">
        <v>185</v>
      </c>
      <c r="AG825">
        <v>392410.4</v>
      </c>
      <c r="AH825">
        <v>70</v>
      </c>
      <c r="AL825" t="s">
        <v>3683</v>
      </c>
      <c r="CC825" t="s">
        <v>334</v>
      </c>
      <c r="CX825" t="s">
        <v>201</v>
      </c>
    </row>
    <row r="826" spans="1:113" x14ac:dyDescent="0.25">
      <c r="A826" t="s">
        <v>3779</v>
      </c>
      <c r="B826" t="e">
        <f>_xlfn.XLOOKUP(C826,'[1]Image URL'!$E:$E,'[1]Image URL'!$A:$A)</f>
        <v>#N/A</v>
      </c>
      <c r="C826">
        <v>60205</v>
      </c>
      <c r="D826" t="s">
        <v>3780</v>
      </c>
      <c r="E826" t="s">
        <v>3781</v>
      </c>
      <c r="F826" t="s">
        <v>311</v>
      </c>
      <c r="G826" t="s">
        <v>311</v>
      </c>
      <c r="H826" t="s">
        <v>3782</v>
      </c>
      <c r="J826" t="s">
        <v>195</v>
      </c>
      <c r="U826" t="s">
        <v>1459</v>
      </c>
      <c r="V826" t="s">
        <v>1385</v>
      </c>
      <c r="W826">
        <v>77838625835</v>
      </c>
      <c r="X826">
        <v>10077838125837</v>
      </c>
      <c r="Y826" t="s">
        <v>3783</v>
      </c>
      <c r="Z826" t="s">
        <v>1440</v>
      </c>
      <c r="AA826" t="s">
        <v>518</v>
      </c>
      <c r="AB826" t="s">
        <v>454</v>
      </c>
      <c r="AC826" t="s">
        <v>161</v>
      </c>
      <c r="AD826" t="s">
        <v>1942</v>
      </c>
      <c r="AE826" t="s">
        <v>315</v>
      </c>
      <c r="AF826" t="s">
        <v>164</v>
      </c>
      <c r="AG826">
        <v>392410.2</v>
      </c>
      <c r="AH826">
        <v>85</v>
      </c>
      <c r="AL826" t="s">
        <v>3784</v>
      </c>
      <c r="AN826" t="s">
        <v>311</v>
      </c>
    </row>
    <row r="827" spans="1:113" x14ac:dyDescent="0.25">
      <c r="A827" t="s">
        <v>3785</v>
      </c>
      <c r="B827" t="e">
        <f>_xlfn.XLOOKUP(C827,'[1]Image URL'!$E:$E,'[1]Image URL'!$A:$A)</f>
        <v>#N/A</v>
      </c>
      <c r="C827">
        <v>60209</v>
      </c>
      <c r="D827" t="s">
        <v>3786</v>
      </c>
      <c r="E827" t="s">
        <v>3583</v>
      </c>
      <c r="F827" t="s">
        <v>340</v>
      </c>
      <c r="G827" t="s">
        <v>340</v>
      </c>
      <c r="H827" t="s">
        <v>186</v>
      </c>
      <c r="J827" t="s">
        <v>195</v>
      </c>
      <c r="U827" t="s">
        <v>1459</v>
      </c>
      <c r="V827" t="s">
        <v>1385</v>
      </c>
      <c r="W827">
        <v>77838811139</v>
      </c>
      <c r="X827">
        <v>10077838811136</v>
      </c>
      <c r="Y827" t="s">
        <v>955</v>
      </c>
      <c r="Z827" t="s">
        <v>1835</v>
      </c>
      <c r="AA827" t="s">
        <v>472</v>
      </c>
      <c r="AB827" t="s">
        <v>1273</v>
      </c>
      <c r="AC827" t="s">
        <v>542</v>
      </c>
      <c r="AD827" t="s">
        <v>234</v>
      </c>
      <c r="AE827" t="s">
        <v>163</v>
      </c>
      <c r="AF827" t="s">
        <v>235</v>
      </c>
      <c r="AG827">
        <v>392410.4</v>
      </c>
      <c r="AH827">
        <v>70</v>
      </c>
      <c r="AL827" t="s">
        <v>2189</v>
      </c>
      <c r="AM827" t="s">
        <v>411</v>
      </c>
      <c r="AN827" t="s">
        <v>340</v>
      </c>
    </row>
    <row r="828" spans="1:113" x14ac:dyDescent="0.25">
      <c r="A828" t="s">
        <v>3787</v>
      </c>
      <c r="B828" t="e">
        <f>_xlfn.XLOOKUP(C828,'[1]Image URL'!$E:$E,'[1]Image URL'!$A:$A)</f>
        <v>#N/A</v>
      </c>
      <c r="C828">
        <v>607680</v>
      </c>
      <c r="D828" t="s">
        <v>3602</v>
      </c>
      <c r="E828" t="s">
        <v>3422</v>
      </c>
      <c r="F828" t="s">
        <v>1734</v>
      </c>
      <c r="G828" t="s">
        <v>1734</v>
      </c>
      <c r="H828" t="s">
        <v>3423</v>
      </c>
      <c r="J828" t="s">
        <v>195</v>
      </c>
      <c r="U828" t="s">
        <v>1459</v>
      </c>
      <c r="V828" t="s">
        <v>1385</v>
      </c>
      <c r="W828">
        <v>77838133149</v>
      </c>
      <c r="X828">
        <v>10077838133146</v>
      </c>
      <c r="Y828" t="s">
        <v>1125</v>
      </c>
      <c r="Z828" t="s">
        <v>2963</v>
      </c>
      <c r="AA828" t="s">
        <v>742</v>
      </c>
      <c r="AB828" t="s">
        <v>192</v>
      </c>
      <c r="AC828" t="s">
        <v>463</v>
      </c>
      <c r="AD828" t="s">
        <v>997</v>
      </c>
      <c r="AE828" t="s">
        <v>268</v>
      </c>
      <c r="AF828" t="s">
        <v>268</v>
      </c>
      <c r="AG828">
        <v>392410.4</v>
      </c>
      <c r="AH828">
        <v>65</v>
      </c>
      <c r="AM828" t="s">
        <v>2131</v>
      </c>
      <c r="BX828" t="s">
        <v>1734</v>
      </c>
    </row>
    <row r="829" spans="1:113" x14ac:dyDescent="0.25">
      <c r="A829" t="s">
        <v>3788</v>
      </c>
      <c r="B829" t="e">
        <f>_xlfn.XLOOKUP(C829,'[1]Image URL'!$E:$E,'[1]Image URL'!$A:$A)</f>
        <v>#N/A</v>
      </c>
      <c r="C829">
        <v>60201</v>
      </c>
      <c r="D829" t="s">
        <v>3789</v>
      </c>
      <c r="E829" t="s">
        <v>3517</v>
      </c>
      <c r="F829" t="s">
        <v>374</v>
      </c>
      <c r="G829" t="s">
        <v>374</v>
      </c>
      <c r="H829" t="s">
        <v>3518</v>
      </c>
      <c r="J829" t="s">
        <v>195</v>
      </c>
      <c r="U829" t="s">
        <v>1459</v>
      </c>
      <c r="V829" t="s">
        <v>1385</v>
      </c>
      <c r="W829">
        <v>77838269084</v>
      </c>
      <c r="X829">
        <v>10077838169084</v>
      </c>
      <c r="Y829" t="s">
        <v>452</v>
      </c>
      <c r="Z829" t="s">
        <v>1631</v>
      </c>
      <c r="AA829" t="s">
        <v>1932</v>
      </c>
      <c r="AB829" t="s">
        <v>1367</v>
      </c>
      <c r="AC829" t="s">
        <v>530</v>
      </c>
      <c r="AD829" t="s">
        <v>3346</v>
      </c>
      <c r="AE829" t="s">
        <v>1113</v>
      </c>
      <c r="AF829" t="s">
        <v>268</v>
      </c>
      <c r="AG829">
        <v>392410.4</v>
      </c>
      <c r="AH829">
        <v>65</v>
      </c>
      <c r="AL829" t="s">
        <v>3271</v>
      </c>
      <c r="AM829" t="s">
        <v>3519</v>
      </c>
      <c r="AN829" t="s">
        <v>374</v>
      </c>
    </row>
    <row r="830" spans="1:113" x14ac:dyDescent="0.25">
      <c r="A830" t="s">
        <v>3790</v>
      </c>
      <c r="B830" t="e">
        <f>_xlfn.XLOOKUP(C830,'[1]Image URL'!$E:$E,'[1]Image URL'!$A:$A)</f>
        <v>#N/A</v>
      </c>
      <c r="C830">
        <v>60208</v>
      </c>
      <c r="D830" t="s">
        <v>3791</v>
      </c>
      <c r="E830" t="s">
        <v>3468</v>
      </c>
      <c r="F830" t="s">
        <v>394</v>
      </c>
      <c r="G830" t="s">
        <v>374</v>
      </c>
      <c r="H830" t="s">
        <v>193</v>
      </c>
      <c r="J830" t="s">
        <v>195</v>
      </c>
      <c r="U830" t="s">
        <v>1459</v>
      </c>
      <c r="V830" t="s">
        <v>1385</v>
      </c>
      <c r="W830">
        <v>77838200483</v>
      </c>
      <c r="X830">
        <v>10077838200480</v>
      </c>
      <c r="Y830" t="s">
        <v>240</v>
      </c>
      <c r="Z830" t="s">
        <v>746</v>
      </c>
      <c r="AA830" t="s">
        <v>145</v>
      </c>
      <c r="AB830" t="s">
        <v>3469</v>
      </c>
      <c r="AC830" t="s">
        <v>145</v>
      </c>
      <c r="AD830" t="s">
        <v>183</v>
      </c>
      <c r="AE830" t="s">
        <v>184</v>
      </c>
      <c r="AF830" t="s">
        <v>185</v>
      </c>
      <c r="AG830">
        <v>392410.4</v>
      </c>
      <c r="AH830">
        <v>65</v>
      </c>
      <c r="AM830" t="s">
        <v>1202</v>
      </c>
      <c r="BZ830" t="s">
        <v>1575</v>
      </c>
      <c r="CA830" t="s">
        <v>374</v>
      </c>
      <c r="DF830" t="s">
        <v>847</v>
      </c>
    </row>
    <row r="831" spans="1:113" x14ac:dyDescent="0.25">
      <c r="A831" t="s">
        <v>3792</v>
      </c>
      <c r="B831" t="e">
        <f>_xlfn.XLOOKUP(C831,'[1]Image URL'!$E:$E,'[1]Image URL'!$A:$A)</f>
        <v>#N/A</v>
      </c>
      <c r="C831">
        <v>607682</v>
      </c>
      <c r="D831" t="s">
        <v>3794</v>
      </c>
      <c r="E831" t="s">
        <v>3436</v>
      </c>
      <c r="F831" t="s">
        <v>3437</v>
      </c>
      <c r="G831" t="s">
        <v>3437</v>
      </c>
      <c r="H831" t="s">
        <v>3438</v>
      </c>
      <c r="J831" t="s">
        <v>195</v>
      </c>
      <c r="U831" t="s">
        <v>1459</v>
      </c>
      <c r="V831" t="s">
        <v>1385</v>
      </c>
      <c r="W831">
        <v>77838113196</v>
      </c>
      <c r="X831">
        <v>10077838113193</v>
      </c>
      <c r="Y831" t="s">
        <v>3439</v>
      </c>
      <c r="Z831" t="s">
        <v>764</v>
      </c>
      <c r="AA831" t="s">
        <v>1374</v>
      </c>
      <c r="AB831" t="s">
        <v>152</v>
      </c>
      <c r="AC831" t="s">
        <v>324</v>
      </c>
      <c r="AD831" t="s">
        <v>3440</v>
      </c>
      <c r="AE831" t="s">
        <v>2903</v>
      </c>
      <c r="AF831" t="s">
        <v>185</v>
      </c>
      <c r="AG831">
        <v>392410.4</v>
      </c>
      <c r="AH831">
        <v>70</v>
      </c>
      <c r="AL831" t="s">
        <v>1645</v>
      </c>
      <c r="AM831" t="s">
        <v>508</v>
      </c>
      <c r="BX831" t="s">
        <v>3437</v>
      </c>
    </row>
    <row r="832" spans="1:113" x14ac:dyDescent="0.25">
      <c r="A832" t="s">
        <v>3795</v>
      </c>
      <c r="B832" t="e">
        <f>_xlfn.XLOOKUP(C832,'[1]Image URL'!$E:$E,'[1]Image URL'!$A:$A)</f>
        <v>#N/A</v>
      </c>
      <c r="C832">
        <v>60203</v>
      </c>
      <c r="D832" t="s">
        <v>3797</v>
      </c>
      <c r="E832" t="s">
        <v>3444</v>
      </c>
      <c r="F832" t="s">
        <v>1575</v>
      </c>
      <c r="G832" t="s">
        <v>1575</v>
      </c>
      <c r="H832" t="s">
        <v>186</v>
      </c>
      <c r="U832" t="s">
        <v>1459</v>
      </c>
      <c r="V832" t="s">
        <v>1385</v>
      </c>
      <c r="W832">
        <v>77838893500</v>
      </c>
      <c r="X832">
        <v>10077838893507</v>
      </c>
      <c r="Y832" t="s">
        <v>1250</v>
      </c>
      <c r="Z832" t="s">
        <v>327</v>
      </c>
      <c r="AA832" t="s">
        <v>3640</v>
      </c>
      <c r="AB832" t="s">
        <v>3640</v>
      </c>
      <c r="AC832" t="s">
        <v>3641</v>
      </c>
      <c r="AD832" t="s">
        <v>1142</v>
      </c>
      <c r="AE832" t="s">
        <v>303</v>
      </c>
      <c r="AF832" t="s">
        <v>268</v>
      </c>
      <c r="AG832">
        <v>392410.2</v>
      </c>
      <c r="AH832">
        <v>70</v>
      </c>
      <c r="AL832" t="s">
        <v>1645</v>
      </c>
      <c r="CC832" t="s">
        <v>1575</v>
      </c>
      <c r="CX832" t="s">
        <v>201</v>
      </c>
    </row>
    <row r="833" spans="1:112" x14ac:dyDescent="0.25">
      <c r="A833" t="s">
        <v>3798</v>
      </c>
      <c r="B833" t="e">
        <f>_xlfn.XLOOKUP(C833,'[1]Image URL'!$E:$E,'[1]Image URL'!$A:$A)</f>
        <v>#N/A</v>
      </c>
      <c r="C833">
        <v>607691</v>
      </c>
      <c r="D833" t="s">
        <v>3765</v>
      </c>
      <c r="E833" t="s">
        <v>3766</v>
      </c>
      <c r="H833" t="s">
        <v>193</v>
      </c>
      <c r="U833" t="s">
        <v>3665</v>
      </c>
      <c r="V833" t="s">
        <v>3290</v>
      </c>
      <c r="W833">
        <v>77838275030</v>
      </c>
      <c r="X833">
        <v>10077838175030</v>
      </c>
      <c r="Y833" t="s">
        <v>659</v>
      </c>
      <c r="Z833" t="s">
        <v>3081</v>
      </c>
      <c r="AA833" t="s">
        <v>466</v>
      </c>
      <c r="AB833" t="s">
        <v>188</v>
      </c>
      <c r="AC833" t="s">
        <v>152</v>
      </c>
      <c r="AD833" t="s">
        <v>1390</v>
      </c>
      <c r="AE833" t="s">
        <v>184</v>
      </c>
      <c r="AF833" t="s">
        <v>315</v>
      </c>
      <c r="AG833">
        <v>732393.00800000003</v>
      </c>
      <c r="AH833">
        <v>60</v>
      </c>
      <c r="AM833" t="s">
        <v>508</v>
      </c>
      <c r="CC833" t="s">
        <v>3767</v>
      </c>
    </row>
    <row r="834" spans="1:112" x14ac:dyDescent="0.25">
      <c r="A834" t="s">
        <v>3799</v>
      </c>
      <c r="B834" t="e">
        <f>_xlfn.XLOOKUP(C834,'[1]Image URL'!$E:$E,'[1]Image URL'!$A:$A)</f>
        <v>#N/A</v>
      </c>
      <c r="C834" t="s">
        <v>4195</v>
      </c>
      <c r="D834" t="s">
        <v>3800</v>
      </c>
      <c r="E834" t="s">
        <v>3481</v>
      </c>
      <c r="F834" t="s">
        <v>3482</v>
      </c>
      <c r="G834" t="s">
        <v>994</v>
      </c>
      <c r="H834" t="s">
        <v>1374</v>
      </c>
      <c r="U834" t="s">
        <v>217</v>
      </c>
      <c r="V834" t="s">
        <v>1385</v>
      </c>
      <c r="W834">
        <v>77838893715</v>
      </c>
      <c r="X834">
        <v>10077838893712</v>
      </c>
      <c r="Y834" t="s">
        <v>240</v>
      </c>
      <c r="Z834" t="s">
        <v>1844</v>
      </c>
      <c r="AA834" t="s">
        <v>3110</v>
      </c>
      <c r="AB834" t="s">
        <v>668</v>
      </c>
      <c r="AC834" t="s">
        <v>523</v>
      </c>
      <c r="AD834" t="s">
        <v>203</v>
      </c>
      <c r="AE834" t="s">
        <v>315</v>
      </c>
      <c r="AF834" t="s">
        <v>302</v>
      </c>
      <c r="AG834">
        <v>940180.40009999997</v>
      </c>
      <c r="AH834">
        <v>175</v>
      </c>
      <c r="AL834" t="s">
        <v>3483</v>
      </c>
      <c r="DG834" t="s">
        <v>3484</v>
      </c>
    </row>
    <row r="835" spans="1:112" x14ac:dyDescent="0.25">
      <c r="A835" t="s">
        <v>3801</v>
      </c>
      <c r="B835" t="e">
        <f>_xlfn.XLOOKUP(C835,'[1]Image URL'!$E:$E,'[1]Image URL'!$A:$A)</f>
        <v>#N/A</v>
      </c>
      <c r="C835">
        <v>609190</v>
      </c>
      <c r="D835" t="s">
        <v>3802</v>
      </c>
      <c r="E835" t="s">
        <v>3612</v>
      </c>
      <c r="F835" t="s">
        <v>340</v>
      </c>
      <c r="G835" t="s">
        <v>340</v>
      </c>
      <c r="H835" t="s">
        <v>1641</v>
      </c>
      <c r="J835" t="s">
        <v>212</v>
      </c>
      <c r="U835" t="s">
        <v>584</v>
      </c>
      <c r="V835" t="s">
        <v>157</v>
      </c>
      <c r="W835">
        <v>77838227954</v>
      </c>
      <c r="X835">
        <v>10077838027957</v>
      </c>
      <c r="Y835" t="s">
        <v>3613</v>
      </c>
      <c r="Z835" t="s">
        <v>1509</v>
      </c>
      <c r="AA835" t="s">
        <v>421</v>
      </c>
      <c r="AB835" t="s">
        <v>1846</v>
      </c>
      <c r="AC835" t="s">
        <v>2745</v>
      </c>
      <c r="AD835" t="s">
        <v>1562</v>
      </c>
      <c r="AE835" t="s">
        <v>184</v>
      </c>
      <c r="AF835" t="s">
        <v>268</v>
      </c>
      <c r="AG835">
        <v>392410.4</v>
      </c>
      <c r="AH835">
        <v>92.5</v>
      </c>
      <c r="AM835" t="s">
        <v>3496</v>
      </c>
      <c r="CC835" t="s">
        <v>340</v>
      </c>
      <c r="CQ835" t="s">
        <v>939</v>
      </c>
    </row>
    <row r="836" spans="1:112" x14ac:dyDescent="0.25">
      <c r="A836" t="s">
        <v>3803</v>
      </c>
      <c r="B836" t="e">
        <f>_xlfn.XLOOKUP(C836,'[1]Image URL'!$E:$E,'[1]Image URL'!$A:$A)</f>
        <v>#N/A</v>
      </c>
      <c r="C836">
        <v>1060103</v>
      </c>
      <c r="D836" t="s">
        <v>3634</v>
      </c>
      <c r="E836" t="s">
        <v>3552</v>
      </c>
      <c r="F836" t="s">
        <v>1982</v>
      </c>
      <c r="G836" t="s">
        <v>1982</v>
      </c>
      <c r="H836" t="s">
        <v>186</v>
      </c>
      <c r="J836" t="s">
        <v>195</v>
      </c>
      <c r="U836" t="s">
        <v>1459</v>
      </c>
      <c r="V836" t="s">
        <v>1385</v>
      </c>
      <c r="W836">
        <v>77838811177</v>
      </c>
      <c r="X836">
        <v>10077838811174</v>
      </c>
      <c r="Y836" t="s">
        <v>304</v>
      </c>
      <c r="Z836" t="s">
        <v>2462</v>
      </c>
      <c r="AA836" t="s">
        <v>2055</v>
      </c>
      <c r="AB836" t="s">
        <v>3553</v>
      </c>
      <c r="AC836" t="s">
        <v>410</v>
      </c>
      <c r="AD836" t="s">
        <v>183</v>
      </c>
      <c r="AE836" t="s">
        <v>184</v>
      </c>
      <c r="AF836" t="s">
        <v>185</v>
      </c>
      <c r="AG836">
        <v>392410.4</v>
      </c>
      <c r="AH836">
        <v>70</v>
      </c>
      <c r="AL836" t="s">
        <v>1790</v>
      </c>
      <c r="AM836" t="s">
        <v>1202</v>
      </c>
      <c r="AN836" t="s">
        <v>1982</v>
      </c>
    </row>
    <row r="837" spans="1:112" x14ac:dyDescent="0.25">
      <c r="A837" t="s">
        <v>3804</v>
      </c>
      <c r="B837" t="e">
        <f>_xlfn.XLOOKUP(C837,'[1]Image URL'!$E:$E,'[1]Image URL'!$A:$A)</f>
        <v>#N/A</v>
      </c>
      <c r="C837" t="s">
        <v>4214</v>
      </c>
      <c r="D837" t="s">
        <v>3806</v>
      </c>
      <c r="E837" t="s">
        <v>3444</v>
      </c>
      <c r="F837" t="s">
        <v>664</v>
      </c>
      <c r="G837" t="s">
        <v>664</v>
      </c>
      <c r="H837" t="s">
        <v>186</v>
      </c>
      <c r="U837" t="s">
        <v>1459</v>
      </c>
      <c r="V837" t="s">
        <v>1385</v>
      </c>
      <c r="W837">
        <v>77838893371</v>
      </c>
      <c r="X837">
        <v>10077838893378</v>
      </c>
      <c r="Y837" t="s">
        <v>3807</v>
      </c>
      <c r="Z837" t="s">
        <v>1266</v>
      </c>
      <c r="AA837" t="s">
        <v>3808</v>
      </c>
      <c r="AB837" t="s">
        <v>3808</v>
      </c>
      <c r="AC837" t="s">
        <v>3682</v>
      </c>
      <c r="AD837" t="s">
        <v>2173</v>
      </c>
      <c r="AE837" t="s">
        <v>204</v>
      </c>
      <c r="AF837" t="s">
        <v>185</v>
      </c>
      <c r="AG837">
        <v>392410.4</v>
      </c>
      <c r="AH837">
        <v>65</v>
      </c>
      <c r="AL837" t="s">
        <v>3271</v>
      </c>
      <c r="CC837" t="s">
        <v>664</v>
      </c>
      <c r="CX837" t="s">
        <v>709</v>
      </c>
    </row>
    <row r="838" spans="1:112" x14ac:dyDescent="0.25">
      <c r="A838" t="s">
        <v>3809</v>
      </c>
      <c r="B838" t="e">
        <f>_xlfn.XLOOKUP(C838,'[1]Image URL'!$E:$E,'[1]Image URL'!$A:$A)</f>
        <v>#N/A</v>
      </c>
      <c r="C838" t="s">
        <v>4220</v>
      </c>
      <c r="D838" t="s">
        <v>3668</v>
      </c>
      <c r="E838" t="s">
        <v>3669</v>
      </c>
      <c r="F838" t="s">
        <v>664</v>
      </c>
      <c r="G838" t="s">
        <v>664</v>
      </c>
      <c r="H838" t="s">
        <v>186</v>
      </c>
      <c r="J838" t="s">
        <v>212</v>
      </c>
      <c r="U838" t="s">
        <v>584</v>
      </c>
      <c r="V838" t="s">
        <v>157</v>
      </c>
      <c r="W838">
        <v>77838208540</v>
      </c>
      <c r="X838">
        <v>10077838008543</v>
      </c>
      <c r="Y838" t="s">
        <v>3023</v>
      </c>
      <c r="Z838" t="s">
        <v>465</v>
      </c>
      <c r="AA838" t="s">
        <v>1374</v>
      </c>
      <c r="AB838" t="s">
        <v>1510</v>
      </c>
      <c r="AC838" t="s">
        <v>757</v>
      </c>
      <c r="AD838" t="s">
        <v>1390</v>
      </c>
      <c r="AE838" t="s">
        <v>184</v>
      </c>
      <c r="AF838" t="s">
        <v>315</v>
      </c>
      <c r="AG838">
        <v>392410.4</v>
      </c>
      <c r="AH838">
        <v>70</v>
      </c>
      <c r="AM838" t="s">
        <v>1735</v>
      </c>
      <c r="CC838" t="s">
        <v>664</v>
      </c>
      <c r="CQ838" t="s">
        <v>939</v>
      </c>
    </row>
    <row r="839" spans="1:112" x14ac:dyDescent="0.25">
      <c r="A839" t="s">
        <v>3810</v>
      </c>
      <c r="B839" t="e">
        <f>_xlfn.XLOOKUP(C839,'[1]Image URL'!$E:$E,'[1]Image URL'!$A:$A)</f>
        <v>#N/A</v>
      </c>
      <c r="C839">
        <v>755003</v>
      </c>
      <c r="D839" t="s">
        <v>3811</v>
      </c>
      <c r="E839" t="s">
        <v>3599</v>
      </c>
      <c r="F839" t="s">
        <v>846</v>
      </c>
      <c r="G839" t="s">
        <v>846</v>
      </c>
      <c r="H839" t="s">
        <v>3600</v>
      </c>
      <c r="J839" t="s">
        <v>212</v>
      </c>
      <c r="U839" t="s">
        <v>584</v>
      </c>
      <c r="V839" t="s">
        <v>1385</v>
      </c>
      <c r="W839">
        <v>77838267608</v>
      </c>
      <c r="X839">
        <v>10077838167608</v>
      </c>
      <c r="Y839" t="s">
        <v>659</v>
      </c>
      <c r="Z839" t="s">
        <v>1141</v>
      </c>
      <c r="AA839" t="s">
        <v>2257</v>
      </c>
      <c r="AB839" t="s">
        <v>1602</v>
      </c>
      <c r="AC839" t="s">
        <v>288</v>
      </c>
      <c r="AD839" t="s">
        <v>867</v>
      </c>
      <c r="AE839" t="s">
        <v>314</v>
      </c>
      <c r="AF839" t="s">
        <v>185</v>
      </c>
      <c r="AG839">
        <v>392410.4</v>
      </c>
      <c r="AH839">
        <v>70</v>
      </c>
      <c r="AL839" t="s">
        <v>3271</v>
      </c>
      <c r="AM839" t="s">
        <v>1269</v>
      </c>
      <c r="BX839" t="s">
        <v>846</v>
      </c>
    </row>
    <row r="840" spans="1:112" x14ac:dyDescent="0.25">
      <c r="A840" t="s">
        <v>3812</v>
      </c>
      <c r="B840" t="e">
        <f>_xlfn.XLOOKUP(C840,'[1]Image URL'!$E:$E,'[1]Image URL'!$A:$A)</f>
        <v>#N/A</v>
      </c>
      <c r="C840" t="s">
        <v>4234</v>
      </c>
      <c r="D840" t="s">
        <v>3543</v>
      </c>
      <c r="E840" t="s">
        <v>3526</v>
      </c>
      <c r="F840" t="s">
        <v>3474</v>
      </c>
      <c r="G840" t="s">
        <v>3474</v>
      </c>
      <c r="H840" t="s">
        <v>3544</v>
      </c>
      <c r="J840" t="s">
        <v>212</v>
      </c>
      <c r="U840" t="s">
        <v>584</v>
      </c>
      <c r="V840" t="s">
        <v>1385</v>
      </c>
      <c r="W840">
        <v>77838267455</v>
      </c>
      <c r="X840">
        <v>10077838167455</v>
      </c>
      <c r="Y840" t="s">
        <v>218</v>
      </c>
      <c r="Z840" t="s">
        <v>1386</v>
      </c>
      <c r="AA840" t="s">
        <v>192</v>
      </c>
      <c r="AB840" t="s">
        <v>188</v>
      </c>
      <c r="AC840" t="s">
        <v>329</v>
      </c>
      <c r="AD840" t="s">
        <v>634</v>
      </c>
      <c r="AE840" t="s">
        <v>163</v>
      </c>
      <c r="AF840" t="s">
        <v>185</v>
      </c>
      <c r="AG840">
        <v>392410.4</v>
      </c>
      <c r="AH840">
        <v>70</v>
      </c>
      <c r="AL840" t="s">
        <v>2032</v>
      </c>
      <c r="AM840" t="s">
        <v>847</v>
      </c>
      <c r="BX840" t="s">
        <v>3474</v>
      </c>
    </row>
    <row r="841" spans="1:112" x14ac:dyDescent="0.25">
      <c r="A841" t="s">
        <v>3813</v>
      </c>
      <c r="B841" t="e">
        <f>_xlfn.XLOOKUP(C841,'[1]Image URL'!$E:$E,'[1]Image URL'!$A:$A)</f>
        <v>#N/A</v>
      </c>
      <c r="C841" t="s">
        <v>4240</v>
      </c>
      <c r="D841" t="s">
        <v>3626</v>
      </c>
      <c r="E841" t="s">
        <v>3627</v>
      </c>
      <c r="F841" t="s">
        <v>340</v>
      </c>
      <c r="G841" t="s">
        <v>340</v>
      </c>
      <c r="H841" t="s">
        <v>152</v>
      </c>
      <c r="J841" t="s">
        <v>212</v>
      </c>
      <c r="U841" t="s">
        <v>584</v>
      </c>
      <c r="V841" t="s">
        <v>1385</v>
      </c>
      <c r="W841">
        <v>77838217689</v>
      </c>
      <c r="X841">
        <v>10077838017682</v>
      </c>
      <c r="Y841" t="s">
        <v>1802</v>
      </c>
      <c r="Z841" t="s">
        <v>903</v>
      </c>
      <c r="AA841" t="s">
        <v>633</v>
      </c>
      <c r="AB841" t="s">
        <v>312</v>
      </c>
      <c r="AC841" t="s">
        <v>288</v>
      </c>
      <c r="AD841" t="s">
        <v>245</v>
      </c>
      <c r="AE841" t="s">
        <v>349</v>
      </c>
      <c r="AF841" t="s">
        <v>185</v>
      </c>
      <c r="AG841">
        <v>392410.1</v>
      </c>
      <c r="AH841">
        <v>92.5</v>
      </c>
      <c r="AL841" t="s">
        <v>2740</v>
      </c>
      <c r="AM841" t="s">
        <v>1717</v>
      </c>
      <c r="AS841" t="s">
        <v>3628</v>
      </c>
      <c r="CC841" t="s">
        <v>340</v>
      </c>
      <c r="CQ841" t="s">
        <v>3629</v>
      </c>
    </row>
    <row r="842" spans="1:112" x14ac:dyDescent="0.25">
      <c r="A842" t="s">
        <v>3814</v>
      </c>
      <c r="B842" t="e">
        <f>_xlfn.XLOOKUP(C842,'[1]Image URL'!$E:$E,'[1]Image URL'!$A:$A)</f>
        <v>#N/A</v>
      </c>
      <c r="C842" t="s">
        <v>4244</v>
      </c>
      <c r="D842" t="s">
        <v>3425</v>
      </c>
      <c r="E842" t="s">
        <v>3426</v>
      </c>
      <c r="F842" t="s">
        <v>2450</v>
      </c>
      <c r="G842" t="s">
        <v>2450</v>
      </c>
      <c r="H842" t="s">
        <v>413</v>
      </c>
      <c r="J842" t="s">
        <v>195</v>
      </c>
      <c r="U842" t="s">
        <v>1459</v>
      </c>
      <c r="V842" t="s">
        <v>1385</v>
      </c>
      <c r="W842">
        <v>77838811108</v>
      </c>
      <c r="X842">
        <v>10077838811105</v>
      </c>
      <c r="Y842" t="s">
        <v>3427</v>
      </c>
      <c r="Z842" t="s">
        <v>1141</v>
      </c>
      <c r="AA842" t="s">
        <v>421</v>
      </c>
      <c r="AB842" t="s">
        <v>332</v>
      </c>
      <c r="AC842" t="s">
        <v>361</v>
      </c>
      <c r="AD842" t="s">
        <v>1884</v>
      </c>
      <c r="AE842" t="s">
        <v>315</v>
      </c>
      <c r="AF842" t="s">
        <v>403</v>
      </c>
      <c r="AG842">
        <v>392410.4</v>
      </c>
      <c r="AH842">
        <v>70</v>
      </c>
      <c r="AM842" t="s">
        <v>847</v>
      </c>
      <c r="AN842" t="s">
        <v>2450</v>
      </c>
    </row>
    <row r="843" spans="1:112" x14ac:dyDescent="0.25">
      <c r="A843" t="s">
        <v>3815</v>
      </c>
      <c r="B843" t="e">
        <f>_xlfn.XLOOKUP(C843,'[1]Image URL'!$E:$E,'[1]Image URL'!$A:$A)</f>
        <v>#N/A</v>
      </c>
      <c r="C843" t="s">
        <v>4247</v>
      </c>
      <c r="D843" t="s">
        <v>3817</v>
      </c>
      <c r="E843" t="s">
        <v>3444</v>
      </c>
      <c r="F843" t="s">
        <v>334</v>
      </c>
      <c r="G843" t="s">
        <v>334</v>
      </c>
      <c r="H843" t="s">
        <v>413</v>
      </c>
      <c r="U843" t="s">
        <v>1459</v>
      </c>
      <c r="V843" t="s">
        <v>1385</v>
      </c>
      <c r="W843">
        <v>77838893647</v>
      </c>
      <c r="X843">
        <v>10077838893644</v>
      </c>
      <c r="Y843" t="s">
        <v>3281</v>
      </c>
      <c r="Z843" t="s">
        <v>1701</v>
      </c>
      <c r="AA843" t="s">
        <v>1485</v>
      </c>
      <c r="AB843" t="s">
        <v>288</v>
      </c>
      <c r="AC843" t="s">
        <v>1674</v>
      </c>
      <c r="AD843" t="s">
        <v>234</v>
      </c>
      <c r="AE843" t="s">
        <v>163</v>
      </c>
      <c r="AF843" t="s">
        <v>235</v>
      </c>
      <c r="AG843">
        <v>392410.4</v>
      </c>
      <c r="AH843">
        <v>70</v>
      </c>
      <c r="AL843" t="s">
        <v>205</v>
      </c>
      <c r="CC843" t="s">
        <v>334</v>
      </c>
      <c r="CX843" t="s">
        <v>186</v>
      </c>
    </row>
    <row r="844" spans="1:112" x14ac:dyDescent="0.25">
      <c r="A844" t="s">
        <v>3818</v>
      </c>
      <c r="B844" t="e">
        <f>_xlfn.XLOOKUP(C844,'[1]Image URL'!$E:$E,'[1]Image URL'!$A:$A)</f>
        <v>#N/A</v>
      </c>
      <c r="C844" t="s">
        <v>4252</v>
      </c>
      <c r="D844" t="s">
        <v>3820</v>
      </c>
      <c r="E844" t="s">
        <v>3523</v>
      </c>
      <c r="F844" t="s">
        <v>2450</v>
      </c>
      <c r="G844" t="s">
        <v>2450</v>
      </c>
      <c r="H844" t="s">
        <v>3513</v>
      </c>
      <c r="J844" t="s">
        <v>195</v>
      </c>
      <c r="U844" t="s">
        <v>1459</v>
      </c>
      <c r="V844" t="s">
        <v>1385</v>
      </c>
      <c r="W844">
        <v>77838233566</v>
      </c>
      <c r="X844">
        <v>10077838033569</v>
      </c>
      <c r="Y844" t="s">
        <v>3514</v>
      </c>
      <c r="Z844" t="s">
        <v>1560</v>
      </c>
      <c r="AA844" t="s">
        <v>1714</v>
      </c>
      <c r="AB844" t="s">
        <v>361</v>
      </c>
      <c r="AC844" t="s">
        <v>361</v>
      </c>
      <c r="AD844" t="s">
        <v>234</v>
      </c>
      <c r="AE844" t="s">
        <v>314</v>
      </c>
      <c r="AF844" t="s">
        <v>349</v>
      </c>
      <c r="AG844">
        <v>392410.4</v>
      </c>
      <c r="AH844">
        <v>65</v>
      </c>
      <c r="AL844" t="s">
        <v>1533</v>
      </c>
      <c r="AM844" t="s">
        <v>411</v>
      </c>
      <c r="CQ844" t="s">
        <v>201</v>
      </c>
      <c r="DH844" t="s">
        <v>1575</v>
      </c>
    </row>
    <row r="845" spans="1:112" x14ac:dyDescent="0.25">
      <c r="A845" t="s">
        <v>3821</v>
      </c>
      <c r="B845" t="e">
        <f>_xlfn.XLOOKUP(C845,'[1]Image URL'!$E:$E,'[1]Image URL'!$A:$A)</f>
        <v>#N/A</v>
      </c>
      <c r="C845">
        <v>7550094</v>
      </c>
      <c r="D845" t="s">
        <v>3822</v>
      </c>
      <c r="E845" t="s">
        <v>3823</v>
      </c>
      <c r="F845" t="s">
        <v>578</v>
      </c>
      <c r="G845" t="s">
        <v>578</v>
      </c>
      <c r="H845" t="s">
        <v>201</v>
      </c>
      <c r="I845" t="s">
        <v>194</v>
      </c>
      <c r="J845" t="s">
        <v>212</v>
      </c>
      <c r="U845" t="s">
        <v>217</v>
      </c>
      <c r="V845" t="s">
        <v>157</v>
      </c>
      <c r="W845">
        <v>77838209028</v>
      </c>
      <c r="X845">
        <v>10077838109028</v>
      </c>
      <c r="Y845" t="s">
        <v>452</v>
      </c>
      <c r="Z845" t="s">
        <v>3824</v>
      </c>
      <c r="AA845" t="s">
        <v>506</v>
      </c>
      <c r="AB845" t="s">
        <v>425</v>
      </c>
      <c r="AC845" t="s">
        <v>991</v>
      </c>
      <c r="AD845" t="s">
        <v>203</v>
      </c>
      <c r="AE845" t="s">
        <v>184</v>
      </c>
      <c r="AF845" t="s">
        <v>456</v>
      </c>
      <c r="AG845">
        <v>392410.4</v>
      </c>
      <c r="AH845">
        <v>125</v>
      </c>
      <c r="AL845" t="s">
        <v>2494</v>
      </c>
      <c r="AN845" t="s">
        <v>578</v>
      </c>
      <c r="AT845" t="s">
        <v>1567</v>
      </c>
      <c r="CC845" t="s">
        <v>1729</v>
      </c>
      <c r="CQ845" t="s">
        <v>549</v>
      </c>
      <c r="CX845" t="s">
        <v>549</v>
      </c>
    </row>
    <row r="846" spans="1:112" x14ac:dyDescent="0.25">
      <c r="A846" t="s">
        <v>3825</v>
      </c>
      <c r="B846" t="e">
        <f>_xlfn.XLOOKUP(C846,'[1]Image URL'!$E:$E,'[1]Image URL'!$A:$A)</f>
        <v>#N/A</v>
      </c>
      <c r="C846" t="s">
        <v>4259</v>
      </c>
      <c r="D846" t="s">
        <v>3811</v>
      </c>
      <c r="E846" t="s">
        <v>3599</v>
      </c>
      <c r="F846" t="s">
        <v>846</v>
      </c>
      <c r="G846" t="s">
        <v>846</v>
      </c>
      <c r="H846" t="s">
        <v>3600</v>
      </c>
      <c r="J846" t="s">
        <v>212</v>
      </c>
      <c r="U846" t="s">
        <v>584</v>
      </c>
      <c r="V846" t="s">
        <v>1385</v>
      </c>
      <c r="W846">
        <v>77838267608</v>
      </c>
      <c r="X846">
        <v>10077838167608</v>
      </c>
      <c r="Y846" t="s">
        <v>659</v>
      </c>
      <c r="Z846" t="s">
        <v>1141</v>
      </c>
      <c r="AA846" t="s">
        <v>2257</v>
      </c>
      <c r="AB846" t="s">
        <v>1602</v>
      </c>
      <c r="AC846" t="s">
        <v>288</v>
      </c>
      <c r="AD846" t="s">
        <v>867</v>
      </c>
      <c r="AE846" t="s">
        <v>314</v>
      </c>
      <c r="AF846" t="s">
        <v>185</v>
      </c>
      <c r="AG846">
        <v>392410.4</v>
      </c>
      <c r="AH846">
        <v>70</v>
      </c>
      <c r="AL846" t="s">
        <v>3271</v>
      </c>
      <c r="AM846" t="s">
        <v>1269</v>
      </c>
      <c r="BX846" t="s">
        <v>846</v>
      </c>
    </row>
    <row r="847" spans="1:112" x14ac:dyDescent="0.25">
      <c r="A847" t="s">
        <v>3826</v>
      </c>
      <c r="B847" t="e">
        <f>_xlfn.XLOOKUP(C847,'[1]Image URL'!$E:$E,'[1]Image URL'!$A:$A)</f>
        <v>#N/A</v>
      </c>
      <c r="C847" t="s">
        <v>4263</v>
      </c>
      <c r="D847" t="s">
        <v>3828</v>
      </c>
      <c r="E847" t="s">
        <v>3444</v>
      </c>
      <c r="F847" t="s">
        <v>664</v>
      </c>
      <c r="G847" t="s">
        <v>664</v>
      </c>
      <c r="H847" t="s">
        <v>186</v>
      </c>
      <c r="U847" t="s">
        <v>1459</v>
      </c>
      <c r="V847" t="s">
        <v>1385</v>
      </c>
      <c r="W847">
        <v>77838893494</v>
      </c>
      <c r="X847">
        <v>10077838893491</v>
      </c>
      <c r="Y847" t="s">
        <v>3807</v>
      </c>
      <c r="Z847" t="s">
        <v>1266</v>
      </c>
      <c r="AA847" t="s">
        <v>3808</v>
      </c>
      <c r="AB847" t="s">
        <v>3808</v>
      </c>
      <c r="AC847" t="s">
        <v>3682</v>
      </c>
      <c r="AD847" t="s">
        <v>2173</v>
      </c>
      <c r="AE847" t="s">
        <v>204</v>
      </c>
      <c r="AF847" t="s">
        <v>185</v>
      </c>
      <c r="AG847">
        <v>392410.2</v>
      </c>
      <c r="AH847">
        <v>70</v>
      </c>
      <c r="AL847" t="s">
        <v>3271</v>
      </c>
      <c r="CC847" t="s">
        <v>664</v>
      </c>
      <c r="CX847" t="s">
        <v>709</v>
      </c>
    </row>
    <row r="848" spans="1:112" x14ac:dyDescent="0.25">
      <c r="A848" t="s">
        <v>3829</v>
      </c>
      <c r="B848" t="e">
        <f>_xlfn.XLOOKUP(C848,'[1]Image URL'!$E:$E,'[1]Image URL'!$A:$A)</f>
        <v>#N/A</v>
      </c>
      <c r="C848" t="s">
        <v>4266</v>
      </c>
      <c r="D848" t="s">
        <v>3789</v>
      </c>
      <c r="E848" t="s">
        <v>3517</v>
      </c>
      <c r="F848" t="s">
        <v>374</v>
      </c>
      <c r="G848" t="s">
        <v>374</v>
      </c>
      <c r="H848" t="s">
        <v>3518</v>
      </c>
      <c r="J848" t="s">
        <v>195</v>
      </c>
      <c r="U848" t="s">
        <v>1459</v>
      </c>
      <c r="V848" t="s">
        <v>1385</v>
      </c>
      <c r="W848">
        <v>77838269084</v>
      </c>
      <c r="X848">
        <v>10077838169084</v>
      </c>
      <c r="Y848" t="s">
        <v>452</v>
      </c>
      <c r="Z848" t="s">
        <v>1631</v>
      </c>
      <c r="AA848" t="s">
        <v>1932</v>
      </c>
      <c r="AB848" t="s">
        <v>1367</v>
      </c>
      <c r="AC848" t="s">
        <v>530</v>
      </c>
      <c r="AD848" t="s">
        <v>3346</v>
      </c>
      <c r="AE848" t="s">
        <v>1113</v>
      </c>
      <c r="AF848" t="s">
        <v>268</v>
      </c>
      <c r="AG848">
        <v>392410.4</v>
      </c>
      <c r="AH848">
        <v>65</v>
      </c>
      <c r="AL848" t="s">
        <v>3271</v>
      </c>
      <c r="AM848" t="s">
        <v>3519</v>
      </c>
      <c r="AN848" t="s">
        <v>374</v>
      </c>
    </row>
    <row r="849" spans="1:102" x14ac:dyDescent="0.25">
      <c r="A849" t="s">
        <v>3830</v>
      </c>
      <c r="B849" t="e">
        <f>_xlfn.XLOOKUP(C849,'[1]Image URL'!$E:$E,'[1]Image URL'!$A:$A)</f>
        <v>#N/A</v>
      </c>
      <c r="C849" t="s">
        <v>4271</v>
      </c>
      <c r="D849" t="s">
        <v>3832</v>
      </c>
      <c r="E849" t="s">
        <v>3444</v>
      </c>
      <c r="F849" t="s">
        <v>664</v>
      </c>
      <c r="G849" t="s">
        <v>664</v>
      </c>
      <c r="H849" t="s">
        <v>186</v>
      </c>
      <c r="U849" t="s">
        <v>1459</v>
      </c>
      <c r="V849" t="s">
        <v>1385</v>
      </c>
      <c r="W849">
        <v>77838893487</v>
      </c>
      <c r="X849">
        <v>10077838893484</v>
      </c>
      <c r="Y849" t="s">
        <v>3807</v>
      </c>
      <c r="Z849" t="s">
        <v>1266</v>
      </c>
      <c r="AA849" t="s">
        <v>3808</v>
      </c>
      <c r="AB849" t="s">
        <v>3808</v>
      </c>
      <c r="AC849" t="s">
        <v>3682</v>
      </c>
      <c r="AD849" t="s">
        <v>2173</v>
      </c>
      <c r="AE849" t="s">
        <v>204</v>
      </c>
      <c r="AF849" t="s">
        <v>185</v>
      </c>
      <c r="AG849">
        <v>392410.2</v>
      </c>
      <c r="AH849">
        <v>70</v>
      </c>
      <c r="AL849" t="s">
        <v>3271</v>
      </c>
      <c r="CC849" t="s">
        <v>664</v>
      </c>
      <c r="CX849" t="s">
        <v>709</v>
      </c>
    </row>
    <row r="850" spans="1:102" x14ac:dyDescent="0.25">
      <c r="A850" t="s">
        <v>3833</v>
      </c>
      <c r="B850" t="e">
        <f>_xlfn.XLOOKUP(C850,'[1]Image URL'!$E:$E,'[1]Image URL'!$A:$A)</f>
        <v>#N/A</v>
      </c>
      <c r="C850" t="s">
        <v>4277</v>
      </c>
      <c r="D850" t="s">
        <v>3834</v>
      </c>
      <c r="E850" t="s">
        <v>3422</v>
      </c>
      <c r="F850" t="s">
        <v>1734</v>
      </c>
      <c r="G850" t="s">
        <v>1734</v>
      </c>
      <c r="H850" t="s">
        <v>3423</v>
      </c>
      <c r="J850" t="s">
        <v>195</v>
      </c>
      <c r="U850" t="s">
        <v>1459</v>
      </c>
      <c r="V850" t="s">
        <v>1385</v>
      </c>
      <c r="W850">
        <v>77838028896</v>
      </c>
      <c r="X850">
        <v>10077838028893</v>
      </c>
      <c r="Y850" t="s">
        <v>1125</v>
      </c>
      <c r="Z850" t="s">
        <v>2963</v>
      </c>
      <c r="AA850" t="s">
        <v>742</v>
      </c>
      <c r="AB850" t="s">
        <v>192</v>
      </c>
      <c r="AC850" t="s">
        <v>463</v>
      </c>
      <c r="AD850" t="s">
        <v>997</v>
      </c>
      <c r="AE850" t="s">
        <v>268</v>
      </c>
      <c r="AF850" t="s">
        <v>268</v>
      </c>
      <c r="AG850">
        <v>392410.4</v>
      </c>
      <c r="AH850">
        <v>65</v>
      </c>
      <c r="AM850" t="s">
        <v>2131</v>
      </c>
      <c r="BX850" t="s">
        <v>1734</v>
      </c>
    </row>
    <row r="851" spans="1:102" x14ac:dyDescent="0.25">
      <c r="A851" t="s">
        <v>3835</v>
      </c>
      <c r="B851" t="e">
        <f>_xlfn.XLOOKUP(C851,'[1]Image URL'!$E:$E,'[1]Image URL'!$A:$A)</f>
        <v>#N/A</v>
      </c>
      <c r="C851" t="s">
        <v>4280</v>
      </c>
      <c r="D851" t="s">
        <v>3836</v>
      </c>
      <c r="E851" t="s">
        <v>3723</v>
      </c>
      <c r="F851" t="s">
        <v>329</v>
      </c>
      <c r="G851" t="s">
        <v>329</v>
      </c>
      <c r="H851" t="s">
        <v>392</v>
      </c>
      <c r="I851" t="s">
        <v>194</v>
      </c>
      <c r="J851" t="s">
        <v>148</v>
      </c>
      <c r="U851" t="s">
        <v>217</v>
      </c>
      <c r="V851" t="s">
        <v>157</v>
      </c>
      <c r="W851">
        <v>77838684993</v>
      </c>
      <c r="X851">
        <v>10077838184995</v>
      </c>
      <c r="Y851" t="s">
        <v>3724</v>
      </c>
      <c r="Z851" t="s">
        <v>3725</v>
      </c>
      <c r="AA851" t="s">
        <v>1258</v>
      </c>
      <c r="AB851" t="s">
        <v>1484</v>
      </c>
      <c r="AC851" t="s">
        <v>775</v>
      </c>
      <c r="AD851" t="s">
        <v>426</v>
      </c>
      <c r="AE851" t="s">
        <v>268</v>
      </c>
      <c r="AF851" t="s">
        <v>302</v>
      </c>
      <c r="AG851">
        <v>392350</v>
      </c>
      <c r="AH851">
        <v>92.5</v>
      </c>
      <c r="AL851" t="s">
        <v>197</v>
      </c>
      <c r="AN851" t="s">
        <v>329</v>
      </c>
      <c r="CC851" t="s">
        <v>329</v>
      </c>
    </row>
    <row r="852" spans="1:102" x14ac:dyDescent="0.25">
      <c r="A852" t="s">
        <v>3837</v>
      </c>
      <c r="B852" t="e">
        <f>_xlfn.XLOOKUP(C852,'[1]Image URL'!$E:$E,'[1]Image URL'!$A:$A)</f>
        <v>#N/A</v>
      </c>
      <c r="C852" t="s">
        <v>4287</v>
      </c>
      <c r="D852" t="s">
        <v>3839</v>
      </c>
      <c r="E852" t="s">
        <v>3444</v>
      </c>
      <c r="F852" t="s">
        <v>664</v>
      </c>
      <c r="G852" t="s">
        <v>664</v>
      </c>
      <c r="H852" t="s">
        <v>186</v>
      </c>
      <c r="U852" t="s">
        <v>1459</v>
      </c>
      <c r="V852" t="s">
        <v>1385</v>
      </c>
      <c r="W852">
        <v>77838893470</v>
      </c>
      <c r="X852">
        <v>10077838893477</v>
      </c>
      <c r="Y852" t="s">
        <v>3807</v>
      </c>
      <c r="Z852" t="s">
        <v>1266</v>
      </c>
      <c r="AA852" t="s">
        <v>3808</v>
      </c>
      <c r="AB852" t="s">
        <v>3808</v>
      </c>
      <c r="AC852" t="s">
        <v>3682</v>
      </c>
      <c r="AD852" t="s">
        <v>2173</v>
      </c>
      <c r="AE852" t="s">
        <v>204</v>
      </c>
      <c r="AF852" t="s">
        <v>185</v>
      </c>
      <c r="AG852">
        <v>392410.2</v>
      </c>
      <c r="AH852">
        <v>70</v>
      </c>
      <c r="AL852" t="s">
        <v>3271</v>
      </c>
      <c r="CC852" t="s">
        <v>664</v>
      </c>
      <c r="CX852" t="s">
        <v>709</v>
      </c>
    </row>
    <row r="853" spans="1:102" x14ac:dyDescent="0.25">
      <c r="A853" t="s">
        <v>3840</v>
      </c>
      <c r="B853" t="e">
        <f>_xlfn.XLOOKUP(C853,'[1]Image URL'!$E:$E,'[1]Image URL'!$A:$A)</f>
        <v>#N/A</v>
      </c>
      <c r="C853" t="s">
        <v>4290</v>
      </c>
      <c r="E853" t="s">
        <v>3444</v>
      </c>
      <c r="F853" t="s">
        <v>2629</v>
      </c>
      <c r="G853" t="s">
        <v>2629</v>
      </c>
      <c r="H853" t="s">
        <v>186</v>
      </c>
      <c r="U853" t="s">
        <v>1459</v>
      </c>
      <c r="V853" t="s">
        <v>1385</v>
      </c>
      <c r="W853">
        <v>77838893753</v>
      </c>
      <c r="X853">
        <v>10077838893750</v>
      </c>
      <c r="Y853" t="s">
        <v>3500</v>
      </c>
      <c r="Z853" t="s">
        <v>1966</v>
      </c>
      <c r="AA853" t="s">
        <v>2218</v>
      </c>
      <c r="AB853" t="s">
        <v>332</v>
      </c>
      <c r="AC853" t="s">
        <v>145</v>
      </c>
      <c r="AD853" t="s">
        <v>669</v>
      </c>
      <c r="AE853" t="s">
        <v>314</v>
      </c>
      <c r="AF853" t="s">
        <v>268</v>
      </c>
      <c r="AG853">
        <v>392410.4</v>
      </c>
      <c r="AH853">
        <v>65</v>
      </c>
      <c r="AL853" t="s">
        <v>1645</v>
      </c>
      <c r="CC853" t="s">
        <v>2629</v>
      </c>
      <c r="CX853" t="s">
        <v>201</v>
      </c>
    </row>
    <row r="854" spans="1:102" x14ac:dyDescent="0.25">
      <c r="A854" t="s">
        <v>3842</v>
      </c>
      <c r="B854" t="e">
        <f>_xlfn.XLOOKUP(C854,'[1]Image URL'!$E:$E,'[1]Image URL'!$A:$A)</f>
        <v>#N/A</v>
      </c>
      <c r="C854" t="s">
        <v>4293</v>
      </c>
      <c r="D854" t="s">
        <v>3843</v>
      </c>
      <c r="E854" t="s">
        <v>3844</v>
      </c>
      <c r="F854" t="s">
        <v>3107</v>
      </c>
      <c r="G854" t="s">
        <v>850</v>
      </c>
      <c r="H854" t="s">
        <v>2964</v>
      </c>
      <c r="J854" t="s">
        <v>212</v>
      </c>
      <c r="U854" t="s">
        <v>584</v>
      </c>
      <c r="V854" t="s">
        <v>157</v>
      </c>
      <c r="W854">
        <v>77838505489</v>
      </c>
      <c r="X854">
        <v>10077838005481</v>
      </c>
      <c r="Y854" t="s">
        <v>3845</v>
      </c>
      <c r="Z854" t="s">
        <v>1612</v>
      </c>
      <c r="AA854" t="s">
        <v>180</v>
      </c>
      <c r="AB854" t="s">
        <v>1441</v>
      </c>
      <c r="AC854" t="s">
        <v>345</v>
      </c>
      <c r="AD854" t="s">
        <v>669</v>
      </c>
      <c r="AE854" t="s">
        <v>184</v>
      </c>
      <c r="AF854" t="s">
        <v>184</v>
      </c>
      <c r="AG854">
        <v>392410.4</v>
      </c>
      <c r="AH854">
        <v>92.5</v>
      </c>
      <c r="AL854" t="s">
        <v>681</v>
      </c>
    </row>
    <row r="855" spans="1:102" x14ac:dyDescent="0.25">
      <c r="A855" t="s">
        <v>3846</v>
      </c>
      <c r="B855" t="e">
        <f>_xlfn.XLOOKUP(C855,'[1]Image URL'!$E:$E,'[1]Image URL'!$A:$A)</f>
        <v>#N/A</v>
      </c>
      <c r="C855" t="s">
        <v>4297</v>
      </c>
      <c r="D855" t="s">
        <v>3847</v>
      </c>
      <c r="E855" t="s">
        <v>3453</v>
      </c>
      <c r="F855" t="s">
        <v>211</v>
      </c>
      <c r="G855" t="s">
        <v>211</v>
      </c>
      <c r="H855" t="s">
        <v>392</v>
      </c>
      <c r="I855" t="s">
        <v>194</v>
      </c>
      <c r="J855" t="s">
        <v>212</v>
      </c>
      <c r="U855" t="s">
        <v>217</v>
      </c>
      <c r="V855" t="s">
        <v>157</v>
      </c>
      <c r="W855">
        <v>77838504765</v>
      </c>
      <c r="X855">
        <v>10077838004767</v>
      </c>
      <c r="Y855" t="s">
        <v>3454</v>
      </c>
      <c r="Z855" t="s">
        <v>424</v>
      </c>
      <c r="AA855" t="s">
        <v>3455</v>
      </c>
      <c r="AB855" t="s">
        <v>1990</v>
      </c>
      <c r="AC855" t="s">
        <v>530</v>
      </c>
      <c r="AD855" t="s">
        <v>479</v>
      </c>
      <c r="AE855" t="s">
        <v>164</v>
      </c>
      <c r="AF855" t="s">
        <v>185</v>
      </c>
      <c r="AG855">
        <v>392410.4</v>
      </c>
      <c r="AH855">
        <v>175</v>
      </c>
      <c r="AL855" t="s">
        <v>1320</v>
      </c>
      <c r="AN855" t="s">
        <v>211</v>
      </c>
      <c r="CC855" t="s">
        <v>324</v>
      </c>
    </row>
    <row r="856" spans="1:102" x14ac:dyDescent="0.25">
      <c r="A856" t="s">
        <v>3848</v>
      </c>
      <c r="B856" t="e">
        <f>_xlfn.XLOOKUP(C856,'[1]Image URL'!$E:$E,'[1]Image URL'!$A:$A)</f>
        <v>#N/A</v>
      </c>
      <c r="C856" t="s">
        <v>4302</v>
      </c>
      <c r="D856" t="s">
        <v>3850</v>
      </c>
      <c r="E856" t="s">
        <v>3444</v>
      </c>
      <c r="F856" t="s">
        <v>2629</v>
      </c>
      <c r="G856" t="s">
        <v>2629</v>
      </c>
      <c r="H856" t="s">
        <v>186</v>
      </c>
      <c r="U856" t="s">
        <v>1459</v>
      </c>
      <c r="V856" t="s">
        <v>1385</v>
      </c>
      <c r="W856">
        <v>77838893463</v>
      </c>
      <c r="X856">
        <v>10077838893460</v>
      </c>
      <c r="Y856" t="s">
        <v>3445</v>
      </c>
      <c r="Z856" t="s">
        <v>764</v>
      </c>
      <c r="AA856" t="s">
        <v>3446</v>
      </c>
      <c r="AB856" t="s">
        <v>3446</v>
      </c>
      <c r="AC856" t="s">
        <v>3447</v>
      </c>
      <c r="AD856" t="s">
        <v>234</v>
      </c>
      <c r="AE856" t="s">
        <v>163</v>
      </c>
      <c r="AF856" t="s">
        <v>235</v>
      </c>
      <c r="AG856">
        <v>392410.4</v>
      </c>
      <c r="AH856">
        <v>70</v>
      </c>
      <c r="AL856" t="s">
        <v>1645</v>
      </c>
      <c r="CC856" t="s">
        <v>2629</v>
      </c>
      <c r="CX856" t="s">
        <v>201</v>
      </c>
    </row>
    <row r="857" spans="1:102" x14ac:dyDescent="0.25">
      <c r="A857" t="s">
        <v>3851</v>
      </c>
      <c r="B857" t="e">
        <f>_xlfn.XLOOKUP(C857,'[1]Image URL'!$E:$E,'[1]Image URL'!$A:$A)</f>
        <v>#N/A</v>
      </c>
      <c r="C857">
        <v>302203</v>
      </c>
      <c r="D857" t="s">
        <v>3538</v>
      </c>
      <c r="E857" t="s">
        <v>3539</v>
      </c>
      <c r="F857" t="s">
        <v>575</v>
      </c>
      <c r="G857" t="s">
        <v>575</v>
      </c>
      <c r="H857" t="s">
        <v>193</v>
      </c>
      <c r="J857" t="s">
        <v>212</v>
      </c>
      <c r="U857" t="s">
        <v>584</v>
      </c>
      <c r="V857" t="s">
        <v>157</v>
      </c>
      <c r="W857">
        <v>77838201800</v>
      </c>
      <c r="X857">
        <v>10077838001803</v>
      </c>
      <c r="Y857" t="s">
        <v>1265</v>
      </c>
      <c r="Z857" t="s">
        <v>1084</v>
      </c>
      <c r="AA857" t="s">
        <v>192</v>
      </c>
      <c r="AB857" t="s">
        <v>866</v>
      </c>
      <c r="AC857" t="s">
        <v>1136</v>
      </c>
      <c r="AD857" t="s">
        <v>3540</v>
      </c>
      <c r="AE857" t="s">
        <v>496</v>
      </c>
      <c r="AF857" t="s">
        <v>349</v>
      </c>
      <c r="AG857">
        <v>392410.4</v>
      </c>
      <c r="AH857">
        <v>85</v>
      </c>
      <c r="AM857" t="s">
        <v>3541</v>
      </c>
      <c r="CC857" t="s">
        <v>575</v>
      </c>
      <c r="CQ857" t="s">
        <v>2181</v>
      </c>
    </row>
    <row r="858" spans="1:102" x14ac:dyDescent="0.25">
      <c r="A858" t="s">
        <v>3852</v>
      </c>
      <c r="B858" t="e">
        <f>_xlfn.XLOOKUP(C858,'[1]Image URL'!$E:$E,'[1]Image URL'!$A:$A)</f>
        <v>#N/A</v>
      </c>
      <c r="C858" t="s">
        <v>4313</v>
      </c>
      <c r="D858" t="s">
        <v>3786</v>
      </c>
      <c r="E858" t="s">
        <v>3583</v>
      </c>
      <c r="F858" t="s">
        <v>340</v>
      </c>
      <c r="G858" t="s">
        <v>340</v>
      </c>
      <c r="H858" t="s">
        <v>186</v>
      </c>
      <c r="J858" t="s">
        <v>195</v>
      </c>
      <c r="U858" t="s">
        <v>1459</v>
      </c>
      <c r="V858" t="s">
        <v>1385</v>
      </c>
      <c r="W858">
        <v>77838811139</v>
      </c>
      <c r="X858">
        <v>10077838811136</v>
      </c>
      <c r="Y858" t="s">
        <v>955</v>
      </c>
      <c r="Z858" t="s">
        <v>1835</v>
      </c>
      <c r="AA858" t="s">
        <v>472</v>
      </c>
      <c r="AB858" t="s">
        <v>1273</v>
      </c>
      <c r="AC858" t="s">
        <v>542</v>
      </c>
      <c r="AD858" t="s">
        <v>234</v>
      </c>
      <c r="AE858" t="s">
        <v>163</v>
      </c>
      <c r="AF858" t="s">
        <v>235</v>
      </c>
      <c r="AG858">
        <v>392410.4</v>
      </c>
      <c r="AH858">
        <v>70</v>
      </c>
      <c r="AL858" t="s">
        <v>2189</v>
      </c>
      <c r="AM858" t="s">
        <v>411</v>
      </c>
      <c r="AN858" t="s">
        <v>340</v>
      </c>
    </row>
    <row r="859" spans="1:102" x14ac:dyDescent="0.25">
      <c r="A859" t="s">
        <v>3853</v>
      </c>
      <c r="B859" t="e">
        <f>_xlfn.XLOOKUP(C859,'[1]Image URL'!$E:$E,'[1]Image URL'!$A:$A)</f>
        <v>#N/A</v>
      </c>
      <c r="C859">
        <v>755044</v>
      </c>
      <c r="D859" t="s">
        <v>3730</v>
      </c>
      <c r="E859" t="s">
        <v>3731</v>
      </c>
      <c r="F859" t="s">
        <v>3474</v>
      </c>
      <c r="G859" t="s">
        <v>3474</v>
      </c>
      <c r="H859" t="s">
        <v>1641</v>
      </c>
      <c r="J859" t="s">
        <v>212</v>
      </c>
      <c r="U859" t="s">
        <v>584</v>
      </c>
      <c r="V859" t="s">
        <v>157</v>
      </c>
      <c r="W859">
        <v>77838200285</v>
      </c>
      <c r="X859">
        <v>10077838000288</v>
      </c>
      <c r="Y859" t="s">
        <v>3732</v>
      </c>
      <c r="Z859" t="s">
        <v>408</v>
      </c>
      <c r="AA859" t="s">
        <v>462</v>
      </c>
      <c r="AB859" t="s">
        <v>2210</v>
      </c>
      <c r="AC859" t="s">
        <v>386</v>
      </c>
      <c r="AD859" t="s">
        <v>1681</v>
      </c>
      <c r="AE859" t="s">
        <v>204</v>
      </c>
      <c r="AF859" t="s">
        <v>403</v>
      </c>
      <c r="AG859">
        <v>392410.4</v>
      </c>
      <c r="AH859">
        <v>85</v>
      </c>
      <c r="AM859" t="s">
        <v>847</v>
      </c>
      <c r="CC859" t="s">
        <v>3474</v>
      </c>
      <c r="CQ859" t="s">
        <v>2964</v>
      </c>
    </row>
    <row r="860" spans="1:102" x14ac:dyDescent="0.25">
      <c r="A860" t="s">
        <v>3854</v>
      </c>
      <c r="B860" t="e">
        <f>_xlfn.XLOOKUP(C860,'[1]Image URL'!$E:$E,'[1]Image URL'!$A:$A)</f>
        <v>#N/A</v>
      </c>
      <c r="C860" t="s">
        <v>4322</v>
      </c>
      <c r="D860" t="s">
        <v>3707</v>
      </c>
      <c r="E860" t="s">
        <v>3669</v>
      </c>
      <c r="F860" t="s">
        <v>664</v>
      </c>
      <c r="G860" t="s">
        <v>664</v>
      </c>
      <c r="H860" t="s">
        <v>186</v>
      </c>
      <c r="J860" t="s">
        <v>212</v>
      </c>
      <c r="U860" t="s">
        <v>584</v>
      </c>
      <c r="V860" t="s">
        <v>157</v>
      </c>
      <c r="W860">
        <v>77838208335</v>
      </c>
      <c r="X860">
        <v>10077838008338</v>
      </c>
      <c r="Y860" t="s">
        <v>3023</v>
      </c>
      <c r="Z860" t="s">
        <v>465</v>
      </c>
      <c r="AA860" t="s">
        <v>1374</v>
      </c>
      <c r="AB860" t="s">
        <v>1510</v>
      </c>
      <c r="AC860" t="s">
        <v>757</v>
      </c>
      <c r="AD860" t="s">
        <v>1390</v>
      </c>
      <c r="AE860" t="s">
        <v>184</v>
      </c>
      <c r="AF860" t="s">
        <v>315</v>
      </c>
      <c r="AG860">
        <v>392410.4</v>
      </c>
      <c r="AH860">
        <v>70</v>
      </c>
      <c r="AM860" t="s">
        <v>1735</v>
      </c>
      <c r="CC860" t="s">
        <v>664</v>
      </c>
      <c r="CQ860" t="s">
        <v>939</v>
      </c>
    </row>
    <row r="861" spans="1:102" x14ac:dyDescent="0.25">
      <c r="A861" t="s">
        <v>3855</v>
      </c>
      <c r="B861" t="e">
        <f>_xlfn.XLOOKUP(C861,'[1]Image URL'!$E:$E,'[1]Image URL'!$A:$A)</f>
        <v>#N/A</v>
      </c>
      <c r="C861">
        <v>140101</v>
      </c>
      <c r="D861" t="s">
        <v>3636</v>
      </c>
      <c r="E861" t="s">
        <v>3552</v>
      </c>
      <c r="F861" t="s">
        <v>1982</v>
      </c>
      <c r="G861" t="s">
        <v>1982</v>
      </c>
      <c r="H861" t="s">
        <v>186</v>
      </c>
      <c r="J861" t="s">
        <v>195</v>
      </c>
      <c r="U861" t="s">
        <v>1459</v>
      </c>
      <c r="V861" t="s">
        <v>1385</v>
      </c>
      <c r="W861">
        <v>77838811153</v>
      </c>
      <c r="X861">
        <v>10077838811150</v>
      </c>
      <c r="Y861" t="s">
        <v>304</v>
      </c>
      <c r="Z861" t="s">
        <v>2462</v>
      </c>
      <c r="AA861" t="s">
        <v>2055</v>
      </c>
      <c r="AB861" t="s">
        <v>3553</v>
      </c>
      <c r="AC861" t="s">
        <v>410</v>
      </c>
      <c r="AD861" t="s">
        <v>183</v>
      </c>
      <c r="AE861" t="s">
        <v>184</v>
      </c>
      <c r="AF861" t="s">
        <v>185</v>
      </c>
      <c r="AG861">
        <v>392410.4</v>
      </c>
      <c r="AH861">
        <v>70</v>
      </c>
      <c r="AL861" t="s">
        <v>1790</v>
      </c>
      <c r="AM861" t="s">
        <v>1202</v>
      </c>
      <c r="AN861" t="s">
        <v>1982</v>
      </c>
    </row>
    <row r="862" spans="1:102" x14ac:dyDescent="0.25">
      <c r="A862" t="s">
        <v>3856</v>
      </c>
      <c r="B862" t="e">
        <f>_xlfn.XLOOKUP(C862,'[1]Image URL'!$E:$E,'[1]Image URL'!$A:$A)</f>
        <v>#N/A</v>
      </c>
      <c r="C862" t="s">
        <v>4329</v>
      </c>
      <c r="D862" t="s">
        <v>3858</v>
      </c>
      <c r="E862" t="s">
        <v>3444</v>
      </c>
      <c r="F862" t="s">
        <v>334</v>
      </c>
      <c r="G862" t="s">
        <v>334</v>
      </c>
      <c r="H862" t="s">
        <v>413</v>
      </c>
      <c r="U862" t="s">
        <v>1459</v>
      </c>
      <c r="V862" t="s">
        <v>1385</v>
      </c>
      <c r="W862">
        <v>77838893593</v>
      </c>
      <c r="X862">
        <v>10077838893590</v>
      </c>
      <c r="Y862" t="s">
        <v>3681</v>
      </c>
      <c r="Z862" t="s">
        <v>764</v>
      </c>
      <c r="AA862" t="s">
        <v>3682</v>
      </c>
      <c r="AB862" t="s">
        <v>3682</v>
      </c>
      <c r="AC862" t="s">
        <v>2419</v>
      </c>
      <c r="AD862" t="s">
        <v>634</v>
      </c>
      <c r="AE862" t="s">
        <v>163</v>
      </c>
      <c r="AF862" t="s">
        <v>185</v>
      </c>
      <c r="AG862">
        <v>392410.4</v>
      </c>
      <c r="AH862">
        <v>70</v>
      </c>
      <c r="AL862" t="s">
        <v>3683</v>
      </c>
      <c r="CC862" t="s">
        <v>334</v>
      </c>
      <c r="CX862" t="s">
        <v>201</v>
      </c>
    </row>
    <row r="863" spans="1:102" x14ac:dyDescent="0.25">
      <c r="A863" t="s">
        <v>3859</v>
      </c>
      <c r="B863" t="e">
        <f>_xlfn.XLOOKUP(C863,'[1]Image URL'!$E:$E,'[1]Image URL'!$A:$A)</f>
        <v>#N/A</v>
      </c>
      <c r="C863" t="s">
        <v>4335</v>
      </c>
      <c r="D863" t="s">
        <v>3860</v>
      </c>
      <c r="E863" t="s">
        <v>3756</v>
      </c>
      <c r="F863" t="s">
        <v>2989</v>
      </c>
      <c r="G863" t="s">
        <v>939</v>
      </c>
      <c r="H863" t="s">
        <v>2964</v>
      </c>
      <c r="U863" t="s">
        <v>584</v>
      </c>
      <c r="V863" t="s">
        <v>157</v>
      </c>
      <c r="W863">
        <v>77838500910</v>
      </c>
      <c r="X863">
        <v>10077838000912</v>
      </c>
      <c r="Y863" t="s">
        <v>1865</v>
      </c>
      <c r="Z863" t="s">
        <v>219</v>
      </c>
      <c r="AA863" t="s">
        <v>3757</v>
      </c>
      <c r="AB863" t="s">
        <v>2608</v>
      </c>
      <c r="AC863" t="s">
        <v>523</v>
      </c>
      <c r="AD863" t="s">
        <v>669</v>
      </c>
      <c r="AE863" t="s">
        <v>507</v>
      </c>
      <c r="AF863" t="s">
        <v>315</v>
      </c>
      <c r="AG863">
        <v>392410.4</v>
      </c>
      <c r="AH863">
        <v>85</v>
      </c>
      <c r="AL863" t="s">
        <v>2189</v>
      </c>
    </row>
    <row r="864" spans="1:102" x14ac:dyDescent="0.25">
      <c r="A864" t="s">
        <v>3861</v>
      </c>
      <c r="B864" t="e">
        <f>_xlfn.XLOOKUP(C864,'[1]Image URL'!$E:$E,'[1]Image URL'!$A:$A)</f>
        <v>#N/A</v>
      </c>
      <c r="C864">
        <v>302003</v>
      </c>
      <c r="D864" t="s">
        <v>3863</v>
      </c>
      <c r="E864" t="s">
        <v>3444</v>
      </c>
      <c r="F864" t="s">
        <v>334</v>
      </c>
      <c r="G864" t="s">
        <v>334</v>
      </c>
      <c r="H864" t="s">
        <v>413</v>
      </c>
      <c r="U864" t="s">
        <v>1459</v>
      </c>
      <c r="V864" t="s">
        <v>1385</v>
      </c>
      <c r="W864">
        <v>77838893623</v>
      </c>
      <c r="X864">
        <v>10077838893620</v>
      </c>
      <c r="Y864" t="s">
        <v>3281</v>
      </c>
      <c r="Z864" t="s">
        <v>1701</v>
      </c>
      <c r="AA864" t="s">
        <v>1485</v>
      </c>
      <c r="AB864" t="s">
        <v>288</v>
      </c>
      <c r="AC864" t="s">
        <v>1674</v>
      </c>
      <c r="AD864" t="s">
        <v>234</v>
      </c>
      <c r="AE864" t="s">
        <v>163</v>
      </c>
      <c r="AF864" t="s">
        <v>235</v>
      </c>
      <c r="AG864">
        <v>392410.4</v>
      </c>
      <c r="AH864">
        <v>70</v>
      </c>
      <c r="AL864" t="s">
        <v>205</v>
      </c>
      <c r="CC864" t="s">
        <v>334</v>
      </c>
      <c r="CX864" t="s">
        <v>186</v>
      </c>
    </row>
    <row r="865" spans="1:115" x14ac:dyDescent="0.25">
      <c r="A865" t="s">
        <v>3864</v>
      </c>
      <c r="B865" t="e">
        <f>_xlfn.XLOOKUP(C865,'[1]Image URL'!$E:$E,'[1]Image URL'!$A:$A)</f>
        <v>#N/A</v>
      </c>
      <c r="C865" t="s">
        <v>4346</v>
      </c>
      <c r="D865" t="s">
        <v>3536</v>
      </c>
      <c r="E865" t="s">
        <v>3517</v>
      </c>
      <c r="F865" t="s">
        <v>374</v>
      </c>
      <c r="G865" t="s">
        <v>374</v>
      </c>
      <c r="H865" t="s">
        <v>3518</v>
      </c>
      <c r="J865" t="s">
        <v>195</v>
      </c>
      <c r="U865" t="s">
        <v>1459</v>
      </c>
      <c r="V865" t="s">
        <v>1385</v>
      </c>
      <c r="W865">
        <v>77838676202</v>
      </c>
      <c r="X865">
        <v>10077838176204</v>
      </c>
      <c r="Y865" t="s">
        <v>452</v>
      </c>
      <c r="Z865" t="s">
        <v>1631</v>
      </c>
      <c r="AA865" t="s">
        <v>1932</v>
      </c>
      <c r="AB865" t="s">
        <v>1367</v>
      </c>
      <c r="AC865" t="s">
        <v>530</v>
      </c>
      <c r="AD865" t="s">
        <v>3346</v>
      </c>
      <c r="AE865" t="s">
        <v>1113</v>
      </c>
      <c r="AF865" t="s">
        <v>268</v>
      </c>
      <c r="AG865">
        <v>392410.4</v>
      </c>
      <c r="AH865">
        <v>65</v>
      </c>
      <c r="AL865" t="s">
        <v>3271</v>
      </c>
      <c r="AM865" t="s">
        <v>3519</v>
      </c>
      <c r="AN865" t="s">
        <v>374</v>
      </c>
    </row>
    <row r="866" spans="1:115" x14ac:dyDescent="0.25">
      <c r="A866" t="s">
        <v>3865</v>
      </c>
      <c r="B866" t="e">
        <f>_xlfn.XLOOKUP(C866,'[1]Image URL'!$E:$E,'[1]Image URL'!$A:$A)</f>
        <v>#N/A</v>
      </c>
      <c r="C866" t="s">
        <v>4351</v>
      </c>
      <c r="D866" t="s">
        <v>3598</v>
      </c>
      <c r="E866" t="s">
        <v>3599</v>
      </c>
      <c r="F866" t="s">
        <v>846</v>
      </c>
      <c r="G866" t="s">
        <v>846</v>
      </c>
      <c r="H866" t="s">
        <v>3600</v>
      </c>
      <c r="J866" t="s">
        <v>212</v>
      </c>
      <c r="U866" t="s">
        <v>584</v>
      </c>
      <c r="V866" t="s">
        <v>1385</v>
      </c>
      <c r="W866">
        <v>77838267646</v>
      </c>
      <c r="X866">
        <v>10077838167646</v>
      </c>
      <c r="Y866" t="s">
        <v>1789</v>
      </c>
      <c r="Z866" t="s">
        <v>1266</v>
      </c>
      <c r="AA866" t="s">
        <v>222</v>
      </c>
      <c r="AB866" t="s">
        <v>2196</v>
      </c>
      <c r="AC866" t="s">
        <v>182</v>
      </c>
      <c r="AD866" t="s">
        <v>2173</v>
      </c>
      <c r="AE866" t="s">
        <v>204</v>
      </c>
      <c r="AF866" t="s">
        <v>185</v>
      </c>
      <c r="AG866">
        <v>392410.4</v>
      </c>
      <c r="AH866">
        <v>70</v>
      </c>
      <c r="AL866" t="s">
        <v>1645</v>
      </c>
      <c r="AM866" t="s">
        <v>2131</v>
      </c>
      <c r="BX866" t="s">
        <v>846</v>
      </c>
    </row>
    <row r="867" spans="1:115" x14ac:dyDescent="0.25">
      <c r="A867" t="s">
        <v>3866</v>
      </c>
      <c r="B867" t="e">
        <f>_xlfn.XLOOKUP(C867,'[1]Image URL'!$E:$E,'[1]Image URL'!$A:$A)</f>
        <v>#N/A</v>
      </c>
      <c r="C867" t="s">
        <v>4355</v>
      </c>
      <c r="D867" t="s">
        <v>3867</v>
      </c>
      <c r="E867" t="s">
        <v>3673</v>
      </c>
      <c r="F867" t="s">
        <v>170</v>
      </c>
      <c r="G867" t="s">
        <v>145</v>
      </c>
      <c r="H867" t="s">
        <v>334</v>
      </c>
      <c r="I867" t="s">
        <v>194</v>
      </c>
      <c r="J867" t="s">
        <v>212</v>
      </c>
      <c r="U867" t="s">
        <v>217</v>
      </c>
      <c r="V867" t="s">
        <v>157</v>
      </c>
      <c r="W867">
        <v>77838209493</v>
      </c>
      <c r="X867">
        <v>10077838009496</v>
      </c>
      <c r="Y867" t="s">
        <v>3653</v>
      </c>
      <c r="Z867" t="s">
        <v>1509</v>
      </c>
      <c r="AA867" t="s">
        <v>462</v>
      </c>
      <c r="AB867" t="s">
        <v>462</v>
      </c>
      <c r="AC867" t="s">
        <v>1692</v>
      </c>
      <c r="AD867" t="s">
        <v>1142</v>
      </c>
      <c r="AE867" t="s">
        <v>204</v>
      </c>
      <c r="AF867" t="s">
        <v>235</v>
      </c>
      <c r="AG867">
        <v>392410.4</v>
      </c>
      <c r="AH867">
        <v>125</v>
      </c>
      <c r="AL867" t="s">
        <v>399</v>
      </c>
      <c r="AM867" t="s">
        <v>2451</v>
      </c>
      <c r="AT867" t="s">
        <v>575</v>
      </c>
      <c r="DJ867" t="s">
        <v>145</v>
      </c>
      <c r="DK867" t="s">
        <v>664</v>
      </c>
    </row>
    <row r="868" spans="1:115" x14ac:dyDescent="0.25">
      <c r="A868" t="s">
        <v>3868</v>
      </c>
      <c r="B868" t="e">
        <f>_xlfn.XLOOKUP(C868,'[1]Image URL'!$E:$E,'[1]Image URL'!$A:$A)</f>
        <v>#N/A</v>
      </c>
      <c r="C868">
        <v>430607</v>
      </c>
      <c r="D868" t="s">
        <v>3834</v>
      </c>
      <c r="E868" t="s">
        <v>3422</v>
      </c>
      <c r="F868" t="s">
        <v>1734</v>
      </c>
      <c r="G868" t="s">
        <v>1734</v>
      </c>
      <c r="H868" t="s">
        <v>3423</v>
      </c>
      <c r="J868" t="s">
        <v>195</v>
      </c>
      <c r="U868" t="s">
        <v>1459</v>
      </c>
      <c r="V868" t="s">
        <v>1385</v>
      </c>
      <c r="W868">
        <v>77838028896</v>
      </c>
      <c r="X868">
        <v>10077838028893</v>
      </c>
      <c r="Y868" t="s">
        <v>1125</v>
      </c>
      <c r="Z868" t="s">
        <v>2963</v>
      </c>
      <c r="AA868" t="s">
        <v>742</v>
      </c>
      <c r="AB868" t="s">
        <v>192</v>
      </c>
      <c r="AC868" t="s">
        <v>463</v>
      </c>
      <c r="AD868" t="s">
        <v>997</v>
      </c>
      <c r="AE868" t="s">
        <v>268</v>
      </c>
      <c r="AF868" t="s">
        <v>268</v>
      </c>
      <c r="AG868">
        <v>392410.4</v>
      </c>
      <c r="AH868">
        <v>65</v>
      </c>
      <c r="AM868" t="s">
        <v>2131</v>
      </c>
      <c r="BX868" t="s">
        <v>1734</v>
      </c>
    </row>
    <row r="869" spans="1:115" x14ac:dyDescent="0.25">
      <c r="A869" t="s">
        <v>3869</v>
      </c>
      <c r="B869" t="e">
        <f>_xlfn.XLOOKUP(C869,'[1]Image URL'!$E:$E,'[1]Image URL'!$A:$A)</f>
        <v>#N/A</v>
      </c>
      <c r="C869" t="s">
        <v>4362</v>
      </c>
      <c r="D869" t="s">
        <v>3692</v>
      </c>
      <c r="E869" t="s">
        <v>3599</v>
      </c>
      <c r="F869" t="s">
        <v>846</v>
      </c>
      <c r="G869" t="s">
        <v>846</v>
      </c>
      <c r="H869" t="s">
        <v>3600</v>
      </c>
      <c r="J869" t="s">
        <v>212</v>
      </c>
      <c r="U869" t="s">
        <v>584</v>
      </c>
      <c r="V869" t="s">
        <v>1385</v>
      </c>
      <c r="W869">
        <v>77838267615</v>
      </c>
      <c r="X869">
        <v>10077838167615</v>
      </c>
      <c r="Y869" t="s">
        <v>659</v>
      </c>
      <c r="Z869" t="s">
        <v>1141</v>
      </c>
      <c r="AA869" t="s">
        <v>2257</v>
      </c>
      <c r="AB869" t="s">
        <v>1602</v>
      </c>
      <c r="AC869" t="s">
        <v>288</v>
      </c>
      <c r="AD869" t="s">
        <v>867</v>
      </c>
      <c r="AE869" t="s">
        <v>314</v>
      </c>
      <c r="AF869" t="s">
        <v>185</v>
      </c>
      <c r="AG869">
        <v>392410.4</v>
      </c>
      <c r="AH869">
        <v>70</v>
      </c>
      <c r="AL869" t="s">
        <v>3271</v>
      </c>
      <c r="AM869" t="s">
        <v>1269</v>
      </c>
      <c r="BX869" t="s">
        <v>846</v>
      </c>
    </row>
    <row r="870" spans="1:115" x14ac:dyDescent="0.25">
      <c r="A870" t="s">
        <v>3870</v>
      </c>
      <c r="B870" t="e">
        <f>_xlfn.XLOOKUP(C870,'[1]Image URL'!$E:$E,'[1]Image URL'!$A:$A)</f>
        <v>#N/A</v>
      </c>
      <c r="C870" t="s">
        <v>4366</v>
      </c>
      <c r="D870" t="s">
        <v>3791</v>
      </c>
      <c r="E870" t="s">
        <v>3468</v>
      </c>
      <c r="F870" t="s">
        <v>394</v>
      </c>
      <c r="G870" t="s">
        <v>374</v>
      </c>
      <c r="H870" t="s">
        <v>193</v>
      </c>
      <c r="J870" t="s">
        <v>195</v>
      </c>
      <c r="U870" t="s">
        <v>1459</v>
      </c>
      <c r="V870" t="s">
        <v>1385</v>
      </c>
      <c r="W870">
        <v>77838200483</v>
      </c>
      <c r="X870">
        <v>10077838200480</v>
      </c>
      <c r="Y870" t="s">
        <v>240</v>
      </c>
      <c r="Z870" t="s">
        <v>746</v>
      </c>
      <c r="AA870" t="s">
        <v>145</v>
      </c>
      <c r="AB870" t="s">
        <v>3469</v>
      </c>
      <c r="AC870" t="s">
        <v>145</v>
      </c>
      <c r="AD870" t="s">
        <v>183</v>
      </c>
      <c r="AE870" t="s">
        <v>184</v>
      </c>
      <c r="AF870" t="s">
        <v>185</v>
      </c>
      <c r="AG870">
        <v>392410.4</v>
      </c>
      <c r="AH870">
        <v>65</v>
      </c>
      <c r="AM870" t="s">
        <v>1202</v>
      </c>
      <c r="BZ870" t="s">
        <v>1575</v>
      </c>
      <c r="CA870" t="s">
        <v>374</v>
      </c>
      <c r="DF870" t="s">
        <v>847</v>
      </c>
    </row>
    <row r="871" spans="1:115" x14ac:dyDescent="0.25">
      <c r="A871" t="s">
        <v>3871</v>
      </c>
      <c r="B871" t="e">
        <f>_xlfn.XLOOKUP(C871,'[1]Image URL'!$E:$E,'[1]Image URL'!$A:$A)</f>
        <v>#N/A</v>
      </c>
      <c r="C871" t="s">
        <v>4372</v>
      </c>
      <c r="D871" t="s">
        <v>3472</v>
      </c>
      <c r="E871" t="s">
        <v>3473</v>
      </c>
      <c r="F871" t="s">
        <v>3011</v>
      </c>
      <c r="G871" t="s">
        <v>1864</v>
      </c>
      <c r="H871" t="s">
        <v>3474</v>
      </c>
      <c r="J871" t="s">
        <v>195</v>
      </c>
      <c r="U871" t="s">
        <v>1459</v>
      </c>
      <c r="V871" t="s">
        <v>1385</v>
      </c>
      <c r="W871">
        <v>77838807798</v>
      </c>
      <c r="X871">
        <v>10077838807795</v>
      </c>
      <c r="Y871" t="s">
        <v>3445</v>
      </c>
      <c r="Z871" t="s">
        <v>1348</v>
      </c>
      <c r="AA871" t="s">
        <v>995</v>
      </c>
      <c r="AB871" t="s">
        <v>160</v>
      </c>
      <c r="AC871" t="s">
        <v>707</v>
      </c>
      <c r="AD871" t="s">
        <v>3475</v>
      </c>
      <c r="AE871" t="s">
        <v>1113</v>
      </c>
      <c r="AF871" t="s">
        <v>246</v>
      </c>
      <c r="AG871">
        <v>392410.4</v>
      </c>
      <c r="AH871">
        <v>60</v>
      </c>
      <c r="AL871" t="s">
        <v>1645</v>
      </c>
      <c r="AM871" t="s">
        <v>1202</v>
      </c>
    </row>
    <row r="872" spans="1:115" x14ac:dyDescent="0.25">
      <c r="A872" t="s">
        <v>3872</v>
      </c>
      <c r="B872" t="e">
        <f>_xlfn.XLOOKUP(C872,'[1]Image URL'!$E:$E,'[1]Image URL'!$A:$A)</f>
        <v>#N/A</v>
      </c>
      <c r="C872" t="s">
        <v>4375</v>
      </c>
      <c r="D872" t="s">
        <v>3873</v>
      </c>
      <c r="E872" t="s">
        <v>3874</v>
      </c>
      <c r="F872" t="s">
        <v>3617</v>
      </c>
      <c r="G872" t="s">
        <v>3617</v>
      </c>
      <c r="H872" t="s">
        <v>345</v>
      </c>
      <c r="J872" t="s">
        <v>195</v>
      </c>
      <c r="M872" t="s">
        <v>3875</v>
      </c>
      <c r="T872" t="s">
        <v>1919</v>
      </c>
      <c r="U872" t="s">
        <v>1459</v>
      </c>
      <c r="V872" t="s">
        <v>1385</v>
      </c>
      <c r="W872">
        <v>77838813096</v>
      </c>
      <c r="X872">
        <v>10077838813093</v>
      </c>
      <c r="Y872" t="s">
        <v>387</v>
      </c>
      <c r="Z872" t="s">
        <v>2687</v>
      </c>
      <c r="AA872" t="s">
        <v>3110</v>
      </c>
      <c r="AB872" t="s">
        <v>645</v>
      </c>
      <c r="AC872" t="s">
        <v>220</v>
      </c>
      <c r="AD872" t="s">
        <v>203</v>
      </c>
      <c r="AE872" t="s">
        <v>184</v>
      </c>
      <c r="AF872" t="s">
        <v>456</v>
      </c>
      <c r="AG872">
        <v>392410.2</v>
      </c>
      <c r="AH872">
        <v>85</v>
      </c>
      <c r="AL872" t="s">
        <v>3876</v>
      </c>
    </row>
    <row r="873" spans="1:115" x14ac:dyDescent="0.25">
      <c r="A873" t="s">
        <v>3877</v>
      </c>
      <c r="B873" t="e">
        <f>_xlfn.XLOOKUP(C873,'[1]Image URL'!$E:$E,'[1]Image URL'!$A:$A)</f>
        <v>#N/A</v>
      </c>
      <c r="C873" t="s">
        <v>4379</v>
      </c>
      <c r="D873" t="s">
        <v>2554</v>
      </c>
      <c r="E873" t="s">
        <v>2555</v>
      </c>
      <c r="F873" t="s">
        <v>192</v>
      </c>
      <c r="G873" t="s">
        <v>192</v>
      </c>
      <c r="H873" t="s">
        <v>664</v>
      </c>
      <c r="I873" t="s">
        <v>194</v>
      </c>
      <c r="J873" t="s">
        <v>195</v>
      </c>
      <c r="M873" t="s">
        <v>2556</v>
      </c>
      <c r="T873" t="s">
        <v>2557</v>
      </c>
      <c r="U873" t="s">
        <v>196</v>
      </c>
      <c r="V873" t="s">
        <v>157</v>
      </c>
      <c r="W873">
        <v>77838500101</v>
      </c>
      <c r="X873">
        <v>10077838000103</v>
      </c>
      <c r="Y873" t="s">
        <v>2558</v>
      </c>
      <c r="Z873" t="s">
        <v>241</v>
      </c>
      <c r="AA873" t="s">
        <v>311</v>
      </c>
      <c r="AB873" t="s">
        <v>667</v>
      </c>
      <c r="AC873" t="s">
        <v>2559</v>
      </c>
      <c r="AD873" t="s">
        <v>2560</v>
      </c>
      <c r="AE873" t="s">
        <v>303</v>
      </c>
      <c r="AF873" t="s">
        <v>164</v>
      </c>
      <c r="AG873">
        <v>392410.2</v>
      </c>
      <c r="AH873">
        <v>92.5</v>
      </c>
      <c r="AL873" t="s">
        <v>2561</v>
      </c>
      <c r="AN873" t="s">
        <v>192</v>
      </c>
    </row>
    <row r="874" spans="1:115" x14ac:dyDescent="0.25">
      <c r="A874" t="s">
        <v>3878</v>
      </c>
      <c r="B874" t="e">
        <f>_xlfn.XLOOKUP(C874,'[1]Image URL'!$E:$E,'[1]Image URL'!$A:$A)</f>
        <v>#N/A</v>
      </c>
      <c r="C874" t="s">
        <v>4383</v>
      </c>
      <c r="D874" t="s">
        <v>3879</v>
      </c>
      <c r="E874" t="s">
        <v>3880</v>
      </c>
      <c r="F874" t="s">
        <v>2559</v>
      </c>
      <c r="G874" t="s">
        <v>2559</v>
      </c>
      <c r="H874" t="s">
        <v>2928</v>
      </c>
      <c r="I874" t="s">
        <v>147</v>
      </c>
      <c r="J874" t="s">
        <v>212</v>
      </c>
      <c r="M874" t="s">
        <v>3881</v>
      </c>
      <c r="T874" t="s">
        <v>3882</v>
      </c>
      <c r="U874" t="s">
        <v>262</v>
      </c>
      <c r="V874" t="s">
        <v>157</v>
      </c>
      <c r="W874">
        <v>77838231944</v>
      </c>
      <c r="X874">
        <v>10077838031947</v>
      </c>
      <c r="Y874" t="s">
        <v>3173</v>
      </c>
      <c r="Z874" t="s">
        <v>2963</v>
      </c>
      <c r="AA874" t="s">
        <v>549</v>
      </c>
      <c r="AB874" t="s">
        <v>2518</v>
      </c>
      <c r="AC874" t="s">
        <v>1169</v>
      </c>
      <c r="AD874" t="s">
        <v>975</v>
      </c>
      <c r="AE874" t="s">
        <v>507</v>
      </c>
      <c r="AF874" t="s">
        <v>164</v>
      </c>
      <c r="AG874">
        <v>392410.2</v>
      </c>
      <c r="AH874">
        <v>175</v>
      </c>
      <c r="AL874" t="s">
        <v>1660</v>
      </c>
      <c r="BX874" t="s">
        <v>2559</v>
      </c>
      <c r="BY874" t="s">
        <v>3883</v>
      </c>
    </row>
    <row r="875" spans="1:115" x14ac:dyDescent="0.25">
      <c r="A875" t="s">
        <v>3884</v>
      </c>
      <c r="B875" t="e">
        <f>_xlfn.XLOOKUP(C875,'[1]Image URL'!$E:$E,'[1]Image URL'!$A:$A)</f>
        <v>#N/A</v>
      </c>
      <c r="C875" t="s">
        <v>4388</v>
      </c>
      <c r="D875" t="s">
        <v>3885</v>
      </c>
      <c r="E875" t="s">
        <v>3886</v>
      </c>
      <c r="F875" t="s">
        <v>1420</v>
      </c>
      <c r="G875" t="s">
        <v>1729</v>
      </c>
      <c r="H875" t="s">
        <v>334</v>
      </c>
      <c r="J875" t="s">
        <v>195</v>
      </c>
      <c r="U875" t="s">
        <v>1459</v>
      </c>
      <c r="V875" t="s">
        <v>1385</v>
      </c>
      <c r="W875">
        <v>77838817483</v>
      </c>
      <c r="X875">
        <v>10077838817480</v>
      </c>
      <c r="Y875" t="s">
        <v>3887</v>
      </c>
      <c r="Z875" t="s">
        <v>1294</v>
      </c>
      <c r="AA875" t="s">
        <v>454</v>
      </c>
      <c r="AB875" t="s">
        <v>532</v>
      </c>
      <c r="AC875" t="s">
        <v>1273</v>
      </c>
      <c r="AD875" t="s">
        <v>1142</v>
      </c>
      <c r="AE875" t="s">
        <v>184</v>
      </c>
      <c r="AF875" t="s">
        <v>349</v>
      </c>
      <c r="AG875">
        <v>392410.2</v>
      </c>
      <c r="AH875">
        <v>85</v>
      </c>
      <c r="AL875" t="s">
        <v>1352</v>
      </c>
    </row>
    <row r="876" spans="1:115" x14ac:dyDescent="0.25">
      <c r="A876" t="s">
        <v>3888</v>
      </c>
      <c r="B876" t="e">
        <f>_xlfn.XLOOKUP(C876,'[1]Image URL'!$E:$E,'[1]Image URL'!$A:$A)</f>
        <v>#N/A</v>
      </c>
      <c r="C876" t="s">
        <v>4391</v>
      </c>
      <c r="D876" t="s">
        <v>3889</v>
      </c>
      <c r="E876" t="s">
        <v>3890</v>
      </c>
      <c r="F876" t="s">
        <v>3891</v>
      </c>
      <c r="G876" t="s">
        <v>3891</v>
      </c>
      <c r="H876" t="s">
        <v>3892</v>
      </c>
      <c r="I876" t="s">
        <v>194</v>
      </c>
      <c r="J876" t="s">
        <v>195</v>
      </c>
      <c r="M876" t="s">
        <v>3893</v>
      </c>
      <c r="T876" t="s">
        <v>3894</v>
      </c>
      <c r="U876" t="s">
        <v>196</v>
      </c>
      <c r="V876" t="s">
        <v>157</v>
      </c>
      <c r="W876">
        <v>77838512920</v>
      </c>
      <c r="X876">
        <v>10077838012922</v>
      </c>
      <c r="Y876" t="s">
        <v>1125</v>
      </c>
      <c r="Z876" t="s">
        <v>3895</v>
      </c>
      <c r="AA876" t="s">
        <v>1231</v>
      </c>
      <c r="AB876" t="s">
        <v>1231</v>
      </c>
      <c r="AC876" t="s">
        <v>1349</v>
      </c>
      <c r="AD876" t="s">
        <v>204</v>
      </c>
      <c r="AE876" t="s">
        <v>302</v>
      </c>
      <c r="AF876" t="s">
        <v>164</v>
      </c>
      <c r="AG876">
        <v>392410.2</v>
      </c>
      <c r="AH876">
        <v>175</v>
      </c>
      <c r="AL876" t="s">
        <v>3896</v>
      </c>
      <c r="AN876" t="s">
        <v>3891</v>
      </c>
    </row>
    <row r="877" spans="1:115" x14ac:dyDescent="0.25">
      <c r="A877" t="s">
        <v>3897</v>
      </c>
      <c r="B877" t="e">
        <f>_xlfn.XLOOKUP(C877,'[1]Image URL'!$E:$E,'[1]Image URL'!$A:$A)</f>
        <v>#N/A</v>
      </c>
      <c r="C877" t="s">
        <v>4394</v>
      </c>
      <c r="D877" t="s">
        <v>2448</v>
      </c>
      <c r="E877" t="s">
        <v>2449</v>
      </c>
      <c r="F877" t="s">
        <v>1451</v>
      </c>
      <c r="G877" t="s">
        <v>1451</v>
      </c>
      <c r="H877" t="s">
        <v>2450</v>
      </c>
      <c r="J877" t="s">
        <v>195</v>
      </c>
      <c r="U877" t="s">
        <v>1459</v>
      </c>
      <c r="V877" t="s">
        <v>1385</v>
      </c>
      <c r="W877">
        <v>77838243817</v>
      </c>
      <c r="X877">
        <v>10077838143817</v>
      </c>
      <c r="Y877" t="s">
        <v>2172</v>
      </c>
      <c r="Z877" t="s">
        <v>1966</v>
      </c>
      <c r="AA877" t="s">
        <v>1457</v>
      </c>
      <c r="AB877" t="s">
        <v>192</v>
      </c>
      <c r="AC877" t="s">
        <v>192</v>
      </c>
      <c r="AD877" t="s">
        <v>402</v>
      </c>
      <c r="AE877" t="s">
        <v>349</v>
      </c>
      <c r="AF877" t="s">
        <v>315</v>
      </c>
      <c r="AG877">
        <v>392410.2</v>
      </c>
      <c r="AH877">
        <v>70</v>
      </c>
      <c r="AL877" t="s">
        <v>343</v>
      </c>
      <c r="AM877" t="s">
        <v>2451</v>
      </c>
      <c r="AT877" t="s">
        <v>2450</v>
      </c>
      <c r="CZ877" t="s">
        <v>1734</v>
      </c>
      <c r="DA877" t="s">
        <v>1451</v>
      </c>
    </row>
    <row r="878" spans="1:115" x14ac:dyDescent="0.25">
      <c r="A878" t="s">
        <v>3898</v>
      </c>
      <c r="B878" t="e">
        <f>_xlfn.XLOOKUP(C878,'[1]Image URL'!$E:$E,'[1]Image URL'!$A:$A)</f>
        <v>#N/A</v>
      </c>
      <c r="C878" t="s">
        <v>4399</v>
      </c>
      <c r="D878" t="s">
        <v>3899</v>
      </c>
      <c r="E878" t="s">
        <v>3900</v>
      </c>
      <c r="F878" t="s">
        <v>3901</v>
      </c>
      <c r="G878" t="s">
        <v>3901</v>
      </c>
      <c r="H878" t="s">
        <v>3011</v>
      </c>
      <c r="I878" t="s">
        <v>194</v>
      </c>
      <c r="J878" t="s">
        <v>195</v>
      </c>
      <c r="M878" t="s">
        <v>3902</v>
      </c>
      <c r="T878" t="s">
        <v>1128</v>
      </c>
      <c r="U878" t="s">
        <v>196</v>
      </c>
      <c r="V878" t="s">
        <v>157</v>
      </c>
      <c r="W878">
        <v>77838518496</v>
      </c>
      <c r="X878">
        <v>10077838018498</v>
      </c>
      <c r="Y878" t="s">
        <v>3903</v>
      </c>
      <c r="Z878" t="s">
        <v>3018</v>
      </c>
      <c r="AA878" t="s">
        <v>180</v>
      </c>
      <c r="AB878" t="s">
        <v>542</v>
      </c>
      <c r="AC878" t="s">
        <v>865</v>
      </c>
      <c r="AD878" t="s">
        <v>455</v>
      </c>
      <c r="AE878" t="s">
        <v>315</v>
      </c>
      <c r="AF878" t="s">
        <v>456</v>
      </c>
      <c r="AG878">
        <v>392410.2</v>
      </c>
      <c r="AH878">
        <v>100</v>
      </c>
      <c r="AL878" t="s">
        <v>197</v>
      </c>
      <c r="AN878" t="s">
        <v>3901</v>
      </c>
    </row>
    <row r="879" spans="1:115" x14ac:dyDescent="0.25">
      <c r="A879" t="s">
        <v>3904</v>
      </c>
      <c r="B879" t="e">
        <f>_xlfn.XLOOKUP(C879,'[1]Image URL'!$E:$E,'[1]Image URL'!$A:$A)</f>
        <v>#N/A</v>
      </c>
      <c r="C879" t="s">
        <v>4403</v>
      </c>
      <c r="D879" t="s">
        <v>3905</v>
      </c>
      <c r="E879" t="s">
        <v>3906</v>
      </c>
      <c r="F879" t="s">
        <v>1420</v>
      </c>
      <c r="G879" t="s">
        <v>3907</v>
      </c>
      <c r="H879" t="s">
        <v>193</v>
      </c>
      <c r="J879" t="s">
        <v>195</v>
      </c>
      <c r="U879" t="s">
        <v>1459</v>
      </c>
      <c r="V879" t="s">
        <v>1385</v>
      </c>
      <c r="W879">
        <v>77838188507</v>
      </c>
      <c r="X879">
        <v>10077838188504</v>
      </c>
      <c r="Y879" t="s">
        <v>3908</v>
      </c>
      <c r="Z879" t="s">
        <v>1386</v>
      </c>
      <c r="AA879" t="s">
        <v>1274</v>
      </c>
      <c r="AB879" t="s">
        <v>328</v>
      </c>
      <c r="AC879" t="s">
        <v>846</v>
      </c>
      <c r="AD879" t="s">
        <v>1390</v>
      </c>
      <c r="AE879" t="s">
        <v>314</v>
      </c>
      <c r="AF879" t="s">
        <v>235</v>
      </c>
      <c r="AG879">
        <v>392410.2</v>
      </c>
      <c r="AH879">
        <v>60</v>
      </c>
      <c r="AL879" t="s">
        <v>3909</v>
      </c>
      <c r="AT879" t="s">
        <v>3910</v>
      </c>
    </row>
    <row r="880" spans="1:115" x14ac:dyDescent="0.25">
      <c r="A880" t="s">
        <v>3911</v>
      </c>
      <c r="B880" t="e">
        <f>_xlfn.XLOOKUP(C880,'[1]Image URL'!$E:$E,'[1]Image URL'!$A:$A)</f>
        <v>#N/A</v>
      </c>
      <c r="C880" t="s">
        <v>4408</v>
      </c>
      <c r="D880" t="s">
        <v>3912</v>
      </c>
      <c r="E880" t="s">
        <v>3913</v>
      </c>
      <c r="F880" t="s">
        <v>1102</v>
      </c>
      <c r="G880" t="s">
        <v>1102</v>
      </c>
      <c r="H880" t="s">
        <v>3914</v>
      </c>
      <c r="I880" t="s">
        <v>194</v>
      </c>
      <c r="J880" t="s">
        <v>195</v>
      </c>
      <c r="M880" t="s">
        <v>3915</v>
      </c>
      <c r="T880" t="s">
        <v>3916</v>
      </c>
      <c r="U880" t="s">
        <v>196</v>
      </c>
      <c r="V880" t="s">
        <v>157</v>
      </c>
      <c r="W880">
        <v>77838564592</v>
      </c>
      <c r="X880">
        <v>10077838064594</v>
      </c>
      <c r="Y880" t="s">
        <v>3917</v>
      </c>
      <c r="Z880" t="s">
        <v>3918</v>
      </c>
      <c r="AA880" t="s">
        <v>1257</v>
      </c>
      <c r="AB880" t="s">
        <v>3365</v>
      </c>
      <c r="AC880" t="s">
        <v>1932</v>
      </c>
      <c r="AD880" t="s">
        <v>507</v>
      </c>
      <c r="AE880" t="s">
        <v>302</v>
      </c>
      <c r="AF880" t="s">
        <v>302</v>
      </c>
      <c r="AG880">
        <v>392410.2</v>
      </c>
      <c r="AH880">
        <v>175</v>
      </c>
      <c r="AL880" t="s">
        <v>3919</v>
      </c>
      <c r="AN880" t="s">
        <v>1102</v>
      </c>
    </row>
    <row r="881" spans="1:116" x14ac:dyDescent="0.25">
      <c r="A881" t="s">
        <v>3920</v>
      </c>
      <c r="B881" t="e">
        <f>_xlfn.XLOOKUP(C881,'[1]Image URL'!$E:$E,'[1]Image URL'!$A:$A)</f>
        <v>#N/A</v>
      </c>
      <c r="C881" t="s">
        <v>4414</v>
      </c>
      <c r="D881" t="s">
        <v>2801</v>
      </c>
      <c r="E881" t="s">
        <v>2802</v>
      </c>
      <c r="F881" t="s">
        <v>1124</v>
      </c>
      <c r="G881" t="s">
        <v>1124</v>
      </c>
      <c r="H881" t="s">
        <v>413</v>
      </c>
      <c r="I881" t="s">
        <v>194</v>
      </c>
      <c r="J881" t="s">
        <v>195</v>
      </c>
      <c r="M881" t="s">
        <v>1869</v>
      </c>
      <c r="T881" t="s">
        <v>1711</v>
      </c>
      <c r="U881" t="s">
        <v>196</v>
      </c>
      <c r="V881" t="s">
        <v>157</v>
      </c>
      <c r="W881">
        <v>77838500408</v>
      </c>
      <c r="X881">
        <v>10077838000400</v>
      </c>
      <c r="Y881" t="s">
        <v>1559</v>
      </c>
      <c r="Z881" t="s">
        <v>892</v>
      </c>
      <c r="AA881" t="s">
        <v>2803</v>
      </c>
      <c r="AB881" t="s">
        <v>1169</v>
      </c>
      <c r="AC881" t="s">
        <v>1375</v>
      </c>
      <c r="AD881" t="s">
        <v>1562</v>
      </c>
      <c r="AE881" t="s">
        <v>184</v>
      </c>
      <c r="AF881" t="s">
        <v>268</v>
      </c>
      <c r="AG881">
        <v>392410.2</v>
      </c>
      <c r="AH881">
        <v>70</v>
      </c>
      <c r="AL881" t="s">
        <v>1519</v>
      </c>
      <c r="AN881" t="s">
        <v>1124</v>
      </c>
    </row>
    <row r="882" spans="1:116" x14ac:dyDescent="0.25">
      <c r="A882" t="s">
        <v>3921</v>
      </c>
      <c r="B882" t="e">
        <f>_xlfn.XLOOKUP(C882,'[1]Image URL'!$E:$E,'[1]Image URL'!$A:$A)</f>
        <v>#N/A</v>
      </c>
      <c r="C882" t="s">
        <v>4425</v>
      </c>
      <c r="D882" t="s">
        <v>2491</v>
      </c>
      <c r="E882" t="s">
        <v>2492</v>
      </c>
      <c r="F882" t="s">
        <v>2493</v>
      </c>
      <c r="G882" t="s">
        <v>332</v>
      </c>
      <c r="H882" t="s">
        <v>201</v>
      </c>
      <c r="J882" t="s">
        <v>195</v>
      </c>
      <c r="U882" t="s">
        <v>1459</v>
      </c>
      <c r="V882" t="s">
        <v>1385</v>
      </c>
      <c r="W882">
        <v>77838297094</v>
      </c>
      <c r="X882">
        <v>10077838097097</v>
      </c>
      <c r="Y882" t="s">
        <v>452</v>
      </c>
      <c r="Z882" t="s">
        <v>1737</v>
      </c>
      <c r="AA882" t="s">
        <v>1375</v>
      </c>
      <c r="AB882" t="s">
        <v>1570</v>
      </c>
      <c r="AC882" t="s">
        <v>1374</v>
      </c>
      <c r="AD882" t="s">
        <v>867</v>
      </c>
      <c r="AE882" t="s">
        <v>314</v>
      </c>
      <c r="AF882" t="s">
        <v>185</v>
      </c>
      <c r="AG882">
        <v>392410.2</v>
      </c>
      <c r="AH882">
        <v>70</v>
      </c>
      <c r="AL882" t="s">
        <v>2494</v>
      </c>
      <c r="AM882" t="s">
        <v>2235</v>
      </c>
      <c r="AT882" t="s">
        <v>201</v>
      </c>
    </row>
    <row r="883" spans="1:116" x14ac:dyDescent="0.25">
      <c r="A883" t="s">
        <v>3922</v>
      </c>
      <c r="B883" t="e">
        <f>_xlfn.XLOOKUP(C883,'[1]Image URL'!$E:$E,'[1]Image URL'!$A:$A)</f>
        <v>#N/A</v>
      </c>
      <c r="C883">
        <v>4398192</v>
      </c>
      <c r="D883" t="s">
        <v>3923</v>
      </c>
      <c r="E883" t="s">
        <v>3924</v>
      </c>
      <c r="F883" t="s">
        <v>3925</v>
      </c>
      <c r="G883" t="s">
        <v>3926</v>
      </c>
      <c r="H883" t="s">
        <v>374</v>
      </c>
      <c r="I883" t="s">
        <v>147</v>
      </c>
      <c r="J883" t="s">
        <v>212</v>
      </c>
      <c r="U883" t="s">
        <v>262</v>
      </c>
      <c r="V883" t="s">
        <v>157</v>
      </c>
      <c r="W883">
        <v>77838232996</v>
      </c>
      <c r="X883">
        <v>10077838032999</v>
      </c>
      <c r="Y883" t="s">
        <v>3047</v>
      </c>
      <c r="Z883" t="s">
        <v>2031</v>
      </c>
      <c r="AA883" t="s">
        <v>332</v>
      </c>
      <c r="AB883" t="s">
        <v>845</v>
      </c>
      <c r="AC883" t="s">
        <v>472</v>
      </c>
      <c r="AD883" t="s">
        <v>1113</v>
      </c>
      <c r="AE883" t="s">
        <v>235</v>
      </c>
      <c r="AF883" t="s">
        <v>302</v>
      </c>
      <c r="AG883">
        <v>392410.4</v>
      </c>
      <c r="AH883">
        <v>175</v>
      </c>
      <c r="AL883" t="s">
        <v>2359</v>
      </c>
      <c r="DG883" t="s">
        <v>955</v>
      </c>
    </row>
    <row r="884" spans="1:116" x14ac:dyDescent="0.25">
      <c r="A884" t="s">
        <v>3927</v>
      </c>
      <c r="B884" t="e">
        <f>_xlfn.XLOOKUP(C884,'[1]Image URL'!$E:$E,'[1]Image URL'!$A:$A)</f>
        <v>#N/A</v>
      </c>
      <c r="C884" t="s">
        <v>4435</v>
      </c>
      <c r="D884" t="s">
        <v>3929</v>
      </c>
      <c r="E884" t="s">
        <v>3930</v>
      </c>
      <c r="F884" t="s">
        <v>3931</v>
      </c>
      <c r="G884" t="s">
        <v>3931</v>
      </c>
      <c r="H884" t="s">
        <v>3932</v>
      </c>
      <c r="I884" t="s">
        <v>147</v>
      </c>
      <c r="J884" t="s">
        <v>212</v>
      </c>
      <c r="M884" t="s">
        <v>3933</v>
      </c>
      <c r="T884" t="s">
        <v>1128</v>
      </c>
      <c r="U884" t="s">
        <v>262</v>
      </c>
      <c r="V884" t="s">
        <v>157</v>
      </c>
      <c r="W884">
        <v>77838208175</v>
      </c>
      <c r="X884">
        <v>10077838008178</v>
      </c>
      <c r="Y884" t="s">
        <v>3934</v>
      </c>
      <c r="Z884" t="s">
        <v>3935</v>
      </c>
      <c r="AA884" t="s">
        <v>3936</v>
      </c>
      <c r="AB884" t="s">
        <v>506</v>
      </c>
      <c r="AC884" t="s">
        <v>181</v>
      </c>
      <c r="AD884" t="s">
        <v>163</v>
      </c>
      <c r="AE884" t="s">
        <v>235</v>
      </c>
      <c r="AF884" t="s">
        <v>164</v>
      </c>
      <c r="AG884">
        <v>392410.2</v>
      </c>
      <c r="AH884">
        <v>250</v>
      </c>
      <c r="AL884" t="s">
        <v>2281</v>
      </c>
      <c r="AN884" t="s">
        <v>3931</v>
      </c>
    </row>
    <row r="885" spans="1:116" x14ac:dyDescent="0.25">
      <c r="A885" t="s">
        <v>3937</v>
      </c>
      <c r="B885" t="e">
        <f>_xlfn.XLOOKUP(C885,'[1]Image URL'!$E:$E,'[1]Image URL'!$A:$A)</f>
        <v>#N/A</v>
      </c>
      <c r="C885" t="s">
        <v>4440</v>
      </c>
      <c r="D885" t="s">
        <v>3938</v>
      </c>
      <c r="E885" t="s">
        <v>3886</v>
      </c>
      <c r="F885" t="s">
        <v>3939</v>
      </c>
      <c r="G885" t="s">
        <v>1420</v>
      </c>
      <c r="H885" t="s">
        <v>386</v>
      </c>
      <c r="J885" t="s">
        <v>195</v>
      </c>
      <c r="U885" t="s">
        <v>1459</v>
      </c>
      <c r="V885" t="s">
        <v>1385</v>
      </c>
      <c r="W885">
        <v>77838817438</v>
      </c>
      <c r="X885">
        <v>10077838817435</v>
      </c>
      <c r="Y885" t="s">
        <v>3940</v>
      </c>
      <c r="Z885" t="s">
        <v>3941</v>
      </c>
      <c r="AA885" t="s">
        <v>1387</v>
      </c>
      <c r="AB885" t="s">
        <v>3942</v>
      </c>
      <c r="AC885" t="s">
        <v>645</v>
      </c>
      <c r="AD885" t="s">
        <v>396</v>
      </c>
      <c r="AE885" t="s">
        <v>184</v>
      </c>
      <c r="AF885" t="s">
        <v>204</v>
      </c>
      <c r="AG885">
        <v>392410.2</v>
      </c>
      <c r="AH885">
        <v>100</v>
      </c>
      <c r="AL885" t="s">
        <v>3943</v>
      </c>
    </row>
    <row r="886" spans="1:116" x14ac:dyDescent="0.25">
      <c r="A886" t="s">
        <v>3944</v>
      </c>
      <c r="B886" t="e">
        <f>_xlfn.XLOOKUP(C886,'[1]Image URL'!$E:$E,'[1]Image URL'!$A:$A)</f>
        <v>#N/A</v>
      </c>
      <c r="C886" t="s">
        <v>4443</v>
      </c>
      <c r="D886" t="s">
        <v>2778</v>
      </c>
      <c r="E886" t="s">
        <v>2779</v>
      </c>
      <c r="F886" t="s">
        <v>2780</v>
      </c>
      <c r="G886" t="s">
        <v>2780</v>
      </c>
      <c r="H886" t="s">
        <v>1795</v>
      </c>
      <c r="I886" t="s">
        <v>194</v>
      </c>
      <c r="J886" t="s">
        <v>195</v>
      </c>
      <c r="U886" t="s">
        <v>196</v>
      </c>
      <c r="V886" t="s">
        <v>157</v>
      </c>
      <c r="W886">
        <v>77838517086</v>
      </c>
      <c r="X886">
        <v>10077838017088</v>
      </c>
      <c r="Y886" t="s">
        <v>387</v>
      </c>
      <c r="Z886" t="s">
        <v>1579</v>
      </c>
      <c r="AA886" t="s">
        <v>2781</v>
      </c>
      <c r="AB886" t="s">
        <v>2782</v>
      </c>
      <c r="AC886" t="s">
        <v>868</v>
      </c>
      <c r="AD886" t="s">
        <v>402</v>
      </c>
      <c r="AE886" t="s">
        <v>349</v>
      </c>
      <c r="AF886" t="s">
        <v>315</v>
      </c>
      <c r="AG886">
        <v>392410.2</v>
      </c>
      <c r="AH886">
        <v>70</v>
      </c>
      <c r="AL886" t="s">
        <v>2783</v>
      </c>
      <c r="AN886" t="s">
        <v>2780</v>
      </c>
    </row>
    <row r="887" spans="1:116" x14ac:dyDescent="0.25">
      <c r="A887" t="s">
        <v>3945</v>
      </c>
      <c r="B887" t="e">
        <f>_xlfn.XLOOKUP(C887,'[1]Image URL'!$E:$E,'[1]Image URL'!$A:$A)</f>
        <v>#N/A</v>
      </c>
      <c r="C887" t="s">
        <v>4447</v>
      </c>
      <c r="D887" t="s">
        <v>3946</v>
      </c>
      <c r="E887" t="s">
        <v>3947</v>
      </c>
      <c r="F887" t="s">
        <v>1420</v>
      </c>
      <c r="G887" t="s">
        <v>1729</v>
      </c>
      <c r="H887" t="s">
        <v>334</v>
      </c>
      <c r="J887" t="s">
        <v>195</v>
      </c>
      <c r="U887" t="s">
        <v>1459</v>
      </c>
      <c r="V887" t="s">
        <v>1385</v>
      </c>
      <c r="W887">
        <v>77838674338</v>
      </c>
      <c r="X887">
        <v>10077838174330</v>
      </c>
      <c r="Y887" t="s">
        <v>773</v>
      </c>
      <c r="Z887" t="s">
        <v>1764</v>
      </c>
      <c r="AA887" t="s">
        <v>3617</v>
      </c>
      <c r="AB887" t="s">
        <v>169</v>
      </c>
      <c r="AC887" t="s">
        <v>214</v>
      </c>
      <c r="AD887" t="s">
        <v>183</v>
      </c>
      <c r="AE887" t="s">
        <v>184</v>
      </c>
      <c r="AF887" t="s">
        <v>185</v>
      </c>
      <c r="AG887">
        <v>392410.2</v>
      </c>
      <c r="AH887">
        <v>70</v>
      </c>
      <c r="AL887" t="s">
        <v>679</v>
      </c>
      <c r="AM887" t="s">
        <v>697</v>
      </c>
    </row>
    <row r="888" spans="1:116" x14ac:dyDescent="0.25">
      <c r="A888" t="s">
        <v>3948</v>
      </c>
      <c r="B888" t="e">
        <f>_xlfn.XLOOKUP(C888,'[1]Image URL'!$E:$E,'[1]Image URL'!$A:$A)</f>
        <v>#N/A</v>
      </c>
      <c r="C888" t="s">
        <v>4450</v>
      </c>
      <c r="D888" t="s">
        <v>2426</v>
      </c>
      <c r="E888" t="s">
        <v>2427</v>
      </c>
      <c r="F888" t="s">
        <v>2428</v>
      </c>
      <c r="G888" t="s">
        <v>2428</v>
      </c>
      <c r="H888" t="s">
        <v>2429</v>
      </c>
      <c r="I888" t="s">
        <v>194</v>
      </c>
      <c r="J888" t="s">
        <v>195</v>
      </c>
      <c r="M888" t="s">
        <v>151</v>
      </c>
      <c r="T888" t="s">
        <v>155</v>
      </c>
      <c r="U888" t="s">
        <v>196</v>
      </c>
      <c r="V888" t="s">
        <v>157</v>
      </c>
      <c r="W888">
        <v>77838501689</v>
      </c>
      <c r="X888">
        <v>10077838001681</v>
      </c>
      <c r="Y888" t="s">
        <v>2430</v>
      </c>
      <c r="Z888" t="s">
        <v>2431</v>
      </c>
      <c r="AA888" t="s">
        <v>1532</v>
      </c>
      <c r="AB888" t="s">
        <v>519</v>
      </c>
      <c r="AC888" t="s">
        <v>221</v>
      </c>
      <c r="AD888" t="s">
        <v>203</v>
      </c>
      <c r="AE888" t="s">
        <v>235</v>
      </c>
      <c r="AF888" t="s">
        <v>235</v>
      </c>
      <c r="AG888">
        <v>392410.2</v>
      </c>
      <c r="AH888">
        <v>92.5</v>
      </c>
      <c r="AL888" t="s">
        <v>2432</v>
      </c>
      <c r="AN888" t="s">
        <v>2428</v>
      </c>
    </row>
    <row r="889" spans="1:116" x14ac:dyDescent="0.25">
      <c r="A889" t="s">
        <v>3949</v>
      </c>
      <c r="B889" t="e">
        <f>_xlfn.XLOOKUP(C889,'[1]Image URL'!$E:$E,'[1]Image URL'!$A:$A)</f>
        <v>#N/A</v>
      </c>
      <c r="C889" t="s">
        <v>4453</v>
      </c>
      <c r="D889" t="s">
        <v>3951</v>
      </c>
      <c r="E889" t="s">
        <v>3952</v>
      </c>
      <c r="F889" t="s">
        <v>311</v>
      </c>
      <c r="G889" t="s">
        <v>991</v>
      </c>
      <c r="I889" t="s">
        <v>194</v>
      </c>
      <c r="J889" t="s">
        <v>195</v>
      </c>
      <c r="U889" t="s">
        <v>196</v>
      </c>
      <c r="V889" t="s">
        <v>157</v>
      </c>
      <c r="W889">
        <v>77838133088</v>
      </c>
      <c r="X889">
        <v>10077838133085</v>
      </c>
      <c r="Y889" t="s">
        <v>3953</v>
      </c>
      <c r="Z889" t="s">
        <v>3954</v>
      </c>
      <c r="AA889" t="s">
        <v>3936</v>
      </c>
      <c r="AB889" t="s">
        <v>3110</v>
      </c>
      <c r="AC889" t="s">
        <v>475</v>
      </c>
      <c r="AD889" t="s">
        <v>1113</v>
      </c>
      <c r="AE889" t="s">
        <v>235</v>
      </c>
      <c r="AF889" t="s">
        <v>302</v>
      </c>
      <c r="AG889">
        <v>392350</v>
      </c>
      <c r="AH889">
        <v>250</v>
      </c>
      <c r="AL889" t="s">
        <v>3955</v>
      </c>
      <c r="DL889" t="s">
        <v>394</v>
      </c>
    </row>
    <row r="890" spans="1:116" x14ac:dyDescent="0.25">
      <c r="A890" t="s">
        <v>3956</v>
      </c>
      <c r="B890" t="e">
        <f>_xlfn.XLOOKUP(C890,'[1]Image URL'!$E:$E,'[1]Image URL'!$A:$A)</f>
        <v>#N/A</v>
      </c>
      <c r="C890">
        <v>4398805</v>
      </c>
      <c r="D890" t="s">
        <v>2716</v>
      </c>
      <c r="E890" t="s">
        <v>2492</v>
      </c>
      <c r="F890" t="s">
        <v>2493</v>
      </c>
      <c r="G890" t="s">
        <v>332</v>
      </c>
      <c r="H890" t="s">
        <v>201</v>
      </c>
      <c r="J890" t="s">
        <v>195</v>
      </c>
      <c r="U890" t="s">
        <v>1459</v>
      </c>
      <c r="V890" t="s">
        <v>1385</v>
      </c>
      <c r="W890">
        <v>77838297070</v>
      </c>
      <c r="X890">
        <v>10077838097073</v>
      </c>
      <c r="Y890" t="s">
        <v>452</v>
      </c>
      <c r="Z890" t="s">
        <v>1737</v>
      </c>
      <c r="AA890" t="s">
        <v>1375</v>
      </c>
      <c r="AB890" t="s">
        <v>1570</v>
      </c>
      <c r="AC890" t="s">
        <v>1374</v>
      </c>
      <c r="AD890" t="s">
        <v>867</v>
      </c>
      <c r="AE890" t="s">
        <v>314</v>
      </c>
      <c r="AF890" t="s">
        <v>185</v>
      </c>
      <c r="AG890">
        <v>392410.2</v>
      </c>
      <c r="AH890">
        <v>70</v>
      </c>
      <c r="AL890" t="s">
        <v>2494</v>
      </c>
      <c r="AM890" t="s">
        <v>2235</v>
      </c>
      <c r="AT890" t="s">
        <v>201</v>
      </c>
    </row>
    <row r="891" spans="1:116" x14ac:dyDescent="0.25">
      <c r="A891" t="s">
        <v>3957</v>
      </c>
      <c r="B891" t="e">
        <f>_xlfn.XLOOKUP(C891,'[1]Image URL'!$E:$E,'[1]Image URL'!$A:$A)</f>
        <v>#N/A</v>
      </c>
      <c r="C891" t="s">
        <v>4462</v>
      </c>
      <c r="D891" t="s">
        <v>3958</v>
      </c>
      <c r="E891" t="s">
        <v>3886</v>
      </c>
      <c r="F891" t="s">
        <v>1420</v>
      </c>
      <c r="G891" t="s">
        <v>3959</v>
      </c>
      <c r="H891" t="s">
        <v>193</v>
      </c>
      <c r="J891" t="s">
        <v>195</v>
      </c>
      <c r="U891" t="s">
        <v>1459</v>
      </c>
      <c r="V891" t="s">
        <v>1385</v>
      </c>
      <c r="W891">
        <v>77838817506</v>
      </c>
      <c r="X891">
        <v>10077838817503</v>
      </c>
      <c r="Y891" t="s">
        <v>3960</v>
      </c>
      <c r="Z891" t="s">
        <v>327</v>
      </c>
      <c r="AA891" t="s">
        <v>3961</v>
      </c>
      <c r="AB891" t="s">
        <v>3962</v>
      </c>
      <c r="AC891" t="s">
        <v>1918</v>
      </c>
      <c r="AD891" t="s">
        <v>396</v>
      </c>
      <c r="AE891" t="s">
        <v>184</v>
      </c>
      <c r="AF891" t="s">
        <v>204</v>
      </c>
      <c r="AG891">
        <v>392410.2</v>
      </c>
      <c r="AH891">
        <v>65</v>
      </c>
      <c r="AL891" t="s">
        <v>1511</v>
      </c>
    </row>
    <row r="892" spans="1:116" x14ac:dyDescent="0.25">
      <c r="A892" t="s">
        <v>3963</v>
      </c>
      <c r="B892" t="e">
        <f>_xlfn.XLOOKUP(C892,'[1]Image URL'!$E:$E,'[1]Image URL'!$A:$A)</f>
        <v>#N/A</v>
      </c>
      <c r="C892" t="s">
        <v>4472</v>
      </c>
      <c r="D892" t="s">
        <v>3964</v>
      </c>
      <c r="E892" t="s">
        <v>3886</v>
      </c>
      <c r="F892" t="s">
        <v>3939</v>
      </c>
      <c r="G892" t="s">
        <v>3469</v>
      </c>
      <c r="H892" t="s">
        <v>193</v>
      </c>
      <c r="J892" t="s">
        <v>195</v>
      </c>
      <c r="U892" t="s">
        <v>1459</v>
      </c>
      <c r="V892" t="s">
        <v>1385</v>
      </c>
      <c r="W892">
        <v>77838817445</v>
      </c>
      <c r="X892">
        <v>10077838817442</v>
      </c>
      <c r="Y892" t="s">
        <v>3078</v>
      </c>
      <c r="Z892" t="s">
        <v>2963</v>
      </c>
      <c r="AA892" t="s">
        <v>1010</v>
      </c>
      <c r="AB892" t="s">
        <v>599</v>
      </c>
      <c r="AC892" t="s">
        <v>400</v>
      </c>
      <c r="AD892" t="s">
        <v>396</v>
      </c>
      <c r="AE892" t="s">
        <v>184</v>
      </c>
      <c r="AF892" t="s">
        <v>204</v>
      </c>
      <c r="AG892">
        <v>392410.2</v>
      </c>
      <c r="AH892">
        <v>65</v>
      </c>
      <c r="AL892" t="s">
        <v>3965</v>
      </c>
    </row>
    <row r="893" spans="1:116" x14ac:dyDescent="0.25">
      <c r="A893" t="s">
        <v>3966</v>
      </c>
      <c r="B893" t="e">
        <f>_xlfn.XLOOKUP(C893,'[1]Image URL'!$E:$E,'[1]Image URL'!$A:$A)</f>
        <v>#N/A</v>
      </c>
      <c r="C893" t="s">
        <v>4479</v>
      </c>
      <c r="D893" t="s">
        <v>1760</v>
      </c>
      <c r="E893" t="s">
        <v>1761</v>
      </c>
      <c r="F893" t="s">
        <v>192</v>
      </c>
      <c r="G893" t="s">
        <v>192</v>
      </c>
      <c r="H893" t="s">
        <v>1762</v>
      </c>
      <c r="J893" t="s">
        <v>195</v>
      </c>
      <c r="U893" t="s">
        <v>1459</v>
      </c>
      <c r="V893" t="s">
        <v>1385</v>
      </c>
      <c r="W893">
        <v>77838112199</v>
      </c>
      <c r="X893">
        <v>10077838112196</v>
      </c>
      <c r="Y893" t="s">
        <v>1763</v>
      </c>
      <c r="Z893" t="s">
        <v>1764</v>
      </c>
      <c r="AA893" t="s">
        <v>1178</v>
      </c>
      <c r="AB893" t="s">
        <v>775</v>
      </c>
      <c r="AC893" t="s">
        <v>1374</v>
      </c>
      <c r="AD893" t="s">
        <v>1765</v>
      </c>
      <c r="AE893" t="s">
        <v>204</v>
      </c>
      <c r="AF893" t="s">
        <v>164</v>
      </c>
      <c r="AG893">
        <v>392410.2</v>
      </c>
      <c r="AH893">
        <v>70</v>
      </c>
      <c r="AL893" t="s">
        <v>1766</v>
      </c>
      <c r="AM893" t="s">
        <v>1767</v>
      </c>
      <c r="AN893" t="s">
        <v>192</v>
      </c>
      <c r="AT893" t="s">
        <v>1762</v>
      </c>
    </row>
    <row r="894" spans="1:116" x14ac:dyDescent="0.25">
      <c r="A894" t="s">
        <v>3967</v>
      </c>
      <c r="B894" t="e">
        <f>_xlfn.XLOOKUP(C894,'[1]Image URL'!$E:$E,'[1]Image URL'!$A:$A)</f>
        <v>#N/A</v>
      </c>
      <c r="C894" t="s">
        <v>4485</v>
      </c>
      <c r="D894" t="s">
        <v>1862</v>
      </c>
      <c r="E894" t="s">
        <v>1863</v>
      </c>
      <c r="F894" t="s">
        <v>772</v>
      </c>
      <c r="G894" t="s">
        <v>772</v>
      </c>
      <c r="H894" t="s">
        <v>1864</v>
      </c>
      <c r="J894" t="s">
        <v>195</v>
      </c>
      <c r="U894" t="s">
        <v>1459</v>
      </c>
      <c r="V894" t="s">
        <v>1385</v>
      </c>
      <c r="W894">
        <v>77838243800</v>
      </c>
      <c r="X894">
        <v>10077838143800</v>
      </c>
      <c r="Y894" t="s">
        <v>1865</v>
      </c>
      <c r="Z894" t="s">
        <v>1866</v>
      </c>
      <c r="AA894" t="s">
        <v>161</v>
      </c>
      <c r="AB894" t="s">
        <v>1867</v>
      </c>
      <c r="AC894" t="s">
        <v>466</v>
      </c>
      <c r="AD894" t="s">
        <v>162</v>
      </c>
      <c r="AE894" t="s">
        <v>303</v>
      </c>
      <c r="AF894" t="s">
        <v>349</v>
      </c>
      <c r="AG894">
        <v>392410.2</v>
      </c>
      <c r="AH894">
        <v>85</v>
      </c>
      <c r="AL894" t="s">
        <v>1868</v>
      </c>
      <c r="AM894" t="s">
        <v>1869</v>
      </c>
      <c r="AT894" t="s">
        <v>1864</v>
      </c>
      <c r="CZ894" t="s">
        <v>664</v>
      </c>
      <c r="DA894" t="s">
        <v>772</v>
      </c>
    </row>
    <row r="895" spans="1:116" x14ac:dyDescent="0.25">
      <c r="A895" t="s">
        <v>3968</v>
      </c>
      <c r="B895" t="e">
        <f>_xlfn.XLOOKUP(C895,'[1]Image URL'!$E:$E,'[1]Image URL'!$A:$A)</f>
        <v>#N/A</v>
      </c>
      <c r="C895">
        <v>61425</v>
      </c>
      <c r="D895" t="s">
        <v>3969</v>
      </c>
      <c r="E895" t="s">
        <v>3970</v>
      </c>
      <c r="F895" t="s">
        <v>3617</v>
      </c>
      <c r="G895" t="s">
        <v>1482</v>
      </c>
      <c r="H895" t="s">
        <v>3971</v>
      </c>
      <c r="J895" t="s">
        <v>212</v>
      </c>
      <c r="M895" t="s">
        <v>3972</v>
      </c>
      <c r="T895" t="s">
        <v>3973</v>
      </c>
      <c r="U895" t="s">
        <v>584</v>
      </c>
      <c r="V895" t="s">
        <v>157</v>
      </c>
      <c r="W895">
        <v>77838028827</v>
      </c>
      <c r="X895">
        <v>10077838028824</v>
      </c>
      <c r="Y895" t="s">
        <v>3974</v>
      </c>
      <c r="Z895" t="s">
        <v>2998</v>
      </c>
      <c r="AA895" t="s">
        <v>755</v>
      </c>
      <c r="AB895" t="s">
        <v>775</v>
      </c>
      <c r="AC895" t="s">
        <v>1371</v>
      </c>
      <c r="AD895" t="s">
        <v>301</v>
      </c>
      <c r="AE895" t="s">
        <v>184</v>
      </c>
      <c r="AF895" t="s">
        <v>164</v>
      </c>
      <c r="AG895">
        <v>392410.2</v>
      </c>
      <c r="AH895">
        <v>125</v>
      </c>
    </row>
    <row r="896" spans="1:116" x14ac:dyDescent="0.25">
      <c r="A896" t="s">
        <v>3975</v>
      </c>
      <c r="B896" t="e">
        <f>_xlfn.XLOOKUP(C896,'[1]Image URL'!$E:$E,'[1]Image URL'!$A:$A)</f>
        <v>#N/A</v>
      </c>
      <c r="C896" t="s">
        <v>4492</v>
      </c>
      <c r="D896" t="s">
        <v>2520</v>
      </c>
      <c r="E896" t="s">
        <v>2521</v>
      </c>
      <c r="F896" t="s">
        <v>2522</v>
      </c>
      <c r="G896" t="s">
        <v>645</v>
      </c>
      <c r="H896" t="s">
        <v>1842</v>
      </c>
      <c r="J896" t="s">
        <v>195</v>
      </c>
      <c r="U896" t="s">
        <v>1459</v>
      </c>
      <c r="V896" t="s">
        <v>1385</v>
      </c>
      <c r="W896">
        <v>77838297858</v>
      </c>
      <c r="X896">
        <v>10077838097851</v>
      </c>
      <c r="Y896" t="s">
        <v>905</v>
      </c>
      <c r="Z896" t="s">
        <v>1551</v>
      </c>
      <c r="AA896" t="s">
        <v>2523</v>
      </c>
      <c r="AB896" t="s">
        <v>2524</v>
      </c>
      <c r="AC896" t="s">
        <v>345</v>
      </c>
      <c r="AD896" t="s">
        <v>2525</v>
      </c>
      <c r="AE896" t="s">
        <v>302</v>
      </c>
      <c r="AF896" t="s">
        <v>403</v>
      </c>
      <c r="AG896">
        <v>392410.2</v>
      </c>
      <c r="AH896">
        <v>85</v>
      </c>
      <c r="AL896" t="s">
        <v>2526</v>
      </c>
      <c r="AT896" t="s">
        <v>1842</v>
      </c>
    </row>
    <row r="897" spans="1:117" x14ac:dyDescent="0.25">
      <c r="A897" t="s">
        <v>3976</v>
      </c>
      <c r="B897" t="e">
        <f>_xlfn.XLOOKUP(C897,'[1]Image URL'!$E:$E,'[1]Image URL'!$A:$A)</f>
        <v>#N/A</v>
      </c>
      <c r="C897" t="s">
        <v>4498</v>
      </c>
      <c r="D897" t="s">
        <v>3977</v>
      </c>
      <c r="E897" t="s">
        <v>3978</v>
      </c>
      <c r="F897" t="s">
        <v>3979</v>
      </c>
      <c r="G897" t="s">
        <v>3107</v>
      </c>
      <c r="H897" t="s">
        <v>386</v>
      </c>
      <c r="J897" t="s">
        <v>195</v>
      </c>
      <c r="U897" t="s">
        <v>1459</v>
      </c>
      <c r="V897" t="s">
        <v>1385</v>
      </c>
      <c r="W897">
        <v>77838188088</v>
      </c>
      <c r="X897">
        <v>10077838188085</v>
      </c>
      <c r="Y897" t="s">
        <v>1559</v>
      </c>
      <c r="Z897" t="s">
        <v>3199</v>
      </c>
      <c r="AA897" t="s">
        <v>421</v>
      </c>
      <c r="AB897" t="s">
        <v>421</v>
      </c>
      <c r="AC897" t="s">
        <v>192</v>
      </c>
      <c r="AD897" t="s">
        <v>301</v>
      </c>
      <c r="AE897" t="s">
        <v>349</v>
      </c>
      <c r="AF897" t="s">
        <v>235</v>
      </c>
      <c r="AG897">
        <v>392410.4</v>
      </c>
      <c r="AH897">
        <v>92.5</v>
      </c>
      <c r="AL897" t="s">
        <v>1563</v>
      </c>
      <c r="DB897" t="s">
        <v>3979</v>
      </c>
      <c r="DM897" t="s">
        <v>3107</v>
      </c>
    </row>
    <row r="898" spans="1:117" x14ac:dyDescent="0.25">
      <c r="A898" t="s">
        <v>3980</v>
      </c>
      <c r="B898" t="e">
        <f>_xlfn.XLOOKUP(C898,'[1]Image URL'!$E:$E,'[1]Image URL'!$A:$A)</f>
        <v>#N/A</v>
      </c>
      <c r="C898" t="s">
        <v>4503</v>
      </c>
      <c r="D898" t="s">
        <v>3982</v>
      </c>
      <c r="E898" t="s">
        <v>3930</v>
      </c>
      <c r="F898" t="s">
        <v>3983</v>
      </c>
      <c r="G898" t="s">
        <v>3983</v>
      </c>
      <c r="H898" t="s">
        <v>182</v>
      </c>
      <c r="I898" t="s">
        <v>147</v>
      </c>
      <c r="J898" t="s">
        <v>212</v>
      </c>
      <c r="U898" t="s">
        <v>262</v>
      </c>
      <c r="V898" t="s">
        <v>157</v>
      </c>
      <c r="W898">
        <v>77838508190</v>
      </c>
      <c r="X898">
        <v>10077838008192</v>
      </c>
      <c r="Y898" t="s">
        <v>1559</v>
      </c>
      <c r="Z898" t="s">
        <v>3984</v>
      </c>
      <c r="AA898" t="s">
        <v>2506</v>
      </c>
      <c r="AB898" t="s">
        <v>2412</v>
      </c>
      <c r="AC898" t="s">
        <v>312</v>
      </c>
      <c r="AD898" t="s">
        <v>507</v>
      </c>
      <c r="AE898" t="s">
        <v>302</v>
      </c>
      <c r="AF898" t="s">
        <v>302</v>
      </c>
      <c r="AG898">
        <v>392410.2</v>
      </c>
      <c r="AH898">
        <v>175</v>
      </c>
      <c r="AL898" t="s">
        <v>1170</v>
      </c>
      <c r="AM898" t="s">
        <v>544</v>
      </c>
      <c r="AN898" t="s">
        <v>3983</v>
      </c>
    </row>
    <row r="899" spans="1:117" x14ac:dyDescent="0.25">
      <c r="A899" t="s">
        <v>3985</v>
      </c>
      <c r="B899" t="e">
        <f>_xlfn.XLOOKUP(C899,'[1]Image URL'!$E:$E,'[1]Image URL'!$A:$A)</f>
        <v>#N/A</v>
      </c>
      <c r="C899" t="s">
        <v>4507</v>
      </c>
      <c r="D899" t="s">
        <v>3987</v>
      </c>
      <c r="E899" t="s">
        <v>3988</v>
      </c>
      <c r="F899" t="s">
        <v>3989</v>
      </c>
      <c r="G899" t="s">
        <v>3990</v>
      </c>
      <c r="I899" t="s">
        <v>194</v>
      </c>
      <c r="J899" t="s">
        <v>195</v>
      </c>
      <c r="U899" t="s">
        <v>196</v>
      </c>
      <c r="V899" t="s">
        <v>157</v>
      </c>
      <c r="W899">
        <v>77838133101</v>
      </c>
      <c r="X899">
        <v>10077838133108</v>
      </c>
      <c r="Y899" t="s">
        <v>3991</v>
      </c>
      <c r="Z899" t="s">
        <v>3992</v>
      </c>
      <c r="AA899" t="s">
        <v>3993</v>
      </c>
      <c r="AB899" t="s">
        <v>2087</v>
      </c>
      <c r="AC899" t="s">
        <v>425</v>
      </c>
      <c r="AD899" t="s">
        <v>204</v>
      </c>
      <c r="AE899" t="s">
        <v>164</v>
      </c>
      <c r="AF899" t="s">
        <v>302</v>
      </c>
      <c r="AG899">
        <v>392350</v>
      </c>
      <c r="AH899">
        <v>250</v>
      </c>
      <c r="DL899" t="s">
        <v>332</v>
      </c>
    </row>
    <row r="900" spans="1:117" x14ac:dyDescent="0.25">
      <c r="A900" t="s">
        <v>3994</v>
      </c>
      <c r="B900" t="e">
        <f>_xlfn.XLOOKUP(C900,'[1]Image URL'!$E:$E,'[1]Image URL'!$A:$A)</f>
        <v>#N/A</v>
      </c>
      <c r="C900" t="s">
        <v>4512</v>
      </c>
      <c r="D900" t="s">
        <v>3995</v>
      </c>
      <c r="E900" t="s">
        <v>3886</v>
      </c>
      <c r="F900" t="s">
        <v>3939</v>
      </c>
      <c r="G900" t="s">
        <v>3469</v>
      </c>
      <c r="H900" t="s">
        <v>334</v>
      </c>
      <c r="J900" t="s">
        <v>195</v>
      </c>
      <c r="U900" t="s">
        <v>1459</v>
      </c>
      <c r="V900" t="s">
        <v>1385</v>
      </c>
      <c r="W900">
        <v>77838817452</v>
      </c>
      <c r="X900">
        <v>10077838817459</v>
      </c>
      <c r="Y900" t="s">
        <v>3996</v>
      </c>
      <c r="Z900" t="s">
        <v>1469</v>
      </c>
      <c r="AA900" t="s">
        <v>1387</v>
      </c>
      <c r="AB900" t="s">
        <v>3997</v>
      </c>
      <c r="AC900" t="s">
        <v>776</v>
      </c>
      <c r="AD900" t="s">
        <v>396</v>
      </c>
      <c r="AE900" t="s">
        <v>184</v>
      </c>
      <c r="AF900" t="s">
        <v>204</v>
      </c>
      <c r="AG900">
        <v>392410.2</v>
      </c>
      <c r="AH900">
        <v>85</v>
      </c>
      <c r="AL900" t="s">
        <v>3998</v>
      </c>
    </row>
    <row r="901" spans="1:117" x14ac:dyDescent="0.25">
      <c r="A901" t="s">
        <v>3999</v>
      </c>
      <c r="B901" t="e">
        <f>_xlfn.XLOOKUP(C901,'[1]Image URL'!$E:$E,'[1]Image URL'!$A:$A)</f>
        <v>#N/A</v>
      </c>
      <c r="C901">
        <v>4398808</v>
      </c>
      <c r="D901" t="s">
        <v>4000</v>
      </c>
      <c r="E901" t="s">
        <v>4001</v>
      </c>
      <c r="F901" t="s">
        <v>4002</v>
      </c>
      <c r="G901" t="s">
        <v>229</v>
      </c>
      <c r="H901" t="s">
        <v>340</v>
      </c>
      <c r="I901" t="s">
        <v>194</v>
      </c>
      <c r="J901" t="s">
        <v>195</v>
      </c>
      <c r="U901" t="s">
        <v>196</v>
      </c>
      <c r="V901" t="s">
        <v>1385</v>
      </c>
      <c r="W901">
        <v>77838824672</v>
      </c>
      <c r="X901">
        <v>10077838824679</v>
      </c>
      <c r="Y901" t="s">
        <v>4003</v>
      </c>
      <c r="Z901" t="s">
        <v>4004</v>
      </c>
      <c r="AA901" t="s">
        <v>2688</v>
      </c>
      <c r="AB901" t="s">
        <v>542</v>
      </c>
      <c r="AC901" t="s">
        <v>1692</v>
      </c>
      <c r="AD901" t="s">
        <v>1113</v>
      </c>
      <c r="AE901" t="s">
        <v>235</v>
      </c>
      <c r="AF901" t="s">
        <v>302</v>
      </c>
      <c r="AG901">
        <v>392350</v>
      </c>
      <c r="AH901">
        <v>100</v>
      </c>
      <c r="AL901" t="s">
        <v>843</v>
      </c>
      <c r="AM901" t="s">
        <v>4005</v>
      </c>
      <c r="BP901" t="s">
        <v>4006</v>
      </c>
    </row>
    <row r="902" spans="1:117" x14ac:dyDescent="0.25">
      <c r="A902" t="s">
        <v>4007</v>
      </c>
      <c r="B902" t="e">
        <f>_xlfn.XLOOKUP(C902,'[1]Image URL'!$E:$E,'[1]Image URL'!$A:$A)</f>
        <v>#N/A</v>
      </c>
      <c r="C902" t="s">
        <v>4519</v>
      </c>
      <c r="D902" t="s">
        <v>4008</v>
      </c>
      <c r="E902" t="s">
        <v>4009</v>
      </c>
      <c r="F902" t="s">
        <v>752</v>
      </c>
      <c r="G902" t="s">
        <v>752</v>
      </c>
      <c r="H902" t="s">
        <v>386</v>
      </c>
      <c r="J902" t="s">
        <v>195</v>
      </c>
      <c r="M902" t="s">
        <v>4010</v>
      </c>
      <c r="T902" t="s">
        <v>4011</v>
      </c>
      <c r="U902" t="s">
        <v>1459</v>
      </c>
      <c r="V902" t="s">
        <v>1385</v>
      </c>
      <c r="W902">
        <v>77838813089</v>
      </c>
      <c r="X902">
        <v>10077838813086</v>
      </c>
      <c r="Y902" t="s">
        <v>1559</v>
      </c>
      <c r="Z902" t="s">
        <v>297</v>
      </c>
      <c r="AA902" t="s">
        <v>3617</v>
      </c>
      <c r="AB902" t="s">
        <v>2675</v>
      </c>
      <c r="AC902" t="s">
        <v>224</v>
      </c>
      <c r="AD902" t="s">
        <v>203</v>
      </c>
      <c r="AE902" t="s">
        <v>184</v>
      </c>
      <c r="AF902" t="s">
        <v>456</v>
      </c>
      <c r="AG902">
        <v>392410.2</v>
      </c>
      <c r="AH902">
        <v>92.5</v>
      </c>
      <c r="AL902" t="s">
        <v>4012</v>
      </c>
    </row>
    <row r="903" spans="1:117" x14ac:dyDescent="0.25">
      <c r="A903" t="s">
        <v>4013</v>
      </c>
      <c r="B903" t="e">
        <f>_xlfn.XLOOKUP(C903,'[1]Image URL'!$E:$E,'[1]Image URL'!$A:$A)</f>
        <v>#N/A</v>
      </c>
      <c r="C903" t="s">
        <v>4522</v>
      </c>
      <c r="D903" t="s">
        <v>4014</v>
      </c>
      <c r="E903" t="s">
        <v>4015</v>
      </c>
      <c r="F903" t="s">
        <v>457</v>
      </c>
      <c r="G903" t="s">
        <v>549</v>
      </c>
      <c r="H903" t="s">
        <v>477</v>
      </c>
      <c r="J903" t="s">
        <v>195</v>
      </c>
      <c r="U903" t="s">
        <v>1459</v>
      </c>
      <c r="V903" t="s">
        <v>1385</v>
      </c>
      <c r="W903">
        <v>77838226971</v>
      </c>
      <c r="X903">
        <v>10077838126971</v>
      </c>
      <c r="Y903" t="s">
        <v>452</v>
      </c>
      <c r="Z903" t="s">
        <v>1866</v>
      </c>
      <c r="AA903" t="s">
        <v>345</v>
      </c>
      <c r="AB903" t="s">
        <v>1702</v>
      </c>
      <c r="AC903" t="s">
        <v>4016</v>
      </c>
      <c r="AD903" t="s">
        <v>1142</v>
      </c>
      <c r="AE903" t="s">
        <v>303</v>
      </c>
      <c r="AF903" t="s">
        <v>268</v>
      </c>
      <c r="AG903">
        <v>392410.2</v>
      </c>
      <c r="AH903">
        <v>70</v>
      </c>
      <c r="AL903" t="s">
        <v>4017</v>
      </c>
      <c r="AM903" t="s">
        <v>4018</v>
      </c>
    </row>
    <row r="904" spans="1:117" x14ac:dyDescent="0.25">
      <c r="A904" t="s">
        <v>4019</v>
      </c>
      <c r="B904" t="e">
        <f>_xlfn.XLOOKUP(C904,'[1]Image URL'!$E:$E,'[1]Image URL'!$A:$A)</f>
        <v>#N/A</v>
      </c>
      <c r="C904" t="s">
        <v>4525</v>
      </c>
      <c r="D904" t="s">
        <v>2114</v>
      </c>
      <c r="E904" t="s">
        <v>2115</v>
      </c>
      <c r="F904" t="s">
        <v>379</v>
      </c>
      <c r="G904" t="s">
        <v>379</v>
      </c>
      <c r="H904" t="s">
        <v>145</v>
      </c>
      <c r="I904" t="s">
        <v>194</v>
      </c>
      <c r="J904" t="s">
        <v>195</v>
      </c>
      <c r="M904" t="s">
        <v>2116</v>
      </c>
      <c r="T904" t="s">
        <v>544</v>
      </c>
      <c r="U904" t="s">
        <v>196</v>
      </c>
      <c r="V904" t="s">
        <v>157</v>
      </c>
      <c r="W904">
        <v>77838500033</v>
      </c>
      <c r="X904">
        <v>10077838000035</v>
      </c>
      <c r="Y904" t="s">
        <v>1517</v>
      </c>
      <c r="Z904" t="s">
        <v>1048</v>
      </c>
      <c r="AA904" t="s">
        <v>1845</v>
      </c>
      <c r="AB904" t="s">
        <v>1913</v>
      </c>
      <c r="AC904" t="s">
        <v>775</v>
      </c>
      <c r="AD904" t="s">
        <v>204</v>
      </c>
      <c r="AE904" t="s">
        <v>302</v>
      </c>
      <c r="AF904" t="s">
        <v>164</v>
      </c>
      <c r="AG904">
        <v>392410.2</v>
      </c>
      <c r="AH904">
        <v>125</v>
      </c>
      <c r="AL904" t="s">
        <v>665</v>
      </c>
      <c r="AN904" t="s">
        <v>379</v>
      </c>
    </row>
    <row r="905" spans="1:117" x14ac:dyDescent="0.25">
      <c r="A905" t="s">
        <v>4020</v>
      </c>
      <c r="B905" t="e">
        <f>_xlfn.XLOOKUP(C905,'[1]Image URL'!$E:$E,'[1]Image URL'!$A:$A)</f>
        <v>#N/A</v>
      </c>
      <c r="C905" t="s">
        <v>4528</v>
      </c>
      <c r="D905" t="s">
        <v>1992</v>
      </c>
      <c r="E905" t="s">
        <v>1993</v>
      </c>
      <c r="F905" t="s">
        <v>868</v>
      </c>
      <c r="G905" t="s">
        <v>152</v>
      </c>
      <c r="H905" t="s">
        <v>1610</v>
      </c>
      <c r="J905" t="s">
        <v>195</v>
      </c>
      <c r="U905" t="s">
        <v>1459</v>
      </c>
      <c r="V905" t="s">
        <v>1385</v>
      </c>
      <c r="W905">
        <v>77838668306</v>
      </c>
      <c r="X905">
        <v>10077838168308</v>
      </c>
      <c r="Y905" t="s">
        <v>1255</v>
      </c>
      <c r="Z905" t="s">
        <v>1803</v>
      </c>
      <c r="AA905" t="s">
        <v>1674</v>
      </c>
      <c r="AB905" t="s">
        <v>1994</v>
      </c>
      <c r="AC905" t="s">
        <v>668</v>
      </c>
      <c r="AD905" t="s">
        <v>588</v>
      </c>
      <c r="AE905" t="s">
        <v>164</v>
      </c>
      <c r="AF905" t="s">
        <v>268</v>
      </c>
      <c r="AG905">
        <v>392410.2</v>
      </c>
      <c r="AH905">
        <v>60</v>
      </c>
      <c r="AM905" t="s">
        <v>1995</v>
      </c>
    </row>
    <row r="906" spans="1:117" x14ac:dyDescent="0.25">
      <c r="A906" t="s">
        <v>4021</v>
      </c>
      <c r="B906" t="e">
        <f>_xlfn.XLOOKUP(C906,'[1]Image URL'!$E:$E,'[1]Image URL'!$A:$A)</f>
        <v>#N/A</v>
      </c>
      <c r="C906">
        <v>4398850</v>
      </c>
      <c r="D906" t="s">
        <v>2756</v>
      </c>
      <c r="E906" t="s">
        <v>2757</v>
      </c>
      <c r="F906" t="s">
        <v>242</v>
      </c>
      <c r="G906" t="s">
        <v>242</v>
      </c>
      <c r="H906" t="s">
        <v>1944</v>
      </c>
      <c r="J906" t="s">
        <v>195</v>
      </c>
      <c r="U906" t="s">
        <v>1459</v>
      </c>
      <c r="V906" t="s">
        <v>1385</v>
      </c>
      <c r="W906">
        <v>77838243824</v>
      </c>
      <c r="X906">
        <v>10077838143824</v>
      </c>
      <c r="Y906" t="s">
        <v>1125</v>
      </c>
      <c r="Z906" t="s">
        <v>1690</v>
      </c>
      <c r="AA906" t="s">
        <v>549</v>
      </c>
      <c r="AB906" t="s">
        <v>578</v>
      </c>
      <c r="AC906" t="s">
        <v>2518</v>
      </c>
      <c r="AD906" t="s">
        <v>975</v>
      </c>
      <c r="AE906" t="s">
        <v>349</v>
      </c>
      <c r="AF906" t="s">
        <v>268</v>
      </c>
      <c r="AG906">
        <v>392410.2</v>
      </c>
      <c r="AH906">
        <v>70</v>
      </c>
      <c r="AL906" t="s">
        <v>2001</v>
      </c>
      <c r="AM906" t="s">
        <v>230</v>
      </c>
      <c r="AT906" t="s">
        <v>1944</v>
      </c>
      <c r="CZ906" t="s">
        <v>2758</v>
      </c>
      <c r="DA906" t="s">
        <v>242</v>
      </c>
    </row>
    <row r="907" spans="1:117" x14ac:dyDescent="0.25">
      <c r="A907" t="s">
        <v>4022</v>
      </c>
      <c r="B907" t="e">
        <f>_xlfn.XLOOKUP(C907,'[1]Image URL'!$E:$E,'[1]Image URL'!$A:$A)</f>
        <v>#N/A</v>
      </c>
      <c r="C907">
        <v>301401</v>
      </c>
      <c r="D907" t="s">
        <v>4023</v>
      </c>
      <c r="E907" t="s">
        <v>4024</v>
      </c>
      <c r="F907" t="s">
        <v>1420</v>
      </c>
      <c r="G907" t="s">
        <v>3907</v>
      </c>
      <c r="H907" t="s">
        <v>334</v>
      </c>
      <c r="J907" t="s">
        <v>195</v>
      </c>
      <c r="U907" t="s">
        <v>1459</v>
      </c>
      <c r="V907" t="s">
        <v>1385</v>
      </c>
      <c r="W907">
        <v>77838188514</v>
      </c>
      <c r="X907">
        <v>10077838188511</v>
      </c>
      <c r="Y907" t="s">
        <v>4025</v>
      </c>
      <c r="Z907" t="s">
        <v>1587</v>
      </c>
      <c r="AA907" t="s">
        <v>542</v>
      </c>
      <c r="AB907" t="s">
        <v>599</v>
      </c>
      <c r="AC907" t="s">
        <v>532</v>
      </c>
      <c r="AD907" t="s">
        <v>402</v>
      </c>
      <c r="AE907" t="s">
        <v>314</v>
      </c>
      <c r="AF907" t="s">
        <v>164</v>
      </c>
      <c r="AG907">
        <v>392410.2</v>
      </c>
      <c r="AH907">
        <v>70</v>
      </c>
      <c r="AL907" t="s">
        <v>4026</v>
      </c>
    </row>
    <row r="908" spans="1:117" x14ac:dyDescent="0.25">
      <c r="A908" t="s">
        <v>4027</v>
      </c>
      <c r="B908" t="e">
        <f>_xlfn.XLOOKUP(C908,'[1]Image URL'!$E:$E,'[1]Image URL'!$A:$A)</f>
        <v>#N/A</v>
      </c>
      <c r="C908">
        <v>4398050</v>
      </c>
      <c r="D908" t="s">
        <v>1915</v>
      </c>
      <c r="E908" t="s">
        <v>1916</v>
      </c>
      <c r="F908" t="s">
        <v>1917</v>
      </c>
      <c r="G908" t="s">
        <v>1917</v>
      </c>
      <c r="H908" t="s">
        <v>1918</v>
      </c>
      <c r="I908" t="s">
        <v>194</v>
      </c>
      <c r="J908" t="s">
        <v>195</v>
      </c>
      <c r="M908" t="s">
        <v>1919</v>
      </c>
      <c r="T908" t="s">
        <v>1920</v>
      </c>
      <c r="U908" t="s">
        <v>196</v>
      </c>
      <c r="V908" t="s">
        <v>157</v>
      </c>
      <c r="W908">
        <v>77838500019</v>
      </c>
      <c r="X908">
        <v>10077838000011</v>
      </c>
      <c r="Y908" t="s">
        <v>1718</v>
      </c>
      <c r="Z908" t="s">
        <v>1912</v>
      </c>
      <c r="AA908" t="s">
        <v>1921</v>
      </c>
      <c r="AB908" t="s">
        <v>1485</v>
      </c>
      <c r="AC908" t="s">
        <v>233</v>
      </c>
      <c r="AD908" t="s">
        <v>301</v>
      </c>
      <c r="AE908" t="s">
        <v>184</v>
      </c>
      <c r="AF908" t="s">
        <v>164</v>
      </c>
      <c r="AG908">
        <v>392410.2</v>
      </c>
      <c r="AH908">
        <v>125</v>
      </c>
      <c r="AL908" t="s">
        <v>1922</v>
      </c>
      <c r="AN908" t="s">
        <v>1917</v>
      </c>
    </row>
    <row r="909" spans="1:117" x14ac:dyDescent="0.25">
      <c r="A909" t="s">
        <v>4028</v>
      </c>
      <c r="B909" t="e">
        <f>_xlfn.XLOOKUP(C909,'[1]Image URL'!$E:$E,'[1]Image URL'!$A:$A)</f>
        <v>#N/A</v>
      </c>
      <c r="C909" t="s">
        <v>4540</v>
      </c>
      <c r="D909" t="s">
        <v>4029</v>
      </c>
      <c r="E909" t="s">
        <v>4030</v>
      </c>
      <c r="F909" t="s">
        <v>311</v>
      </c>
      <c r="G909" t="s">
        <v>311</v>
      </c>
      <c r="H909" t="s">
        <v>1982</v>
      </c>
      <c r="J909" t="s">
        <v>195</v>
      </c>
      <c r="U909" t="s">
        <v>1459</v>
      </c>
      <c r="V909" t="s">
        <v>1385</v>
      </c>
      <c r="W909">
        <v>77838231258</v>
      </c>
      <c r="X909">
        <v>10077838031251</v>
      </c>
      <c r="Y909" t="s">
        <v>2382</v>
      </c>
      <c r="Z909" t="s">
        <v>993</v>
      </c>
      <c r="AA909" t="s">
        <v>530</v>
      </c>
      <c r="AB909" t="s">
        <v>4031</v>
      </c>
      <c r="AC909" t="s">
        <v>598</v>
      </c>
      <c r="AD909" t="s">
        <v>600</v>
      </c>
      <c r="AE909" t="s">
        <v>235</v>
      </c>
      <c r="AF909" t="s">
        <v>185</v>
      </c>
      <c r="AG909">
        <v>392410.2</v>
      </c>
      <c r="AH909">
        <v>92.5</v>
      </c>
      <c r="AL909" t="s">
        <v>4032</v>
      </c>
      <c r="AN909" t="s">
        <v>311</v>
      </c>
      <c r="DG909" t="s">
        <v>955</v>
      </c>
    </row>
    <row r="910" spans="1:117" x14ac:dyDescent="0.25">
      <c r="A910" t="s">
        <v>4033</v>
      </c>
      <c r="B910" t="e">
        <f>_xlfn.XLOOKUP(C910,'[1]Image URL'!$E:$E,'[1]Image URL'!$A:$A)</f>
        <v>#N/A</v>
      </c>
      <c r="C910" t="s">
        <v>4548</v>
      </c>
      <c r="D910" t="s">
        <v>4034</v>
      </c>
      <c r="E910" t="s">
        <v>3886</v>
      </c>
      <c r="F910" t="s">
        <v>3939</v>
      </c>
      <c r="G910" t="s">
        <v>1420</v>
      </c>
      <c r="H910" t="s">
        <v>334</v>
      </c>
      <c r="J910" t="s">
        <v>195</v>
      </c>
      <c r="U910" t="s">
        <v>1459</v>
      </c>
      <c r="V910" t="s">
        <v>1385</v>
      </c>
      <c r="W910">
        <v>77838817421</v>
      </c>
      <c r="X910">
        <v>10077838817428</v>
      </c>
      <c r="Y910" t="s">
        <v>4035</v>
      </c>
      <c r="Z910" t="s">
        <v>1176</v>
      </c>
      <c r="AA910" t="s">
        <v>1387</v>
      </c>
      <c r="AB910" t="s">
        <v>3942</v>
      </c>
      <c r="AC910" t="s">
        <v>1820</v>
      </c>
      <c r="AD910" t="s">
        <v>396</v>
      </c>
      <c r="AE910" t="s">
        <v>184</v>
      </c>
      <c r="AF910" t="s">
        <v>204</v>
      </c>
      <c r="AG910">
        <v>392410.2</v>
      </c>
      <c r="AH910">
        <v>85</v>
      </c>
      <c r="AL910" t="s">
        <v>4036</v>
      </c>
    </row>
    <row r="911" spans="1:117" x14ac:dyDescent="0.25">
      <c r="A911" t="s">
        <v>4037</v>
      </c>
      <c r="B911" t="e">
        <f>_xlfn.XLOOKUP(C911,'[1]Image URL'!$E:$E,'[1]Image URL'!$A:$A)</f>
        <v>#N/A</v>
      </c>
      <c r="C911" t="s">
        <v>4552</v>
      </c>
      <c r="D911" t="s">
        <v>1332</v>
      </c>
      <c r="E911" t="s">
        <v>642</v>
      </c>
      <c r="F911" t="s">
        <v>643</v>
      </c>
      <c r="G911" t="s">
        <v>643</v>
      </c>
      <c r="H911" t="s">
        <v>288</v>
      </c>
      <c r="J911" t="s">
        <v>212</v>
      </c>
      <c r="U911" t="s">
        <v>584</v>
      </c>
      <c r="V911" t="s">
        <v>157</v>
      </c>
      <c r="W911">
        <v>77838262993</v>
      </c>
      <c r="X911">
        <v>10077838062996</v>
      </c>
      <c r="Y911" t="s">
        <v>1333</v>
      </c>
      <c r="Z911" t="s">
        <v>1334</v>
      </c>
      <c r="AA911" t="s">
        <v>1335</v>
      </c>
      <c r="AB911" t="s">
        <v>1336</v>
      </c>
      <c r="AC911" t="s">
        <v>1337</v>
      </c>
      <c r="AD911" t="s">
        <v>303</v>
      </c>
      <c r="AE911" t="s">
        <v>164</v>
      </c>
      <c r="AF911" t="s">
        <v>456</v>
      </c>
      <c r="AG911">
        <v>392350</v>
      </c>
      <c r="AH911">
        <v>175</v>
      </c>
      <c r="AL911" t="s">
        <v>843</v>
      </c>
      <c r="AN911" t="s">
        <v>1338</v>
      </c>
    </row>
    <row r="912" spans="1:117" x14ac:dyDescent="0.25">
      <c r="A912" t="s">
        <v>4038</v>
      </c>
      <c r="B912" t="e">
        <f>_xlfn.XLOOKUP(C912,'[1]Image URL'!$E:$E,'[1]Image URL'!$A:$A)</f>
        <v>#N/A</v>
      </c>
      <c r="C912" t="s">
        <v>4556</v>
      </c>
      <c r="D912" t="s">
        <v>1792</v>
      </c>
      <c r="E912" t="s">
        <v>1793</v>
      </c>
      <c r="F912" t="s">
        <v>1794</v>
      </c>
      <c r="G912" t="s">
        <v>1794</v>
      </c>
      <c r="H912" t="s">
        <v>1795</v>
      </c>
      <c r="I912" t="s">
        <v>194</v>
      </c>
      <c r="J912" t="s">
        <v>195</v>
      </c>
      <c r="U912" t="s">
        <v>196</v>
      </c>
      <c r="V912" t="s">
        <v>157</v>
      </c>
      <c r="W912">
        <v>77838517062</v>
      </c>
      <c r="X912">
        <v>10077838017064</v>
      </c>
      <c r="Y912" t="s">
        <v>1796</v>
      </c>
      <c r="Z912" t="s">
        <v>1652</v>
      </c>
      <c r="AA912" t="s">
        <v>1797</v>
      </c>
      <c r="AB912" t="s">
        <v>1349</v>
      </c>
      <c r="AC912" t="s">
        <v>152</v>
      </c>
      <c r="AD912" t="s">
        <v>183</v>
      </c>
      <c r="AE912" t="s">
        <v>184</v>
      </c>
      <c r="AF912" t="s">
        <v>185</v>
      </c>
      <c r="AG912">
        <v>392410.2</v>
      </c>
      <c r="AH912">
        <v>70</v>
      </c>
      <c r="AL912" t="s">
        <v>1519</v>
      </c>
      <c r="AN912" t="s">
        <v>1794</v>
      </c>
    </row>
    <row r="913" spans="1:111" x14ac:dyDescent="0.25">
      <c r="A913" t="s">
        <v>4039</v>
      </c>
      <c r="B913" t="e">
        <f>_xlfn.XLOOKUP(C913,'[1]Image URL'!$E:$E,'[1]Image URL'!$A:$A)</f>
        <v>#N/A</v>
      </c>
      <c r="C913" t="s">
        <v>4559</v>
      </c>
      <c r="D913" t="s">
        <v>4040</v>
      </c>
      <c r="E913" t="s">
        <v>3906</v>
      </c>
      <c r="F913" t="s">
        <v>1420</v>
      </c>
      <c r="G913" t="s">
        <v>3907</v>
      </c>
      <c r="H913" t="s">
        <v>193</v>
      </c>
      <c r="J913" t="s">
        <v>195</v>
      </c>
      <c r="U913" t="s">
        <v>1459</v>
      </c>
      <c r="V913" t="s">
        <v>1385</v>
      </c>
      <c r="W913">
        <v>77838188491</v>
      </c>
      <c r="X913">
        <v>10077838188498</v>
      </c>
      <c r="Y913" t="s">
        <v>3908</v>
      </c>
      <c r="Z913" t="s">
        <v>1386</v>
      </c>
      <c r="AA913" t="s">
        <v>1274</v>
      </c>
      <c r="AB913" t="s">
        <v>328</v>
      </c>
      <c r="AC913" t="s">
        <v>846</v>
      </c>
      <c r="AD913" t="s">
        <v>1390</v>
      </c>
      <c r="AE913" t="s">
        <v>314</v>
      </c>
      <c r="AF913" t="s">
        <v>235</v>
      </c>
      <c r="AG913">
        <v>392410.2</v>
      </c>
      <c r="AH913">
        <v>60</v>
      </c>
      <c r="AL913" t="s">
        <v>3909</v>
      </c>
      <c r="AT913" t="s">
        <v>3910</v>
      </c>
    </row>
    <row r="914" spans="1:111" x14ac:dyDescent="0.25">
      <c r="A914" t="s">
        <v>4041</v>
      </c>
      <c r="B914" t="e">
        <f>_xlfn.XLOOKUP(C914,'[1]Image URL'!$E:$E,'[1]Image URL'!$A:$A)</f>
        <v>#N/A</v>
      </c>
      <c r="C914" t="s">
        <v>4566</v>
      </c>
      <c r="D914" t="s">
        <v>4042</v>
      </c>
      <c r="E914" t="s">
        <v>4043</v>
      </c>
      <c r="F914" t="s">
        <v>991</v>
      </c>
      <c r="G914" t="s">
        <v>991</v>
      </c>
      <c r="H914" t="s">
        <v>1944</v>
      </c>
      <c r="I914" t="s">
        <v>194</v>
      </c>
      <c r="J914" t="s">
        <v>195</v>
      </c>
      <c r="M914" t="s">
        <v>4044</v>
      </c>
      <c r="T914" t="s">
        <v>2556</v>
      </c>
      <c r="U914" t="s">
        <v>196</v>
      </c>
      <c r="V914" t="s">
        <v>157</v>
      </c>
      <c r="W914">
        <v>77838518489</v>
      </c>
      <c r="X914">
        <v>10077838018481</v>
      </c>
      <c r="Y914" t="s">
        <v>1802</v>
      </c>
      <c r="Z914" t="s">
        <v>774</v>
      </c>
      <c r="AA914" t="s">
        <v>994</v>
      </c>
      <c r="AB914" t="s">
        <v>311</v>
      </c>
      <c r="AC914" t="s">
        <v>1932</v>
      </c>
      <c r="AD914" t="s">
        <v>446</v>
      </c>
      <c r="AE914" t="s">
        <v>184</v>
      </c>
      <c r="AF914" t="s">
        <v>302</v>
      </c>
      <c r="AG914">
        <v>392410.2</v>
      </c>
      <c r="AH914">
        <v>100</v>
      </c>
      <c r="AL914" t="s">
        <v>247</v>
      </c>
      <c r="AN914" t="s">
        <v>991</v>
      </c>
    </row>
    <row r="915" spans="1:111" x14ac:dyDescent="0.25">
      <c r="A915" t="s">
        <v>4045</v>
      </c>
      <c r="B915" t="e">
        <f>_xlfn.XLOOKUP(C915,'[1]Image URL'!$E:$E,'[1]Image URL'!$A:$A)</f>
        <v>#N/A</v>
      </c>
      <c r="C915" t="s">
        <v>4569</v>
      </c>
      <c r="D915" t="s">
        <v>1455</v>
      </c>
      <c r="E915" t="s">
        <v>1456</v>
      </c>
      <c r="F915" t="s">
        <v>1457</v>
      </c>
      <c r="G915" t="s">
        <v>1457</v>
      </c>
      <c r="H915" t="s">
        <v>1458</v>
      </c>
      <c r="J915" t="s">
        <v>195</v>
      </c>
      <c r="U915" t="s">
        <v>1459</v>
      </c>
      <c r="V915" t="s">
        <v>1385</v>
      </c>
      <c r="W915">
        <v>77838229194</v>
      </c>
      <c r="X915">
        <v>10077838029197</v>
      </c>
      <c r="Y915" t="s">
        <v>1311</v>
      </c>
      <c r="Z915" t="s">
        <v>1460</v>
      </c>
      <c r="AA915" t="s">
        <v>1179</v>
      </c>
      <c r="AB915" t="s">
        <v>900</v>
      </c>
      <c r="AC915" t="s">
        <v>288</v>
      </c>
      <c r="AD915" t="s">
        <v>600</v>
      </c>
      <c r="AE915" t="s">
        <v>235</v>
      </c>
      <c r="AF915" t="s">
        <v>185</v>
      </c>
      <c r="AG915">
        <v>392410.2</v>
      </c>
      <c r="AH915">
        <v>85</v>
      </c>
      <c r="AL915" t="s">
        <v>1083</v>
      </c>
      <c r="AM915" t="s">
        <v>1461</v>
      </c>
      <c r="AN915" t="s">
        <v>1457</v>
      </c>
      <c r="AT915" t="s">
        <v>1462</v>
      </c>
    </row>
    <row r="916" spans="1:111" x14ac:dyDescent="0.25">
      <c r="A916" t="s">
        <v>4046</v>
      </c>
      <c r="B916" t="e">
        <f>_xlfn.XLOOKUP(C916,'[1]Image URL'!$E:$E,'[1]Image URL'!$A:$A)</f>
        <v>#N/A</v>
      </c>
      <c r="C916" t="s">
        <v>4572</v>
      </c>
      <c r="D916" t="s">
        <v>641</v>
      </c>
      <c r="E916" t="s">
        <v>642</v>
      </c>
      <c r="F916" t="s">
        <v>643</v>
      </c>
      <c r="G916" t="s">
        <v>643</v>
      </c>
      <c r="H916" t="s">
        <v>509</v>
      </c>
      <c r="J916" t="s">
        <v>212</v>
      </c>
      <c r="U916" t="s">
        <v>584</v>
      </c>
      <c r="V916" t="s">
        <v>157</v>
      </c>
      <c r="W916">
        <v>77838304518</v>
      </c>
      <c r="X916">
        <v>10077838004514</v>
      </c>
      <c r="Y916" t="s">
        <v>644</v>
      </c>
      <c r="Z916" t="s">
        <v>179</v>
      </c>
      <c r="AA916" t="s">
        <v>645</v>
      </c>
      <c r="AB916" t="s">
        <v>646</v>
      </c>
      <c r="AC916" t="s">
        <v>400</v>
      </c>
      <c r="AD916" t="s">
        <v>647</v>
      </c>
      <c r="AE916" t="s">
        <v>315</v>
      </c>
      <c r="AF916" t="s">
        <v>185</v>
      </c>
      <c r="AG916">
        <v>392410.2</v>
      </c>
      <c r="AH916">
        <v>70</v>
      </c>
      <c r="AL916" t="s">
        <v>648</v>
      </c>
      <c r="AN916" t="s">
        <v>643</v>
      </c>
    </row>
    <row r="917" spans="1:111" x14ac:dyDescent="0.25">
      <c r="A917" t="s">
        <v>4047</v>
      </c>
      <c r="B917" t="e">
        <f>_xlfn.XLOOKUP(C917,'[1]Image URL'!$E:$E,'[1]Image URL'!$A:$A)</f>
        <v>#N/A</v>
      </c>
      <c r="C917" t="s">
        <v>4579</v>
      </c>
      <c r="D917" t="s">
        <v>2743</v>
      </c>
      <c r="E917" t="s">
        <v>2744</v>
      </c>
      <c r="F917" t="s">
        <v>457</v>
      </c>
      <c r="G917" t="s">
        <v>549</v>
      </c>
      <c r="H917" t="s">
        <v>1875</v>
      </c>
      <c r="J917" t="s">
        <v>195</v>
      </c>
      <c r="U917" t="s">
        <v>1459</v>
      </c>
      <c r="V917" t="s">
        <v>1385</v>
      </c>
      <c r="W917">
        <v>77838212165</v>
      </c>
      <c r="X917">
        <v>10077838112165</v>
      </c>
      <c r="Y917" t="s">
        <v>806</v>
      </c>
      <c r="Z917" t="s">
        <v>864</v>
      </c>
      <c r="AA917" t="s">
        <v>893</v>
      </c>
      <c r="AB917" t="s">
        <v>1846</v>
      </c>
      <c r="AC917" t="s">
        <v>2745</v>
      </c>
      <c r="AD917" t="s">
        <v>2746</v>
      </c>
      <c r="AE917" t="s">
        <v>1319</v>
      </c>
      <c r="AF917" t="s">
        <v>268</v>
      </c>
      <c r="AG917">
        <v>392410.2</v>
      </c>
      <c r="AH917">
        <v>70</v>
      </c>
      <c r="AL917" t="s">
        <v>2747</v>
      </c>
      <c r="AT917" t="s">
        <v>1875</v>
      </c>
    </row>
    <row r="918" spans="1:111" x14ac:dyDescent="0.25">
      <c r="A918" t="s">
        <v>4048</v>
      </c>
      <c r="B918" t="e">
        <f>_xlfn.XLOOKUP(C918,'[1]Image URL'!$E:$E,'[1]Image URL'!$A:$A)</f>
        <v>#N/A</v>
      </c>
      <c r="C918" t="s">
        <v>4582</v>
      </c>
      <c r="D918" t="s">
        <v>2118</v>
      </c>
      <c r="E918" t="s">
        <v>2119</v>
      </c>
      <c r="F918" t="s">
        <v>188</v>
      </c>
      <c r="G918" t="s">
        <v>188</v>
      </c>
      <c r="H918" t="s">
        <v>201</v>
      </c>
      <c r="I918" t="s">
        <v>194</v>
      </c>
      <c r="J918" t="s">
        <v>195</v>
      </c>
      <c r="M918" t="s">
        <v>1711</v>
      </c>
      <c r="T918" t="s">
        <v>1717</v>
      </c>
      <c r="U918" t="s">
        <v>196</v>
      </c>
      <c r="V918" t="s">
        <v>157</v>
      </c>
      <c r="W918">
        <v>77838500446</v>
      </c>
      <c r="X918">
        <v>10077838000448</v>
      </c>
      <c r="Y918" t="s">
        <v>595</v>
      </c>
      <c r="Z918" t="s">
        <v>179</v>
      </c>
      <c r="AA918" t="s">
        <v>893</v>
      </c>
      <c r="AB918" t="s">
        <v>747</v>
      </c>
      <c r="AC918" t="s">
        <v>800</v>
      </c>
      <c r="AD918" t="s">
        <v>1562</v>
      </c>
      <c r="AE918" t="s">
        <v>184</v>
      </c>
      <c r="AF918" t="s">
        <v>268</v>
      </c>
      <c r="AG918">
        <v>392410.2</v>
      </c>
      <c r="AH918">
        <v>85</v>
      </c>
      <c r="AL918" t="s">
        <v>1533</v>
      </c>
      <c r="AN918" t="s">
        <v>188</v>
      </c>
    </row>
    <row r="919" spans="1:111" x14ac:dyDescent="0.25">
      <c r="A919" t="s">
        <v>4049</v>
      </c>
      <c r="B919" t="e">
        <f>_xlfn.XLOOKUP(C919,'[1]Image URL'!$E:$E,'[1]Image URL'!$A:$A)</f>
        <v>#N/A</v>
      </c>
      <c r="C919" t="s">
        <v>4585</v>
      </c>
      <c r="D919" t="s">
        <v>4050</v>
      </c>
      <c r="E919" t="s">
        <v>4051</v>
      </c>
      <c r="F919" t="s">
        <v>542</v>
      </c>
      <c r="G919" t="s">
        <v>2574</v>
      </c>
      <c r="H919" t="s">
        <v>186</v>
      </c>
      <c r="J919" t="s">
        <v>195</v>
      </c>
      <c r="U919" t="s">
        <v>1459</v>
      </c>
      <c r="V919" t="s">
        <v>1385</v>
      </c>
      <c r="W919">
        <v>77838812990</v>
      </c>
      <c r="X919">
        <v>10077838812997</v>
      </c>
      <c r="Y919" t="s">
        <v>4052</v>
      </c>
      <c r="Z919" t="s">
        <v>1803</v>
      </c>
      <c r="AA919" t="s">
        <v>4053</v>
      </c>
      <c r="AB919" t="s">
        <v>4054</v>
      </c>
      <c r="AC919" t="s">
        <v>1674</v>
      </c>
      <c r="AD919" t="s">
        <v>203</v>
      </c>
      <c r="AE919" t="s">
        <v>235</v>
      </c>
      <c r="AF919" t="s">
        <v>235</v>
      </c>
      <c r="AG919">
        <v>392410.2</v>
      </c>
      <c r="AH919">
        <v>85</v>
      </c>
      <c r="AL919" t="s">
        <v>631</v>
      </c>
    </row>
    <row r="920" spans="1:111" x14ac:dyDescent="0.25">
      <c r="A920" t="s">
        <v>4055</v>
      </c>
      <c r="B920" t="e">
        <f>_xlfn.XLOOKUP(C920,'[1]Image URL'!$E:$E,'[1]Image URL'!$A:$A)</f>
        <v>#N/A</v>
      </c>
      <c r="C920">
        <v>4398035</v>
      </c>
      <c r="D920" t="s">
        <v>4056</v>
      </c>
      <c r="E920" t="s">
        <v>4057</v>
      </c>
      <c r="F920" t="s">
        <v>4058</v>
      </c>
      <c r="G920" t="s">
        <v>578</v>
      </c>
      <c r="H920" t="s">
        <v>340</v>
      </c>
      <c r="I920" t="s">
        <v>194</v>
      </c>
      <c r="J920" t="s">
        <v>212</v>
      </c>
      <c r="U920" t="s">
        <v>217</v>
      </c>
      <c r="V920" t="s">
        <v>157</v>
      </c>
      <c r="W920">
        <v>77838200971</v>
      </c>
      <c r="X920">
        <v>10077838000974</v>
      </c>
      <c r="Y920" t="s">
        <v>452</v>
      </c>
      <c r="Z920" t="s">
        <v>2350</v>
      </c>
      <c r="AA920" t="s">
        <v>3240</v>
      </c>
      <c r="AB920" t="s">
        <v>4059</v>
      </c>
      <c r="AC920" t="s">
        <v>747</v>
      </c>
      <c r="AD920" t="s">
        <v>600</v>
      </c>
      <c r="AE920" t="s">
        <v>246</v>
      </c>
      <c r="AF920" t="s">
        <v>456</v>
      </c>
      <c r="AG920">
        <v>392410.4</v>
      </c>
      <c r="AH920">
        <v>125</v>
      </c>
      <c r="AL920" t="s">
        <v>1744</v>
      </c>
      <c r="DG920" t="s">
        <v>955</v>
      </c>
    </row>
    <row r="921" spans="1:111" x14ac:dyDescent="0.25">
      <c r="A921" t="s">
        <v>4060</v>
      </c>
      <c r="B921" t="e">
        <f>_xlfn.XLOOKUP(C921,'[1]Image URL'!$E:$E,'[1]Image URL'!$A:$A)</f>
        <v>#N/A</v>
      </c>
      <c r="C921" t="s">
        <v>4594</v>
      </c>
      <c r="D921" t="s">
        <v>4061</v>
      </c>
      <c r="E921" t="s">
        <v>4062</v>
      </c>
      <c r="F921" t="s">
        <v>1226</v>
      </c>
      <c r="G921" t="s">
        <v>1226</v>
      </c>
      <c r="H921" t="s">
        <v>193</v>
      </c>
      <c r="J921" t="s">
        <v>195</v>
      </c>
      <c r="U921" t="s">
        <v>1459</v>
      </c>
      <c r="V921" t="s">
        <v>1385</v>
      </c>
      <c r="W921">
        <v>77838664759</v>
      </c>
      <c r="X921">
        <v>10077838164751</v>
      </c>
      <c r="Y921" t="s">
        <v>1651</v>
      </c>
      <c r="Z921" t="s">
        <v>4063</v>
      </c>
      <c r="AA921" t="s">
        <v>2629</v>
      </c>
      <c r="AB921" t="s">
        <v>4064</v>
      </c>
      <c r="AC921" t="s">
        <v>4065</v>
      </c>
      <c r="AD921" t="s">
        <v>3144</v>
      </c>
      <c r="AE921" t="s">
        <v>302</v>
      </c>
      <c r="AF921" t="s">
        <v>246</v>
      </c>
      <c r="AG921">
        <v>392410.2</v>
      </c>
      <c r="AH921">
        <v>70</v>
      </c>
      <c r="AL921" t="s">
        <v>4066</v>
      </c>
      <c r="AN921" t="s">
        <v>1226</v>
      </c>
      <c r="AO921" t="s">
        <v>1905</v>
      </c>
    </row>
    <row r="922" spans="1:111" x14ac:dyDescent="0.25">
      <c r="A922" t="s">
        <v>4067</v>
      </c>
      <c r="B922" t="e">
        <f>_xlfn.XLOOKUP(C922,'[1]Image URL'!$E:$E,'[1]Image URL'!$A:$A)</f>
        <v>#N/A</v>
      </c>
      <c r="C922">
        <v>4398087</v>
      </c>
      <c r="D922" t="s">
        <v>4068</v>
      </c>
      <c r="E922" t="s">
        <v>4069</v>
      </c>
      <c r="F922" t="s">
        <v>521</v>
      </c>
      <c r="G922" t="s">
        <v>1369</v>
      </c>
      <c r="H922" t="s">
        <v>340</v>
      </c>
      <c r="I922" t="s">
        <v>194</v>
      </c>
      <c r="J922" t="s">
        <v>212</v>
      </c>
      <c r="U922" t="s">
        <v>217</v>
      </c>
      <c r="V922" t="s">
        <v>157</v>
      </c>
      <c r="W922">
        <v>77838200940</v>
      </c>
      <c r="X922">
        <v>10077838000943</v>
      </c>
      <c r="Y922" t="s">
        <v>1358</v>
      </c>
      <c r="Z922" t="s">
        <v>540</v>
      </c>
      <c r="AA922" t="s">
        <v>311</v>
      </c>
      <c r="AB922" t="s">
        <v>1804</v>
      </c>
      <c r="AC922" t="s">
        <v>817</v>
      </c>
      <c r="AD922" t="s">
        <v>600</v>
      </c>
      <c r="AE922" t="s">
        <v>246</v>
      </c>
      <c r="AF922" t="s">
        <v>456</v>
      </c>
      <c r="AG922">
        <v>392410.4</v>
      </c>
      <c r="AH922">
        <v>125</v>
      </c>
      <c r="AL922" t="s">
        <v>2494</v>
      </c>
      <c r="DG922" t="s">
        <v>1865</v>
      </c>
    </row>
    <row r="923" spans="1:111" x14ac:dyDescent="0.25">
      <c r="A923" t="s">
        <v>4070</v>
      </c>
      <c r="B923" t="e">
        <f>_xlfn.XLOOKUP(C923,'[1]Image URL'!$E:$E,'[1]Image URL'!$A:$A)</f>
        <v>#N/A</v>
      </c>
      <c r="C923" t="s">
        <v>4599</v>
      </c>
      <c r="D923" t="s">
        <v>4071</v>
      </c>
      <c r="E923" t="s">
        <v>4072</v>
      </c>
      <c r="F923" t="s">
        <v>643</v>
      </c>
      <c r="G923" t="s">
        <v>462</v>
      </c>
      <c r="H923" t="s">
        <v>894</v>
      </c>
      <c r="J923" t="s">
        <v>195</v>
      </c>
      <c r="U923" t="s">
        <v>1459</v>
      </c>
      <c r="V923" t="s">
        <v>1385</v>
      </c>
      <c r="W923">
        <v>77838227046</v>
      </c>
      <c r="X923">
        <v>10077838127046</v>
      </c>
      <c r="Y923" t="s">
        <v>3012</v>
      </c>
      <c r="Z923" t="s">
        <v>2277</v>
      </c>
      <c r="AA923" t="s">
        <v>506</v>
      </c>
      <c r="AB923" t="s">
        <v>1804</v>
      </c>
      <c r="AC923" t="s">
        <v>152</v>
      </c>
      <c r="AD923" t="s">
        <v>975</v>
      </c>
      <c r="AE923" t="s">
        <v>349</v>
      </c>
      <c r="AF923" t="s">
        <v>268</v>
      </c>
      <c r="AG923">
        <v>392410.2</v>
      </c>
      <c r="AH923">
        <v>70</v>
      </c>
      <c r="AL923" t="s">
        <v>4073</v>
      </c>
      <c r="AM923" t="s">
        <v>1128</v>
      </c>
    </row>
    <row r="924" spans="1:111" x14ac:dyDescent="0.25">
      <c r="A924" t="s">
        <v>4074</v>
      </c>
      <c r="B924" t="e">
        <f>_xlfn.XLOOKUP(C924,'[1]Image URL'!$E:$E,'[1]Image URL'!$A:$A)</f>
        <v>#N/A</v>
      </c>
      <c r="C924" t="s">
        <v>4603</v>
      </c>
      <c r="D924" t="s">
        <v>4076</v>
      </c>
      <c r="E924" t="s">
        <v>3930</v>
      </c>
      <c r="F924" t="s">
        <v>1371</v>
      </c>
      <c r="G924" t="s">
        <v>1371</v>
      </c>
      <c r="H924" t="s">
        <v>2857</v>
      </c>
      <c r="I924" t="s">
        <v>147</v>
      </c>
      <c r="J924" t="s">
        <v>212</v>
      </c>
      <c r="M924" t="s">
        <v>216</v>
      </c>
      <c r="T924" t="s">
        <v>697</v>
      </c>
      <c r="U924" t="s">
        <v>262</v>
      </c>
      <c r="V924" t="s">
        <v>157</v>
      </c>
      <c r="W924">
        <v>77838508169</v>
      </c>
      <c r="X924">
        <v>10077838008161</v>
      </c>
      <c r="Y924" t="s">
        <v>4077</v>
      </c>
      <c r="Z924" t="s">
        <v>1518</v>
      </c>
      <c r="AA924" t="s">
        <v>181</v>
      </c>
      <c r="AB924" t="s">
        <v>1374</v>
      </c>
      <c r="AC924" t="s">
        <v>1846</v>
      </c>
      <c r="AD924" t="s">
        <v>975</v>
      </c>
      <c r="AE924" t="s">
        <v>507</v>
      </c>
      <c r="AF924" t="s">
        <v>164</v>
      </c>
      <c r="AG924">
        <v>392410.2</v>
      </c>
      <c r="AH924">
        <v>100</v>
      </c>
      <c r="AL924" t="s">
        <v>2609</v>
      </c>
      <c r="AN924" t="s">
        <v>1371</v>
      </c>
    </row>
    <row r="925" spans="1:111" x14ac:dyDescent="0.25">
      <c r="A925" t="s">
        <v>4078</v>
      </c>
      <c r="B925" t="e">
        <f>_xlfn.XLOOKUP(C925,'[1]Image URL'!$E:$E,'[1]Image URL'!$A:$A)</f>
        <v>#N/A</v>
      </c>
      <c r="C925" t="s">
        <v>4613</v>
      </c>
      <c r="D925" t="s">
        <v>4079</v>
      </c>
      <c r="E925" t="s">
        <v>4080</v>
      </c>
      <c r="F925" t="s">
        <v>361</v>
      </c>
      <c r="G925" t="s">
        <v>361</v>
      </c>
      <c r="H925" t="s">
        <v>901</v>
      </c>
      <c r="I925" t="s">
        <v>194</v>
      </c>
      <c r="J925" t="s">
        <v>195</v>
      </c>
      <c r="M925" t="s">
        <v>1711</v>
      </c>
      <c r="T925" t="s">
        <v>1717</v>
      </c>
      <c r="U925" t="s">
        <v>196</v>
      </c>
      <c r="V925" t="s">
        <v>157</v>
      </c>
      <c r="W925">
        <v>77838589823</v>
      </c>
      <c r="X925">
        <v>10077838089825</v>
      </c>
      <c r="Y925" t="s">
        <v>753</v>
      </c>
      <c r="Z925" t="s">
        <v>505</v>
      </c>
      <c r="AA925" t="s">
        <v>1692</v>
      </c>
      <c r="AB925" t="s">
        <v>1692</v>
      </c>
      <c r="AC925" t="s">
        <v>152</v>
      </c>
      <c r="AD925" t="s">
        <v>2371</v>
      </c>
      <c r="AE925" t="s">
        <v>163</v>
      </c>
      <c r="AF925" t="s">
        <v>315</v>
      </c>
      <c r="AG925">
        <v>392410.2</v>
      </c>
      <c r="AH925">
        <v>92.5</v>
      </c>
      <c r="AL925" t="s">
        <v>681</v>
      </c>
      <c r="AN925" t="s">
        <v>361</v>
      </c>
    </row>
    <row r="926" spans="1:111" x14ac:dyDescent="0.25">
      <c r="A926" t="s">
        <v>4081</v>
      </c>
      <c r="B926" t="e">
        <f>_xlfn.XLOOKUP(C926,'[1]Image URL'!$E:$E,'[1]Image URL'!$A:$A)</f>
        <v>#N/A</v>
      </c>
      <c r="C926" t="s">
        <v>4616</v>
      </c>
      <c r="D926" t="s">
        <v>4083</v>
      </c>
      <c r="E926" t="s">
        <v>3930</v>
      </c>
      <c r="F926" t="s">
        <v>1457</v>
      </c>
      <c r="G926" t="s">
        <v>1457</v>
      </c>
      <c r="H926" t="s">
        <v>334</v>
      </c>
      <c r="I926" t="s">
        <v>147</v>
      </c>
      <c r="J926" t="s">
        <v>212</v>
      </c>
      <c r="M926" t="s">
        <v>697</v>
      </c>
      <c r="T926" t="s">
        <v>151</v>
      </c>
      <c r="U926" t="s">
        <v>262</v>
      </c>
      <c r="V926" t="s">
        <v>157</v>
      </c>
      <c r="W926">
        <v>77838208151</v>
      </c>
      <c r="X926">
        <v>10077838008154</v>
      </c>
      <c r="Y926" t="s">
        <v>3070</v>
      </c>
      <c r="Z926" t="s">
        <v>666</v>
      </c>
      <c r="AA926" t="s">
        <v>425</v>
      </c>
      <c r="AB926" t="s">
        <v>996</v>
      </c>
      <c r="AC926" t="s">
        <v>462</v>
      </c>
      <c r="AD926" t="s">
        <v>555</v>
      </c>
      <c r="AE926" t="s">
        <v>184</v>
      </c>
      <c r="AF926" t="s">
        <v>235</v>
      </c>
      <c r="AG926">
        <v>392410.2</v>
      </c>
      <c r="AH926">
        <v>175</v>
      </c>
      <c r="AL926" t="s">
        <v>4084</v>
      </c>
      <c r="AN926" t="s">
        <v>1457</v>
      </c>
    </row>
    <row r="927" spans="1:111" x14ac:dyDescent="0.25">
      <c r="A927" t="s">
        <v>4085</v>
      </c>
      <c r="B927" t="e">
        <f>_xlfn.XLOOKUP(C927,'[1]Image URL'!$E:$E,'[1]Image URL'!$A:$A)</f>
        <v>#N/A</v>
      </c>
      <c r="C927">
        <v>61403</v>
      </c>
      <c r="D927" t="s">
        <v>4086</v>
      </c>
      <c r="E927" t="s">
        <v>4087</v>
      </c>
      <c r="F927" t="s">
        <v>1190</v>
      </c>
      <c r="G927" t="s">
        <v>1190</v>
      </c>
      <c r="H927" t="s">
        <v>965</v>
      </c>
      <c r="I927" t="s">
        <v>194</v>
      </c>
      <c r="J927" t="s">
        <v>195</v>
      </c>
      <c r="M927" t="s">
        <v>4088</v>
      </c>
      <c r="T927" t="s">
        <v>4089</v>
      </c>
      <c r="U927" t="s">
        <v>196</v>
      </c>
      <c r="V927" t="s">
        <v>157</v>
      </c>
      <c r="W927">
        <v>77838518502</v>
      </c>
      <c r="X927">
        <v>10077838018504</v>
      </c>
      <c r="Y927" t="s">
        <v>1358</v>
      </c>
      <c r="Z927" t="s">
        <v>540</v>
      </c>
      <c r="AA927" t="s">
        <v>1373</v>
      </c>
      <c r="AB927" t="s">
        <v>495</v>
      </c>
      <c r="AC927" t="s">
        <v>160</v>
      </c>
      <c r="AD927" t="s">
        <v>203</v>
      </c>
      <c r="AE927" t="s">
        <v>235</v>
      </c>
      <c r="AF927" t="s">
        <v>235</v>
      </c>
      <c r="AG927">
        <v>392410.2</v>
      </c>
      <c r="AH927">
        <v>175</v>
      </c>
      <c r="AL927" t="s">
        <v>4090</v>
      </c>
      <c r="AN927" t="s">
        <v>1190</v>
      </c>
    </row>
    <row r="928" spans="1:111" x14ac:dyDescent="0.25">
      <c r="A928" t="s">
        <v>4091</v>
      </c>
      <c r="B928" t="e">
        <f>_xlfn.XLOOKUP(C928,'[1]Image URL'!$E:$E,'[1]Image URL'!$A:$A)</f>
        <v>#N/A</v>
      </c>
      <c r="C928" t="s">
        <v>4621</v>
      </c>
      <c r="D928" t="s">
        <v>4092</v>
      </c>
      <c r="E928" t="s">
        <v>4093</v>
      </c>
      <c r="F928" t="s">
        <v>242</v>
      </c>
      <c r="G928" t="s">
        <v>186</v>
      </c>
      <c r="H928" t="s">
        <v>193</v>
      </c>
      <c r="U928" t="s">
        <v>422</v>
      </c>
      <c r="V928" t="s">
        <v>4094</v>
      </c>
      <c r="W928">
        <v>645373324959</v>
      </c>
      <c r="X928">
        <v>10645372324957</v>
      </c>
      <c r="Y928" t="s">
        <v>240</v>
      </c>
      <c r="Z928" t="s">
        <v>632</v>
      </c>
      <c r="AA928" t="s">
        <v>1672</v>
      </c>
      <c r="AB928" t="s">
        <v>288</v>
      </c>
      <c r="AC928" t="s">
        <v>345</v>
      </c>
      <c r="AD928" t="s">
        <v>4095</v>
      </c>
      <c r="AE928" t="s">
        <v>1113</v>
      </c>
      <c r="AF928" t="s">
        <v>403</v>
      </c>
      <c r="AG928">
        <v>732393.00600000005</v>
      </c>
      <c r="AH928">
        <v>70</v>
      </c>
      <c r="AL928" t="s">
        <v>2008</v>
      </c>
    </row>
    <row r="929" spans="1:118" x14ac:dyDescent="0.25">
      <c r="A929" t="s">
        <v>4096</v>
      </c>
      <c r="B929" t="e">
        <f>_xlfn.XLOOKUP(C929,'[1]Image URL'!$E:$E,'[1]Image URL'!$A:$A)</f>
        <v>#N/A</v>
      </c>
      <c r="C929" t="s">
        <v>4624</v>
      </c>
      <c r="D929" t="s">
        <v>4097</v>
      </c>
      <c r="E929" t="s">
        <v>4098</v>
      </c>
      <c r="F929" t="s">
        <v>188</v>
      </c>
      <c r="G929" t="s">
        <v>186</v>
      </c>
      <c r="H929" t="s">
        <v>193</v>
      </c>
      <c r="U929" t="s">
        <v>422</v>
      </c>
      <c r="V929" t="s">
        <v>4094</v>
      </c>
      <c r="W929">
        <v>77838666708</v>
      </c>
      <c r="X929">
        <v>10077838166700</v>
      </c>
      <c r="Y929" t="s">
        <v>679</v>
      </c>
      <c r="Z929" t="s">
        <v>393</v>
      </c>
      <c r="AA929" t="s">
        <v>329</v>
      </c>
      <c r="AB929" t="s">
        <v>223</v>
      </c>
      <c r="AC929" t="s">
        <v>345</v>
      </c>
      <c r="AD929" t="s">
        <v>4099</v>
      </c>
      <c r="AE929" t="s">
        <v>555</v>
      </c>
      <c r="AF929" t="s">
        <v>1297</v>
      </c>
      <c r="AG929">
        <v>732393.00600000005</v>
      </c>
      <c r="AH929">
        <v>70</v>
      </c>
      <c r="AL929" t="s">
        <v>681</v>
      </c>
    </row>
    <row r="930" spans="1:118" x14ac:dyDescent="0.25">
      <c r="A930" t="s">
        <v>4100</v>
      </c>
      <c r="B930" t="e">
        <f>_xlfn.XLOOKUP(C930,'[1]Image URL'!$E:$E,'[1]Image URL'!$A:$A)</f>
        <v>#N/A</v>
      </c>
      <c r="C930" t="s">
        <v>4628</v>
      </c>
      <c r="D930" t="s">
        <v>4101</v>
      </c>
      <c r="E930" t="s">
        <v>4102</v>
      </c>
      <c r="F930" t="s">
        <v>523</v>
      </c>
      <c r="G930" t="s">
        <v>4103</v>
      </c>
      <c r="H930" t="s">
        <v>193</v>
      </c>
      <c r="U930" t="s">
        <v>4104</v>
      </c>
      <c r="V930" t="s">
        <v>1385</v>
      </c>
      <c r="W930">
        <v>77838881576</v>
      </c>
      <c r="X930">
        <v>10077838881573</v>
      </c>
      <c r="Y930" t="s">
        <v>3439</v>
      </c>
      <c r="Z930" t="s">
        <v>764</v>
      </c>
      <c r="AA930" t="s">
        <v>542</v>
      </c>
      <c r="AB930" t="s">
        <v>462</v>
      </c>
      <c r="AC930" t="s">
        <v>664</v>
      </c>
      <c r="AD930" t="s">
        <v>975</v>
      </c>
      <c r="AE930" t="s">
        <v>507</v>
      </c>
      <c r="AF930" t="s">
        <v>164</v>
      </c>
      <c r="AG930">
        <v>821599.5</v>
      </c>
      <c r="AH930">
        <v>70</v>
      </c>
      <c r="AL930" t="s">
        <v>1653</v>
      </c>
      <c r="BN930" t="s">
        <v>4105</v>
      </c>
    </row>
    <row r="931" spans="1:118" x14ac:dyDescent="0.25">
      <c r="A931" t="s">
        <v>4106</v>
      </c>
      <c r="B931" t="e">
        <f>_xlfn.XLOOKUP(C931,'[1]Image URL'!$E:$E,'[1]Image URL'!$A:$A)</f>
        <v>#N/A</v>
      </c>
      <c r="C931">
        <v>4398008</v>
      </c>
      <c r="D931" t="s">
        <v>4107</v>
      </c>
      <c r="E931" t="s">
        <v>4098</v>
      </c>
      <c r="F931" t="s">
        <v>457</v>
      </c>
      <c r="G931" t="s">
        <v>186</v>
      </c>
      <c r="H931" t="s">
        <v>193</v>
      </c>
      <c r="U931" t="s">
        <v>422</v>
      </c>
      <c r="V931" t="s">
        <v>1385</v>
      </c>
      <c r="W931">
        <v>645373491804</v>
      </c>
      <c r="X931">
        <v>10645372491802</v>
      </c>
      <c r="Y931" t="s">
        <v>4108</v>
      </c>
      <c r="Z931" t="s">
        <v>372</v>
      </c>
      <c r="AA931" t="s">
        <v>1274</v>
      </c>
      <c r="AB931" t="s">
        <v>1534</v>
      </c>
      <c r="AC931" t="s">
        <v>707</v>
      </c>
      <c r="AD931" t="s">
        <v>203</v>
      </c>
      <c r="AE931" t="s">
        <v>235</v>
      </c>
      <c r="AF931" t="s">
        <v>235</v>
      </c>
      <c r="AG931">
        <v>821599.35</v>
      </c>
      <c r="AH931">
        <v>70</v>
      </c>
      <c r="AL931" t="s">
        <v>2008</v>
      </c>
    </row>
    <row r="932" spans="1:118" x14ac:dyDescent="0.25">
      <c r="A932" t="s">
        <v>4109</v>
      </c>
      <c r="B932" t="e">
        <f>_xlfn.XLOOKUP(C932,'[1]Image URL'!$E:$E,'[1]Image URL'!$A:$A)</f>
        <v>#N/A</v>
      </c>
      <c r="C932" t="s">
        <v>4632</v>
      </c>
      <c r="D932" t="s">
        <v>1419</v>
      </c>
      <c r="E932" t="s">
        <v>1383</v>
      </c>
      <c r="F932" t="s">
        <v>1420</v>
      </c>
      <c r="G932" t="s">
        <v>193</v>
      </c>
      <c r="U932" t="s">
        <v>422</v>
      </c>
      <c r="V932" t="s">
        <v>1385</v>
      </c>
      <c r="W932">
        <v>645372665435</v>
      </c>
      <c r="X932">
        <v>10645372665432</v>
      </c>
      <c r="Y932" t="s">
        <v>1421</v>
      </c>
      <c r="Z932" t="s">
        <v>393</v>
      </c>
      <c r="AA932" t="s">
        <v>1422</v>
      </c>
      <c r="AB932" t="s">
        <v>394</v>
      </c>
      <c r="AC932" t="s">
        <v>1423</v>
      </c>
      <c r="AD932" t="s">
        <v>1424</v>
      </c>
      <c r="AE932" t="s">
        <v>315</v>
      </c>
      <c r="AF932" t="s">
        <v>315</v>
      </c>
      <c r="AG932">
        <v>732393.00800000003</v>
      </c>
      <c r="AH932">
        <v>60</v>
      </c>
    </row>
    <row r="933" spans="1:118" x14ac:dyDescent="0.25">
      <c r="A933" t="s">
        <v>4110</v>
      </c>
      <c r="B933" t="e">
        <f>_xlfn.XLOOKUP(C933,'[1]Image URL'!$E:$E,'[1]Image URL'!$A:$A)</f>
        <v>#N/A</v>
      </c>
      <c r="C933" t="s">
        <v>4635</v>
      </c>
      <c r="D933" t="s">
        <v>4111</v>
      </c>
      <c r="E933" t="s">
        <v>4102</v>
      </c>
      <c r="F933" t="s">
        <v>523</v>
      </c>
      <c r="G933" t="s">
        <v>186</v>
      </c>
      <c r="H933" t="s">
        <v>193</v>
      </c>
      <c r="U933" t="s">
        <v>4104</v>
      </c>
      <c r="V933" t="s">
        <v>1385</v>
      </c>
      <c r="W933">
        <v>77838881613</v>
      </c>
      <c r="X933">
        <v>10077838881610</v>
      </c>
      <c r="Y933" t="s">
        <v>3427</v>
      </c>
      <c r="Z933" t="s">
        <v>2952</v>
      </c>
      <c r="AA933" t="s">
        <v>643</v>
      </c>
      <c r="AB933" t="s">
        <v>549</v>
      </c>
      <c r="AC933" t="s">
        <v>1420</v>
      </c>
      <c r="AD933" t="s">
        <v>555</v>
      </c>
      <c r="AE933" t="s">
        <v>184</v>
      </c>
      <c r="AF933" t="s">
        <v>235</v>
      </c>
      <c r="AG933">
        <v>821599.5</v>
      </c>
      <c r="AH933">
        <v>100</v>
      </c>
      <c r="AL933" t="s">
        <v>247</v>
      </c>
      <c r="BO933" t="s">
        <v>549</v>
      </c>
      <c r="DN933" t="s">
        <v>4112</v>
      </c>
    </row>
    <row r="934" spans="1:118" x14ac:dyDescent="0.25">
      <c r="A934" t="s">
        <v>4113</v>
      </c>
      <c r="B934" t="e">
        <f>_xlfn.XLOOKUP(C934,'[1]Image URL'!$E:$E,'[1]Image URL'!$A:$A)</f>
        <v>#N/A</v>
      </c>
      <c r="C934" t="s">
        <v>4639</v>
      </c>
      <c r="D934" t="s">
        <v>4114</v>
      </c>
      <c r="E934" t="s">
        <v>4102</v>
      </c>
      <c r="F934" t="s">
        <v>462</v>
      </c>
      <c r="G934" t="s">
        <v>4103</v>
      </c>
      <c r="H934" t="s">
        <v>193</v>
      </c>
      <c r="U934" t="s">
        <v>4104</v>
      </c>
      <c r="V934" t="s">
        <v>1385</v>
      </c>
      <c r="W934">
        <v>77838881569</v>
      </c>
      <c r="X934">
        <v>10077838881566</v>
      </c>
      <c r="Y934" t="s">
        <v>1111</v>
      </c>
      <c r="Z934" t="s">
        <v>465</v>
      </c>
      <c r="AA934" t="s">
        <v>542</v>
      </c>
      <c r="AB934" t="s">
        <v>462</v>
      </c>
      <c r="AC934" t="s">
        <v>386</v>
      </c>
      <c r="AD934" t="s">
        <v>1562</v>
      </c>
      <c r="AE934" t="s">
        <v>507</v>
      </c>
      <c r="AF934" t="s">
        <v>235</v>
      </c>
      <c r="AG934">
        <v>821599.35</v>
      </c>
      <c r="AH934">
        <v>70</v>
      </c>
      <c r="AL934" t="s">
        <v>1519</v>
      </c>
      <c r="BN934" t="s">
        <v>4105</v>
      </c>
    </row>
    <row r="935" spans="1:118" x14ac:dyDescent="0.25">
      <c r="A935" t="s">
        <v>4115</v>
      </c>
      <c r="B935" t="e">
        <f>_xlfn.XLOOKUP(C935,'[1]Image URL'!$E:$E,'[1]Image URL'!$A:$A)</f>
        <v>#N/A</v>
      </c>
      <c r="C935" t="s">
        <v>4642</v>
      </c>
      <c r="D935" t="s">
        <v>4116</v>
      </c>
      <c r="E935" t="s">
        <v>4098</v>
      </c>
      <c r="F935" t="s">
        <v>192</v>
      </c>
      <c r="G935" t="s">
        <v>186</v>
      </c>
      <c r="H935" t="s">
        <v>193</v>
      </c>
      <c r="U935" t="s">
        <v>422</v>
      </c>
      <c r="V935" t="s">
        <v>4094</v>
      </c>
      <c r="W935">
        <v>77838666715</v>
      </c>
      <c r="X935">
        <v>10077838166717</v>
      </c>
      <c r="Y935" t="s">
        <v>309</v>
      </c>
      <c r="Z935" t="s">
        <v>1348</v>
      </c>
      <c r="AA935" t="s">
        <v>1580</v>
      </c>
      <c r="AB935" t="s">
        <v>188</v>
      </c>
      <c r="AC935" t="s">
        <v>953</v>
      </c>
      <c r="AD935" t="s">
        <v>184</v>
      </c>
      <c r="AE935" t="s">
        <v>235</v>
      </c>
      <c r="AF935" t="s">
        <v>316</v>
      </c>
      <c r="AG935">
        <v>732393.00600000005</v>
      </c>
      <c r="AH935">
        <v>70</v>
      </c>
      <c r="AL935" t="s">
        <v>399</v>
      </c>
    </row>
    <row r="936" spans="1:118" x14ac:dyDescent="0.25">
      <c r="A936" t="s">
        <v>4117</v>
      </c>
      <c r="B936" t="e">
        <f>_xlfn.XLOOKUP(C936,'[1]Image URL'!$E:$E,'[1]Image URL'!$A:$A)</f>
        <v>#N/A</v>
      </c>
      <c r="C936" t="s">
        <v>4645</v>
      </c>
      <c r="D936" t="s">
        <v>4118</v>
      </c>
      <c r="E936" t="s">
        <v>4119</v>
      </c>
      <c r="F936" t="s">
        <v>882</v>
      </c>
      <c r="G936" t="s">
        <v>1420</v>
      </c>
      <c r="M936" t="s">
        <v>4120</v>
      </c>
      <c r="T936" t="s">
        <v>601</v>
      </c>
      <c r="U936" t="s">
        <v>422</v>
      </c>
      <c r="V936" t="s">
        <v>1385</v>
      </c>
      <c r="W936">
        <v>645372346303</v>
      </c>
      <c r="X936">
        <v>10645372346300</v>
      </c>
      <c r="Y936" t="s">
        <v>4121</v>
      </c>
      <c r="Z936" t="s">
        <v>2031</v>
      </c>
      <c r="AA936" t="s">
        <v>1422</v>
      </c>
      <c r="AB936" t="s">
        <v>587</v>
      </c>
      <c r="AC936" t="s">
        <v>329</v>
      </c>
      <c r="AD936" t="s">
        <v>303</v>
      </c>
      <c r="AE936" t="s">
        <v>164</v>
      </c>
      <c r="AF936" t="s">
        <v>456</v>
      </c>
      <c r="AG936">
        <v>732393.00800000003</v>
      </c>
      <c r="AH936">
        <v>70</v>
      </c>
      <c r="AM936" t="s">
        <v>4120</v>
      </c>
      <c r="AT936" t="s">
        <v>334</v>
      </c>
      <c r="DN936" t="s">
        <v>4122</v>
      </c>
    </row>
    <row r="937" spans="1:118" x14ac:dyDescent="0.25">
      <c r="A937" t="s">
        <v>4123</v>
      </c>
      <c r="B937" t="e">
        <f>_xlfn.XLOOKUP(C937,'[1]Image URL'!$E:$E,'[1]Image URL'!$A:$A)</f>
        <v>#N/A</v>
      </c>
      <c r="C937" t="s">
        <v>4650</v>
      </c>
      <c r="D937" t="s">
        <v>4125</v>
      </c>
      <c r="E937" t="s">
        <v>4126</v>
      </c>
      <c r="F937" t="s">
        <v>2658</v>
      </c>
      <c r="G937" t="s">
        <v>1420</v>
      </c>
      <c r="H937" t="s">
        <v>334</v>
      </c>
      <c r="M937" t="s">
        <v>4127</v>
      </c>
      <c r="T937" t="s">
        <v>4128</v>
      </c>
      <c r="U937" t="s">
        <v>422</v>
      </c>
      <c r="V937" t="s">
        <v>1385</v>
      </c>
      <c r="W937">
        <v>645372636336</v>
      </c>
      <c r="X937">
        <v>10645372636333</v>
      </c>
      <c r="Y937" t="s">
        <v>4129</v>
      </c>
      <c r="Z937" t="s">
        <v>4130</v>
      </c>
      <c r="AA937" t="s">
        <v>952</v>
      </c>
      <c r="AB937" t="s">
        <v>454</v>
      </c>
      <c r="AC937" t="s">
        <v>361</v>
      </c>
      <c r="AD937" t="s">
        <v>446</v>
      </c>
      <c r="AE937" t="s">
        <v>235</v>
      </c>
      <c r="AF937" t="s">
        <v>268</v>
      </c>
      <c r="AG937">
        <v>732393.00800000003</v>
      </c>
      <c r="AH937">
        <v>70</v>
      </c>
      <c r="AM937" t="s">
        <v>4127</v>
      </c>
      <c r="AT937" t="s">
        <v>334</v>
      </c>
      <c r="DN937" t="s">
        <v>4122</v>
      </c>
    </row>
    <row r="938" spans="1:118" x14ac:dyDescent="0.25">
      <c r="A938" t="s">
        <v>4131</v>
      </c>
      <c r="B938" t="e">
        <f>_xlfn.XLOOKUP(C938,'[1]Image URL'!$E:$E,'[1]Image URL'!$A:$A)</f>
        <v>#N/A</v>
      </c>
      <c r="C938">
        <v>4398085</v>
      </c>
      <c r="D938" t="s">
        <v>4132</v>
      </c>
      <c r="E938" t="s">
        <v>4102</v>
      </c>
      <c r="F938" t="s">
        <v>457</v>
      </c>
      <c r="G938" t="s">
        <v>4133</v>
      </c>
      <c r="H938" t="s">
        <v>193</v>
      </c>
      <c r="U938" t="s">
        <v>4104</v>
      </c>
      <c r="V938" t="s">
        <v>1385</v>
      </c>
      <c r="W938">
        <v>77838881521</v>
      </c>
      <c r="X938">
        <v>10077838881528</v>
      </c>
      <c r="Y938" t="s">
        <v>4134</v>
      </c>
      <c r="Z938" t="s">
        <v>1957</v>
      </c>
      <c r="AA938" t="s">
        <v>506</v>
      </c>
      <c r="AB938" t="s">
        <v>192</v>
      </c>
      <c r="AC938" t="s">
        <v>386</v>
      </c>
      <c r="AD938" t="s">
        <v>3183</v>
      </c>
      <c r="AE938" t="s">
        <v>802</v>
      </c>
      <c r="AF938" t="s">
        <v>302</v>
      </c>
      <c r="AG938">
        <v>821599.15</v>
      </c>
      <c r="AH938">
        <v>70</v>
      </c>
      <c r="AL938" t="s">
        <v>4135</v>
      </c>
      <c r="BN938" t="s">
        <v>4136</v>
      </c>
      <c r="BO938" t="s">
        <v>549</v>
      </c>
    </row>
    <row r="939" spans="1:118" x14ac:dyDescent="0.25">
      <c r="A939" t="s">
        <v>4137</v>
      </c>
      <c r="B939" t="e">
        <f>_xlfn.XLOOKUP(C939,'[1]Image URL'!$E:$E,'[1]Image URL'!$A:$A)</f>
        <v>#N/A</v>
      </c>
      <c r="C939">
        <v>4398825</v>
      </c>
      <c r="D939" t="s">
        <v>4138</v>
      </c>
      <c r="E939" t="s">
        <v>4119</v>
      </c>
      <c r="F939" t="s">
        <v>2658</v>
      </c>
      <c r="G939" t="s">
        <v>1420</v>
      </c>
      <c r="M939" t="s">
        <v>4139</v>
      </c>
      <c r="T939" t="s">
        <v>4140</v>
      </c>
      <c r="U939" t="s">
        <v>422</v>
      </c>
      <c r="V939" t="s">
        <v>1385</v>
      </c>
      <c r="W939">
        <v>645372342428</v>
      </c>
      <c r="X939">
        <v>10645372342425</v>
      </c>
      <c r="Y939" t="s">
        <v>4141</v>
      </c>
      <c r="Z939" t="s">
        <v>4142</v>
      </c>
      <c r="AA939" t="s">
        <v>485</v>
      </c>
      <c r="AB939" t="s">
        <v>1812</v>
      </c>
      <c r="AC939" t="s">
        <v>182</v>
      </c>
      <c r="AD939" t="s">
        <v>446</v>
      </c>
      <c r="AE939" t="s">
        <v>235</v>
      </c>
      <c r="AF939" t="s">
        <v>268</v>
      </c>
      <c r="AG939">
        <v>732393.00800000003</v>
      </c>
      <c r="AH939">
        <v>85</v>
      </c>
      <c r="AM939" t="s">
        <v>4139</v>
      </c>
      <c r="AT939" t="s">
        <v>334</v>
      </c>
      <c r="DN939" t="s">
        <v>4122</v>
      </c>
    </row>
    <row r="940" spans="1:118" x14ac:dyDescent="0.25">
      <c r="A940" t="s">
        <v>4143</v>
      </c>
      <c r="B940" t="e">
        <f>_xlfn.XLOOKUP(C940,'[1]Image URL'!$E:$E,'[1]Image URL'!$A:$A)</f>
        <v>#N/A</v>
      </c>
      <c r="C940" t="s">
        <v>4657</v>
      </c>
      <c r="D940" t="s">
        <v>4144</v>
      </c>
      <c r="E940" t="s">
        <v>4093</v>
      </c>
      <c r="F940" t="s">
        <v>1374</v>
      </c>
      <c r="G940" t="s">
        <v>186</v>
      </c>
      <c r="H940" t="s">
        <v>193</v>
      </c>
      <c r="U940" t="s">
        <v>422</v>
      </c>
      <c r="V940" t="s">
        <v>4094</v>
      </c>
      <c r="W940">
        <v>645373800332</v>
      </c>
      <c r="X940">
        <v>10645372800338</v>
      </c>
      <c r="Y940" t="s">
        <v>326</v>
      </c>
      <c r="Z940" t="s">
        <v>408</v>
      </c>
      <c r="AA940" t="s">
        <v>1441</v>
      </c>
      <c r="AB940" t="s">
        <v>188</v>
      </c>
      <c r="AC940" t="s">
        <v>973</v>
      </c>
      <c r="AD940" t="s">
        <v>184</v>
      </c>
      <c r="AE940" t="s">
        <v>235</v>
      </c>
      <c r="AF940" t="s">
        <v>316</v>
      </c>
      <c r="AG940">
        <v>732393.00600000005</v>
      </c>
      <c r="AH940">
        <v>70</v>
      </c>
      <c r="AL940" t="s">
        <v>1790</v>
      </c>
    </row>
    <row r="941" spans="1:118" x14ac:dyDescent="0.25">
      <c r="A941" t="s">
        <v>4145</v>
      </c>
      <c r="B941" t="e">
        <f>_xlfn.XLOOKUP(C941,'[1]Image URL'!$E:$E,'[1]Image URL'!$A:$A)</f>
        <v>#N/A</v>
      </c>
      <c r="C941" t="s">
        <v>4660</v>
      </c>
      <c r="D941" t="s">
        <v>4146</v>
      </c>
      <c r="E941" t="s">
        <v>4102</v>
      </c>
      <c r="F941" t="s">
        <v>472</v>
      </c>
      <c r="G941" t="s">
        <v>186</v>
      </c>
      <c r="H941" t="s">
        <v>193</v>
      </c>
      <c r="U941" t="s">
        <v>4104</v>
      </c>
      <c r="V941" t="s">
        <v>1385</v>
      </c>
      <c r="W941">
        <v>77838881606</v>
      </c>
      <c r="X941">
        <v>10077838881603</v>
      </c>
      <c r="Y941" t="s">
        <v>2982</v>
      </c>
      <c r="Z941" t="s">
        <v>2963</v>
      </c>
      <c r="AA941" t="s">
        <v>532</v>
      </c>
      <c r="AB941" t="s">
        <v>549</v>
      </c>
      <c r="AC941" t="s">
        <v>1692</v>
      </c>
      <c r="AD941" t="s">
        <v>184</v>
      </c>
      <c r="AE941" t="s">
        <v>302</v>
      </c>
      <c r="AF941" t="s">
        <v>456</v>
      </c>
      <c r="AG941">
        <v>821599.5</v>
      </c>
      <c r="AH941">
        <v>100</v>
      </c>
      <c r="AL941" t="s">
        <v>4084</v>
      </c>
      <c r="BO941" t="s">
        <v>329</v>
      </c>
      <c r="DN941" t="s">
        <v>4147</v>
      </c>
    </row>
    <row r="942" spans="1:118" x14ac:dyDescent="0.25">
      <c r="A942" t="s">
        <v>4148</v>
      </c>
      <c r="B942" t="e">
        <f>_xlfn.XLOOKUP(C942,'[1]Image URL'!$E:$E,'[1]Image URL'!$A:$A)</f>
        <v>#N/A</v>
      </c>
      <c r="C942" t="s">
        <v>4663</v>
      </c>
      <c r="D942" t="s">
        <v>1382</v>
      </c>
      <c r="E942" t="s">
        <v>1383</v>
      </c>
      <c r="F942" t="s">
        <v>597</v>
      </c>
      <c r="G942" t="s">
        <v>193</v>
      </c>
      <c r="U942" t="s">
        <v>1384</v>
      </c>
      <c r="V942" t="s">
        <v>1385</v>
      </c>
      <c r="W942">
        <v>645372646038</v>
      </c>
      <c r="X942">
        <v>10645372646035</v>
      </c>
      <c r="Y942" t="s">
        <v>232</v>
      </c>
      <c r="Z942" t="s">
        <v>1386</v>
      </c>
      <c r="AA942" t="s">
        <v>1387</v>
      </c>
      <c r="AB942" t="s">
        <v>1388</v>
      </c>
      <c r="AC942" t="s">
        <v>1389</v>
      </c>
      <c r="AD942" t="s">
        <v>1390</v>
      </c>
      <c r="AE942" t="s">
        <v>184</v>
      </c>
      <c r="AF942" t="s">
        <v>315</v>
      </c>
      <c r="AG942">
        <v>732393.00800000003</v>
      </c>
      <c r="AH942">
        <v>65</v>
      </c>
    </row>
    <row r="943" spans="1:118" x14ac:dyDescent="0.25">
      <c r="A943" t="s">
        <v>4149</v>
      </c>
      <c r="B943" t="e">
        <f>_xlfn.XLOOKUP(C943,'[1]Image URL'!$E:$E,'[1]Image URL'!$A:$A)</f>
        <v>#N/A</v>
      </c>
      <c r="C943" t="s">
        <v>4674</v>
      </c>
      <c r="D943" t="s">
        <v>4150</v>
      </c>
      <c r="E943" t="s">
        <v>4151</v>
      </c>
      <c r="F943" t="s">
        <v>457</v>
      </c>
      <c r="G943" t="s">
        <v>4133</v>
      </c>
      <c r="H943" t="s">
        <v>193</v>
      </c>
      <c r="U943" t="s">
        <v>4104</v>
      </c>
      <c r="V943" t="s">
        <v>1385</v>
      </c>
      <c r="W943">
        <v>77838881507</v>
      </c>
      <c r="X943">
        <v>10077838881504</v>
      </c>
      <c r="Y943" t="s">
        <v>2907</v>
      </c>
      <c r="Z943" t="s">
        <v>1957</v>
      </c>
      <c r="AA943" t="s">
        <v>506</v>
      </c>
      <c r="AB943" t="s">
        <v>192</v>
      </c>
      <c r="AC943" t="s">
        <v>386</v>
      </c>
      <c r="AD943" t="s">
        <v>3183</v>
      </c>
      <c r="AE943" t="s">
        <v>802</v>
      </c>
      <c r="AF943" t="s">
        <v>302</v>
      </c>
      <c r="AG943">
        <v>821599.35</v>
      </c>
      <c r="AH943">
        <v>65</v>
      </c>
      <c r="AL943" t="s">
        <v>4152</v>
      </c>
      <c r="BN943" t="s">
        <v>4136</v>
      </c>
      <c r="BO943" t="s">
        <v>549</v>
      </c>
    </row>
    <row r="944" spans="1:118" x14ac:dyDescent="0.25">
      <c r="A944" t="s">
        <v>4153</v>
      </c>
      <c r="B944" t="e">
        <f>_xlfn.XLOOKUP(C944,'[1]Image URL'!$E:$E,'[1]Image URL'!$A:$A)</f>
        <v>#N/A</v>
      </c>
      <c r="C944" t="s">
        <v>4680</v>
      </c>
      <c r="D944" t="s">
        <v>4154</v>
      </c>
      <c r="E944" t="s">
        <v>4102</v>
      </c>
      <c r="F944" t="s">
        <v>457</v>
      </c>
      <c r="G944" t="s">
        <v>4103</v>
      </c>
      <c r="H944" t="s">
        <v>193</v>
      </c>
      <c r="U944" t="s">
        <v>4104</v>
      </c>
      <c r="V944" t="s">
        <v>1385</v>
      </c>
      <c r="W944">
        <v>77838881545</v>
      </c>
      <c r="X944">
        <v>10077838881542</v>
      </c>
      <c r="Y944" t="s">
        <v>4155</v>
      </c>
      <c r="Z944" t="s">
        <v>219</v>
      </c>
      <c r="AA944" t="s">
        <v>506</v>
      </c>
      <c r="AB944" t="s">
        <v>536</v>
      </c>
      <c r="AC944" t="s">
        <v>386</v>
      </c>
      <c r="AD944" t="s">
        <v>4156</v>
      </c>
      <c r="AE944" t="s">
        <v>802</v>
      </c>
      <c r="AF944" t="s">
        <v>235</v>
      </c>
      <c r="AG944">
        <v>821599.5</v>
      </c>
      <c r="AH944">
        <v>70</v>
      </c>
      <c r="AL944" t="s">
        <v>4157</v>
      </c>
      <c r="BN944" t="s">
        <v>4105</v>
      </c>
      <c r="BO944" t="s">
        <v>329</v>
      </c>
    </row>
    <row r="945" spans="1:119" x14ac:dyDescent="0.25">
      <c r="A945" t="s">
        <v>4158</v>
      </c>
      <c r="B945" t="e">
        <f>_xlfn.XLOOKUP(C945,'[1]Image URL'!$E:$E,'[1]Image URL'!$A:$A)</f>
        <v>#N/A</v>
      </c>
      <c r="C945" t="s">
        <v>4682</v>
      </c>
      <c r="D945" t="s">
        <v>4159</v>
      </c>
      <c r="E945" t="s">
        <v>4093</v>
      </c>
      <c r="F945" t="s">
        <v>394</v>
      </c>
      <c r="G945" t="s">
        <v>186</v>
      </c>
      <c r="H945" t="s">
        <v>193</v>
      </c>
      <c r="U945" t="s">
        <v>422</v>
      </c>
      <c r="V945" t="s">
        <v>4094</v>
      </c>
      <c r="W945">
        <v>77838223314</v>
      </c>
      <c r="X945">
        <v>10645372423902</v>
      </c>
      <c r="Y945" t="s">
        <v>843</v>
      </c>
      <c r="Z945" t="s">
        <v>393</v>
      </c>
      <c r="AA945" t="s">
        <v>182</v>
      </c>
      <c r="AB945" t="s">
        <v>1388</v>
      </c>
      <c r="AC945" t="s">
        <v>4160</v>
      </c>
      <c r="AD945" t="s">
        <v>314</v>
      </c>
      <c r="AE945" t="s">
        <v>315</v>
      </c>
      <c r="AF945" t="s">
        <v>316</v>
      </c>
      <c r="AG945">
        <v>732393.00600000005</v>
      </c>
      <c r="AH945">
        <v>70</v>
      </c>
      <c r="AL945" t="s">
        <v>636</v>
      </c>
    </row>
    <row r="946" spans="1:119" x14ac:dyDescent="0.25">
      <c r="A946" t="s">
        <v>4161</v>
      </c>
      <c r="B946" t="e">
        <f>_xlfn.XLOOKUP(C946,'[1]Image URL'!$E:$E,'[1]Image URL'!$A:$A)</f>
        <v>#N/A</v>
      </c>
      <c r="C946" t="s">
        <v>4685</v>
      </c>
      <c r="D946" t="s">
        <v>4162</v>
      </c>
      <c r="E946" t="s">
        <v>4098</v>
      </c>
      <c r="F946" t="s">
        <v>242</v>
      </c>
      <c r="G946" t="s">
        <v>186</v>
      </c>
      <c r="H946" t="s">
        <v>193</v>
      </c>
      <c r="U946" t="s">
        <v>422</v>
      </c>
      <c r="V946" t="s">
        <v>1385</v>
      </c>
      <c r="W946">
        <v>77838666722</v>
      </c>
      <c r="X946">
        <v>10077838166724</v>
      </c>
      <c r="Y946" t="s">
        <v>3070</v>
      </c>
      <c r="Z946" t="s">
        <v>4163</v>
      </c>
      <c r="AA946" t="s">
        <v>859</v>
      </c>
      <c r="AB946" t="s">
        <v>1136</v>
      </c>
      <c r="AC946" t="s">
        <v>894</v>
      </c>
      <c r="AD946" t="s">
        <v>402</v>
      </c>
      <c r="AE946" t="s">
        <v>349</v>
      </c>
      <c r="AF946" t="s">
        <v>315</v>
      </c>
      <c r="AG946">
        <v>821599.35</v>
      </c>
      <c r="AH946">
        <v>60</v>
      </c>
      <c r="AL946" t="s">
        <v>3071</v>
      </c>
      <c r="AM946" t="s">
        <v>206</v>
      </c>
    </row>
    <row r="947" spans="1:119" x14ac:dyDescent="0.25">
      <c r="A947" t="s">
        <v>4164</v>
      </c>
      <c r="B947" t="e">
        <f>_xlfn.XLOOKUP(C947,'[1]Image URL'!$E:$E,'[1]Image URL'!$A:$A)</f>
        <v>#N/A</v>
      </c>
      <c r="C947" t="s">
        <v>4690</v>
      </c>
      <c r="D947" t="s">
        <v>4166</v>
      </c>
      <c r="E947" t="s">
        <v>4167</v>
      </c>
      <c r="F947" t="s">
        <v>2658</v>
      </c>
      <c r="G947" t="s">
        <v>1420</v>
      </c>
      <c r="U947" t="s">
        <v>422</v>
      </c>
      <c r="V947" t="s">
        <v>1385</v>
      </c>
      <c r="W947">
        <v>645372800317</v>
      </c>
      <c r="X947">
        <v>10645372800314</v>
      </c>
      <c r="Y947" t="s">
        <v>4168</v>
      </c>
      <c r="Z947" t="s">
        <v>4169</v>
      </c>
      <c r="AA947" t="s">
        <v>734</v>
      </c>
      <c r="AB947" t="s">
        <v>643</v>
      </c>
      <c r="AC947" t="s">
        <v>868</v>
      </c>
      <c r="AD947" t="s">
        <v>1621</v>
      </c>
      <c r="AE947" t="s">
        <v>235</v>
      </c>
      <c r="AF947" t="s">
        <v>315</v>
      </c>
      <c r="AG947">
        <v>732393.00800000003</v>
      </c>
      <c r="AH947">
        <v>70</v>
      </c>
      <c r="DN947" t="s">
        <v>4122</v>
      </c>
    </row>
    <row r="948" spans="1:119" x14ac:dyDescent="0.25">
      <c r="A948" t="s">
        <v>4170</v>
      </c>
      <c r="B948" t="e">
        <f>_xlfn.XLOOKUP(C948,'[1]Image URL'!$E:$E,'[1]Image URL'!$A:$A)</f>
        <v>#N/A</v>
      </c>
      <c r="C948" t="s">
        <v>4693</v>
      </c>
      <c r="D948" t="s">
        <v>4171</v>
      </c>
      <c r="E948" t="s">
        <v>4102</v>
      </c>
      <c r="F948" t="s">
        <v>472</v>
      </c>
      <c r="G948" t="s">
        <v>4103</v>
      </c>
      <c r="H948" t="s">
        <v>193</v>
      </c>
      <c r="U948" t="s">
        <v>4104</v>
      </c>
      <c r="V948" t="s">
        <v>1385</v>
      </c>
      <c r="W948">
        <v>77838881552</v>
      </c>
      <c r="X948">
        <v>10077838881559</v>
      </c>
      <c r="Y948" t="s">
        <v>1111</v>
      </c>
      <c r="Z948" t="s">
        <v>1631</v>
      </c>
      <c r="AA948" t="s">
        <v>542</v>
      </c>
      <c r="AB948" t="s">
        <v>462</v>
      </c>
      <c r="AC948" t="s">
        <v>3011</v>
      </c>
      <c r="AD948" t="s">
        <v>1142</v>
      </c>
      <c r="AE948" t="s">
        <v>204</v>
      </c>
      <c r="AF948" t="s">
        <v>235</v>
      </c>
      <c r="AG948">
        <v>821599.35</v>
      </c>
      <c r="AH948">
        <v>70</v>
      </c>
      <c r="AL948" t="s">
        <v>2041</v>
      </c>
      <c r="BN948" t="s">
        <v>4105</v>
      </c>
    </row>
    <row r="949" spans="1:119" x14ac:dyDescent="0.25">
      <c r="A949" t="s">
        <v>4172</v>
      </c>
      <c r="B949" t="e">
        <f>_xlfn.XLOOKUP(C949,'[1]Image URL'!$E:$E,'[1]Image URL'!$A:$A)</f>
        <v>#N/A</v>
      </c>
      <c r="C949" t="s">
        <v>4696</v>
      </c>
      <c r="D949" t="s">
        <v>4173</v>
      </c>
      <c r="E949" t="s">
        <v>4102</v>
      </c>
      <c r="F949" t="s">
        <v>329</v>
      </c>
      <c r="G949" t="s">
        <v>186</v>
      </c>
      <c r="H949" t="s">
        <v>193</v>
      </c>
      <c r="U949" t="s">
        <v>4104</v>
      </c>
      <c r="V949" t="s">
        <v>1385</v>
      </c>
      <c r="W949">
        <v>77838881590</v>
      </c>
      <c r="X949">
        <v>10077838881597</v>
      </c>
      <c r="Y949" t="s">
        <v>326</v>
      </c>
      <c r="Z949" t="s">
        <v>1737</v>
      </c>
      <c r="AA949" t="s">
        <v>472</v>
      </c>
      <c r="AB949" t="s">
        <v>549</v>
      </c>
      <c r="AC949" t="s">
        <v>324</v>
      </c>
      <c r="AD949" t="s">
        <v>4174</v>
      </c>
      <c r="AE949" t="s">
        <v>1297</v>
      </c>
      <c r="AF949" t="s">
        <v>268</v>
      </c>
      <c r="AG949">
        <v>821599.5</v>
      </c>
      <c r="AH949">
        <v>100</v>
      </c>
      <c r="AL949" t="s">
        <v>4175</v>
      </c>
      <c r="BO949" t="s">
        <v>345</v>
      </c>
    </row>
    <row r="950" spans="1:119" x14ac:dyDescent="0.25">
      <c r="A950" t="s">
        <v>4176</v>
      </c>
      <c r="B950" t="e">
        <f>_xlfn.XLOOKUP(C950,'[1]Image URL'!$E:$E,'[1]Image URL'!$A:$A)</f>
        <v>#N/A</v>
      </c>
      <c r="C950" t="s">
        <v>4701</v>
      </c>
      <c r="D950" t="s">
        <v>4177</v>
      </c>
      <c r="E950" t="s">
        <v>4178</v>
      </c>
      <c r="F950" t="s">
        <v>466</v>
      </c>
      <c r="G950" t="s">
        <v>186</v>
      </c>
      <c r="H950" t="s">
        <v>193</v>
      </c>
      <c r="U950" t="s">
        <v>422</v>
      </c>
      <c r="V950" t="s">
        <v>4094</v>
      </c>
      <c r="W950">
        <v>645373421962</v>
      </c>
      <c r="X950">
        <v>10645372421960</v>
      </c>
      <c r="Y950" t="s">
        <v>240</v>
      </c>
      <c r="Z950" t="s">
        <v>835</v>
      </c>
      <c r="AA950" t="s">
        <v>536</v>
      </c>
      <c r="AB950" t="s">
        <v>1169</v>
      </c>
      <c r="AC950" t="s">
        <v>1982</v>
      </c>
      <c r="AD950" t="s">
        <v>1063</v>
      </c>
      <c r="AE950" t="s">
        <v>204</v>
      </c>
      <c r="AF950" t="s">
        <v>303</v>
      </c>
      <c r="AG950">
        <v>732393.00600000005</v>
      </c>
      <c r="AH950">
        <v>65</v>
      </c>
      <c r="AL950" t="s">
        <v>2008</v>
      </c>
    </row>
    <row r="951" spans="1:119" x14ac:dyDescent="0.25">
      <c r="A951" t="s">
        <v>4179</v>
      </c>
      <c r="B951" t="e">
        <f>_xlfn.XLOOKUP(C951,'[1]Image URL'!$E:$E,'[1]Image URL'!$A:$A)</f>
        <v>#N/A</v>
      </c>
      <c r="C951" t="s">
        <v>4704</v>
      </c>
      <c r="D951" t="s">
        <v>4180</v>
      </c>
      <c r="E951" t="s">
        <v>4102</v>
      </c>
      <c r="F951" t="s">
        <v>457</v>
      </c>
      <c r="G951" t="s">
        <v>4133</v>
      </c>
      <c r="H951" t="s">
        <v>193</v>
      </c>
      <c r="U951" t="s">
        <v>4104</v>
      </c>
      <c r="V951" t="s">
        <v>1385</v>
      </c>
      <c r="W951">
        <v>77838881514</v>
      </c>
      <c r="X951">
        <v>10077838881511</v>
      </c>
      <c r="Y951" t="s">
        <v>595</v>
      </c>
      <c r="Z951" t="s">
        <v>159</v>
      </c>
      <c r="AA951" t="s">
        <v>506</v>
      </c>
      <c r="AB951" t="s">
        <v>462</v>
      </c>
      <c r="AC951" t="s">
        <v>386</v>
      </c>
      <c r="AD951" t="s">
        <v>3183</v>
      </c>
      <c r="AE951" t="s">
        <v>802</v>
      </c>
      <c r="AF951" t="s">
        <v>302</v>
      </c>
      <c r="AG951">
        <v>821599.35</v>
      </c>
      <c r="AH951">
        <v>70</v>
      </c>
      <c r="AL951" t="s">
        <v>2494</v>
      </c>
      <c r="BN951" t="s">
        <v>4136</v>
      </c>
      <c r="BO951" t="s">
        <v>549</v>
      </c>
    </row>
    <row r="952" spans="1:119" x14ac:dyDescent="0.25">
      <c r="A952" t="s">
        <v>4181</v>
      </c>
      <c r="B952" t="e">
        <f>_xlfn.XLOOKUP(C952,'[1]Image URL'!$E:$E,'[1]Image URL'!$A:$A)</f>
        <v>#N/A</v>
      </c>
      <c r="C952" t="s">
        <v>4710</v>
      </c>
      <c r="D952" t="s">
        <v>4182</v>
      </c>
      <c r="E952" t="s">
        <v>4102</v>
      </c>
      <c r="F952" t="s">
        <v>1169</v>
      </c>
      <c r="G952" t="s">
        <v>4103</v>
      </c>
      <c r="H952" t="s">
        <v>193</v>
      </c>
      <c r="U952" t="s">
        <v>4104</v>
      </c>
      <c r="V952" t="s">
        <v>1385</v>
      </c>
      <c r="W952">
        <v>77838881583</v>
      </c>
      <c r="X952">
        <v>10077838881580</v>
      </c>
      <c r="Y952" t="s">
        <v>2892</v>
      </c>
      <c r="Z952" t="s">
        <v>219</v>
      </c>
      <c r="AA952" t="s">
        <v>421</v>
      </c>
      <c r="AB952" t="s">
        <v>462</v>
      </c>
      <c r="AC952" t="s">
        <v>463</v>
      </c>
      <c r="AD952" t="s">
        <v>2402</v>
      </c>
      <c r="AE952" t="s">
        <v>303</v>
      </c>
      <c r="AF952" t="s">
        <v>185</v>
      </c>
      <c r="AG952">
        <v>821599.35</v>
      </c>
      <c r="AH952">
        <v>70</v>
      </c>
      <c r="AL952" t="s">
        <v>1653</v>
      </c>
      <c r="BN952" t="s">
        <v>4105</v>
      </c>
    </row>
    <row r="953" spans="1:119" x14ac:dyDescent="0.25">
      <c r="A953" t="s">
        <v>4183</v>
      </c>
      <c r="B953" t="e">
        <f>_xlfn.XLOOKUP(C953,'[1]Image URL'!$E:$E,'[1]Image URL'!$A:$A)</f>
        <v>#N/A</v>
      </c>
      <c r="C953">
        <v>4398193</v>
      </c>
      <c r="D953" t="s">
        <v>4184</v>
      </c>
      <c r="E953" t="s">
        <v>4093</v>
      </c>
      <c r="F953" t="s">
        <v>1457</v>
      </c>
      <c r="G953" t="s">
        <v>186</v>
      </c>
      <c r="H953" t="s">
        <v>193</v>
      </c>
      <c r="U953" t="s">
        <v>422</v>
      </c>
      <c r="V953" t="s">
        <v>4094</v>
      </c>
      <c r="W953">
        <v>645373422204</v>
      </c>
      <c r="X953">
        <v>10645372422202</v>
      </c>
      <c r="Y953" t="s">
        <v>3042</v>
      </c>
      <c r="Z953" t="s">
        <v>408</v>
      </c>
      <c r="AA953" t="s">
        <v>1349</v>
      </c>
      <c r="AB953" t="s">
        <v>188</v>
      </c>
      <c r="AC953" t="s">
        <v>188</v>
      </c>
      <c r="AD953" t="s">
        <v>708</v>
      </c>
      <c r="AE953" t="s">
        <v>1113</v>
      </c>
      <c r="AF953" t="s">
        <v>184</v>
      </c>
      <c r="AG953">
        <v>732393.00600000005</v>
      </c>
      <c r="AH953">
        <v>70</v>
      </c>
      <c r="AL953" t="s">
        <v>1477</v>
      </c>
    </row>
    <row r="954" spans="1:119" x14ac:dyDescent="0.25">
      <c r="A954" t="s">
        <v>4185</v>
      </c>
      <c r="B954" t="e">
        <f>_xlfn.XLOOKUP(C954,'[1]Image URL'!$E:$E,'[1]Image URL'!$A:$A)</f>
        <v>#N/A</v>
      </c>
      <c r="C954" t="s">
        <v>4715</v>
      </c>
      <c r="D954" t="s">
        <v>4186</v>
      </c>
      <c r="E954" t="s">
        <v>4102</v>
      </c>
      <c r="F954" t="s">
        <v>542</v>
      </c>
      <c r="G954" t="s">
        <v>4133</v>
      </c>
      <c r="H954" t="s">
        <v>193</v>
      </c>
      <c r="U954" t="s">
        <v>4104</v>
      </c>
      <c r="V954" t="s">
        <v>1385</v>
      </c>
      <c r="W954">
        <v>77838881538</v>
      </c>
      <c r="X954">
        <v>10077838881535</v>
      </c>
      <c r="Y954" t="s">
        <v>773</v>
      </c>
      <c r="Z954" t="s">
        <v>1469</v>
      </c>
      <c r="AA954" t="s">
        <v>4187</v>
      </c>
      <c r="AB954" t="s">
        <v>893</v>
      </c>
      <c r="AC954" t="s">
        <v>1388</v>
      </c>
      <c r="AD954" t="s">
        <v>163</v>
      </c>
      <c r="AE954" t="s">
        <v>235</v>
      </c>
      <c r="AF954" t="s">
        <v>164</v>
      </c>
      <c r="AG954">
        <v>821599.35</v>
      </c>
      <c r="AH954">
        <v>85</v>
      </c>
      <c r="AL954" t="s">
        <v>2061</v>
      </c>
      <c r="BN954" t="s">
        <v>4136</v>
      </c>
    </row>
    <row r="955" spans="1:119" x14ac:dyDescent="0.25">
      <c r="A955" t="s">
        <v>4188</v>
      </c>
      <c r="B955" t="e">
        <f>_xlfn.XLOOKUP(C955,'[1]Image URL'!$E:$E,'[1]Image URL'!$A:$A)</f>
        <v>#N/A</v>
      </c>
      <c r="C955">
        <v>4398885</v>
      </c>
      <c r="D955" t="s">
        <v>4189</v>
      </c>
      <c r="E955" t="s">
        <v>4093</v>
      </c>
      <c r="F955" t="s">
        <v>329</v>
      </c>
      <c r="G955" t="s">
        <v>186</v>
      </c>
      <c r="H955" t="s">
        <v>193</v>
      </c>
      <c r="U955" t="s">
        <v>422</v>
      </c>
      <c r="V955" t="s">
        <v>4094</v>
      </c>
      <c r="W955">
        <v>645373200253</v>
      </c>
      <c r="X955">
        <v>10645372200251</v>
      </c>
      <c r="Y955" t="s">
        <v>1078</v>
      </c>
      <c r="Z955" t="s">
        <v>4190</v>
      </c>
      <c r="AA955" t="s">
        <v>329</v>
      </c>
      <c r="AB955" t="s">
        <v>550</v>
      </c>
      <c r="AC955" t="s">
        <v>193</v>
      </c>
      <c r="AD955" t="s">
        <v>4191</v>
      </c>
      <c r="AE955" t="s">
        <v>4192</v>
      </c>
      <c r="AF955" t="s">
        <v>496</v>
      </c>
      <c r="AG955">
        <v>732393.00600000005</v>
      </c>
      <c r="AH955">
        <v>65</v>
      </c>
      <c r="AL955" t="s">
        <v>4193</v>
      </c>
    </row>
    <row r="956" spans="1:119" x14ac:dyDescent="0.25">
      <c r="A956" t="s">
        <v>4194</v>
      </c>
      <c r="B956" t="e">
        <f>_xlfn.XLOOKUP(C956,'[1]Image URL'!$E:$E,'[1]Image URL'!$A:$A)</f>
        <v>#N/A</v>
      </c>
      <c r="C956" t="s">
        <v>4721</v>
      </c>
      <c r="D956" t="s">
        <v>4196</v>
      </c>
      <c r="E956" t="s">
        <v>4197</v>
      </c>
      <c r="F956" t="s">
        <v>4198</v>
      </c>
      <c r="G956" t="s">
        <v>4198</v>
      </c>
      <c r="I956" t="s">
        <v>147</v>
      </c>
      <c r="J956" t="s">
        <v>280</v>
      </c>
      <c r="U956" t="s">
        <v>281</v>
      </c>
      <c r="V956" t="s">
        <v>157</v>
      </c>
      <c r="W956">
        <v>77838204474</v>
      </c>
      <c r="X956">
        <v>10077838004477</v>
      </c>
      <c r="Y956" t="s">
        <v>3991</v>
      </c>
      <c r="Z956" t="s">
        <v>310</v>
      </c>
      <c r="AA956" t="s">
        <v>3114</v>
      </c>
      <c r="AB956" t="s">
        <v>747</v>
      </c>
      <c r="AC956" t="s">
        <v>1812</v>
      </c>
      <c r="AD956" t="s">
        <v>1113</v>
      </c>
      <c r="AE956" t="s">
        <v>268</v>
      </c>
      <c r="AF956" t="s">
        <v>456</v>
      </c>
      <c r="AG956">
        <v>392330.00900000002</v>
      </c>
      <c r="AH956">
        <v>300</v>
      </c>
      <c r="AL956" t="s">
        <v>2978</v>
      </c>
      <c r="AM956" t="s">
        <v>1128</v>
      </c>
      <c r="BB956" t="s">
        <v>2013</v>
      </c>
      <c r="BW956" t="s">
        <v>4198</v>
      </c>
      <c r="DO956" t="s">
        <v>4199</v>
      </c>
    </row>
    <row r="957" spans="1:119" x14ac:dyDescent="0.25">
      <c r="A957" t="s">
        <v>4200</v>
      </c>
      <c r="B957" t="e">
        <f>_xlfn.XLOOKUP(C957,'[1]Image URL'!$E:$E,'[1]Image URL'!$A:$A)</f>
        <v>#N/A</v>
      </c>
      <c r="C957" t="s">
        <v>4724</v>
      </c>
      <c r="D957" t="s">
        <v>4201</v>
      </c>
      <c r="E957" t="s">
        <v>4202</v>
      </c>
      <c r="H957" t="s">
        <v>664</v>
      </c>
      <c r="U957" t="s">
        <v>422</v>
      </c>
      <c r="V957" t="s">
        <v>1385</v>
      </c>
      <c r="W957">
        <v>645372545300</v>
      </c>
      <c r="X957">
        <v>10645372545307</v>
      </c>
      <c r="Y957" t="s">
        <v>3613</v>
      </c>
      <c r="Z957" t="s">
        <v>754</v>
      </c>
      <c r="AA957" t="s">
        <v>756</v>
      </c>
      <c r="AB957" t="s">
        <v>288</v>
      </c>
      <c r="AC957" t="s">
        <v>1371</v>
      </c>
      <c r="AD957" t="s">
        <v>635</v>
      </c>
      <c r="AE957" t="s">
        <v>185</v>
      </c>
      <c r="AF957" t="s">
        <v>456</v>
      </c>
      <c r="AG957">
        <v>732393.00800000003</v>
      </c>
      <c r="AH957">
        <v>70</v>
      </c>
      <c r="AL957" t="s">
        <v>4203</v>
      </c>
      <c r="AM957" t="s">
        <v>697</v>
      </c>
      <c r="CC957" t="s">
        <v>3979</v>
      </c>
      <c r="CQ957" t="s">
        <v>2914</v>
      </c>
    </row>
    <row r="958" spans="1:119" x14ac:dyDescent="0.25">
      <c r="A958" t="s">
        <v>4204</v>
      </c>
      <c r="B958" t="e">
        <f>_xlfn.XLOOKUP(C958,'[1]Image URL'!$E:$E,'[1]Image URL'!$A:$A)</f>
        <v>#N/A</v>
      </c>
      <c r="C958" t="s">
        <v>4727</v>
      </c>
      <c r="D958" t="s">
        <v>4205</v>
      </c>
      <c r="E958" t="s">
        <v>4206</v>
      </c>
      <c r="F958" t="s">
        <v>379</v>
      </c>
      <c r="G958" t="s">
        <v>457</v>
      </c>
      <c r="H958" t="s">
        <v>1817</v>
      </c>
      <c r="U958" t="s">
        <v>4207</v>
      </c>
      <c r="V958" t="s">
        <v>4208</v>
      </c>
      <c r="W958">
        <v>77838579107</v>
      </c>
      <c r="X958">
        <v>10077838079109</v>
      </c>
      <c r="Y958" t="s">
        <v>4209</v>
      </c>
      <c r="Z958" t="s">
        <v>1803</v>
      </c>
      <c r="AA958" t="s">
        <v>4210</v>
      </c>
      <c r="AB958" t="s">
        <v>893</v>
      </c>
      <c r="AC958" t="s">
        <v>4211</v>
      </c>
      <c r="AD958" t="s">
        <v>555</v>
      </c>
      <c r="AE958" t="s">
        <v>235</v>
      </c>
      <c r="AF958" t="s">
        <v>184</v>
      </c>
      <c r="AG958">
        <v>401699.60499999998</v>
      </c>
      <c r="AH958">
        <v>65</v>
      </c>
      <c r="AL958" t="s">
        <v>4032</v>
      </c>
      <c r="BP958" t="s">
        <v>4212</v>
      </c>
    </row>
    <row r="959" spans="1:119" x14ac:dyDescent="0.25">
      <c r="A959" t="s">
        <v>4213</v>
      </c>
      <c r="B959" t="e">
        <f>_xlfn.XLOOKUP(C959,'[1]Image URL'!$E:$E,'[1]Image URL'!$A:$A)</f>
        <v>#N/A</v>
      </c>
      <c r="C959" t="s">
        <v>4730</v>
      </c>
      <c r="D959" t="s">
        <v>4215</v>
      </c>
      <c r="E959" t="s">
        <v>4216</v>
      </c>
      <c r="I959" t="s">
        <v>147</v>
      </c>
      <c r="J959" t="s">
        <v>280</v>
      </c>
      <c r="U959" t="s">
        <v>281</v>
      </c>
      <c r="V959" t="s">
        <v>157</v>
      </c>
      <c r="W959">
        <v>77838515938</v>
      </c>
      <c r="X959">
        <v>10077838015930</v>
      </c>
      <c r="Y959" t="s">
        <v>3277</v>
      </c>
      <c r="Z959" t="s">
        <v>693</v>
      </c>
      <c r="AA959" t="s">
        <v>1860</v>
      </c>
      <c r="AB959" t="s">
        <v>1632</v>
      </c>
      <c r="AC959" t="s">
        <v>1451</v>
      </c>
      <c r="AD959" t="s">
        <v>3054</v>
      </c>
      <c r="AE959" t="s">
        <v>403</v>
      </c>
      <c r="AF959" t="s">
        <v>164</v>
      </c>
      <c r="AG959">
        <v>392330.00900000002</v>
      </c>
      <c r="AH959">
        <v>175</v>
      </c>
      <c r="AM959" t="s">
        <v>1461</v>
      </c>
      <c r="BB959" t="s">
        <v>4217</v>
      </c>
      <c r="BW959" t="s">
        <v>664</v>
      </c>
      <c r="DO959" t="s">
        <v>4218</v>
      </c>
    </row>
    <row r="960" spans="1:119" x14ac:dyDescent="0.25">
      <c r="A960" t="s">
        <v>4219</v>
      </c>
      <c r="B960" t="e">
        <f>_xlfn.XLOOKUP(C960,'[1]Image URL'!$E:$E,'[1]Image URL'!$A:$A)</f>
        <v>#N/A</v>
      </c>
      <c r="C960">
        <v>61459</v>
      </c>
      <c r="D960" t="s">
        <v>4221</v>
      </c>
      <c r="E960" t="s">
        <v>4216</v>
      </c>
      <c r="I960" t="s">
        <v>147</v>
      </c>
      <c r="J960" t="s">
        <v>280</v>
      </c>
      <c r="U960" t="s">
        <v>281</v>
      </c>
      <c r="V960" t="s">
        <v>157</v>
      </c>
      <c r="W960">
        <v>77838515969</v>
      </c>
      <c r="X960">
        <v>10077838015961</v>
      </c>
      <c r="Y960" t="s">
        <v>3277</v>
      </c>
      <c r="Z960" t="s">
        <v>693</v>
      </c>
      <c r="AA960" t="s">
        <v>1860</v>
      </c>
      <c r="AB960" t="s">
        <v>1632</v>
      </c>
      <c r="AC960" t="s">
        <v>1451</v>
      </c>
      <c r="AD960" t="s">
        <v>3054</v>
      </c>
      <c r="AE960" t="s">
        <v>403</v>
      </c>
      <c r="AF960" t="s">
        <v>164</v>
      </c>
      <c r="AG960">
        <v>392330.00900000002</v>
      </c>
      <c r="AH960">
        <v>175</v>
      </c>
      <c r="AM960" t="s">
        <v>1461</v>
      </c>
      <c r="BB960" t="s">
        <v>4217</v>
      </c>
      <c r="BW960" t="s">
        <v>664</v>
      </c>
      <c r="DO960" t="s">
        <v>4218</v>
      </c>
    </row>
    <row r="961" spans="1:120" x14ac:dyDescent="0.25">
      <c r="A961" t="s">
        <v>4222</v>
      </c>
      <c r="B961" t="e">
        <f>_xlfn.XLOOKUP(C961,'[1]Image URL'!$E:$E,'[1]Image URL'!$A:$A)</f>
        <v>#N/A</v>
      </c>
      <c r="C961" t="s">
        <v>4736</v>
      </c>
      <c r="D961" t="s">
        <v>4223</v>
      </c>
      <c r="E961" t="s">
        <v>4224</v>
      </c>
      <c r="F961" t="s">
        <v>4225</v>
      </c>
      <c r="G961" t="s">
        <v>916</v>
      </c>
      <c r="H961" t="s">
        <v>4226</v>
      </c>
      <c r="I961" t="s">
        <v>194</v>
      </c>
      <c r="J961" t="s">
        <v>212</v>
      </c>
      <c r="U961" t="s">
        <v>4227</v>
      </c>
      <c r="V961" t="s">
        <v>282</v>
      </c>
      <c r="W961">
        <v>77838158012</v>
      </c>
      <c r="X961">
        <v>10077838158019</v>
      </c>
      <c r="Y961" t="s">
        <v>4228</v>
      </c>
      <c r="Z961" t="s">
        <v>4229</v>
      </c>
      <c r="AA961" t="s">
        <v>4230</v>
      </c>
      <c r="AB961" t="s">
        <v>4231</v>
      </c>
      <c r="AC961" t="s">
        <v>4232</v>
      </c>
      <c r="AD961" t="s">
        <v>269</v>
      </c>
      <c r="AE961" t="s">
        <v>269</v>
      </c>
      <c r="AF961" t="s">
        <v>269</v>
      </c>
      <c r="AG961">
        <v>940370</v>
      </c>
      <c r="AH961">
        <v>70</v>
      </c>
      <c r="DP961" t="s">
        <v>3628</v>
      </c>
    </row>
    <row r="962" spans="1:120" x14ac:dyDescent="0.25">
      <c r="A962" t="s">
        <v>4233</v>
      </c>
      <c r="B962" t="e">
        <f>_xlfn.XLOOKUP(C962,'[1]Image URL'!$E:$E,'[1]Image URL'!$A:$A)</f>
        <v>#N/A</v>
      </c>
      <c r="C962" t="s">
        <v>4739</v>
      </c>
      <c r="D962" t="s">
        <v>4235</v>
      </c>
      <c r="E962" t="s">
        <v>4236</v>
      </c>
      <c r="F962" t="s">
        <v>193</v>
      </c>
      <c r="G962" t="s">
        <v>193</v>
      </c>
      <c r="H962" t="s">
        <v>340</v>
      </c>
      <c r="J962" t="s">
        <v>212</v>
      </c>
      <c r="U962" t="s">
        <v>584</v>
      </c>
      <c r="V962" t="s">
        <v>3290</v>
      </c>
      <c r="W962">
        <v>77838886243</v>
      </c>
      <c r="X962">
        <v>10077838886240</v>
      </c>
      <c r="Y962" t="s">
        <v>971</v>
      </c>
      <c r="Z962" t="s">
        <v>4237</v>
      </c>
      <c r="AA962" t="s">
        <v>332</v>
      </c>
      <c r="AB962" t="s">
        <v>288</v>
      </c>
      <c r="AC962" t="s">
        <v>193</v>
      </c>
      <c r="AD962" t="s">
        <v>301</v>
      </c>
      <c r="AE962" t="s">
        <v>184</v>
      </c>
      <c r="AF962" t="s">
        <v>164</v>
      </c>
      <c r="AG962">
        <v>830990.0085</v>
      </c>
      <c r="AH962">
        <v>85</v>
      </c>
      <c r="AL962" t="s">
        <v>4238</v>
      </c>
    </row>
    <row r="963" spans="1:120" x14ac:dyDescent="0.25">
      <c r="A963" t="s">
        <v>4239</v>
      </c>
      <c r="B963" t="e">
        <f>_xlfn.XLOOKUP(C963,'[1]Image URL'!$E:$E,'[1]Image URL'!$A:$A)</f>
        <v>#N/A</v>
      </c>
      <c r="C963" t="s">
        <v>4742</v>
      </c>
      <c r="D963" t="s">
        <v>4241</v>
      </c>
      <c r="E963" t="s">
        <v>4236</v>
      </c>
      <c r="F963" t="s">
        <v>193</v>
      </c>
      <c r="G963" t="s">
        <v>193</v>
      </c>
      <c r="H963" t="s">
        <v>340</v>
      </c>
      <c r="J963" t="s">
        <v>212</v>
      </c>
      <c r="U963" t="s">
        <v>584</v>
      </c>
      <c r="V963" t="s">
        <v>3290</v>
      </c>
      <c r="W963">
        <v>77838224236</v>
      </c>
      <c r="X963">
        <v>10077838124236</v>
      </c>
      <c r="Y963" t="s">
        <v>971</v>
      </c>
      <c r="Z963" t="s">
        <v>4237</v>
      </c>
      <c r="AA963" t="s">
        <v>332</v>
      </c>
      <c r="AB963" t="s">
        <v>288</v>
      </c>
      <c r="AC963" t="s">
        <v>193</v>
      </c>
      <c r="AD963" t="s">
        <v>301</v>
      </c>
      <c r="AE963" t="s">
        <v>184</v>
      </c>
      <c r="AF963" t="s">
        <v>164</v>
      </c>
      <c r="AG963">
        <v>830990.0085</v>
      </c>
      <c r="AH963">
        <v>85</v>
      </c>
      <c r="AL963" t="s">
        <v>4238</v>
      </c>
    </row>
    <row r="964" spans="1:120" x14ac:dyDescent="0.25">
      <c r="A964" t="s">
        <v>4242</v>
      </c>
      <c r="B964" t="e">
        <f>_xlfn.XLOOKUP(C964,'[1]Image URL'!$E:$E,'[1]Image URL'!$A:$A)</f>
        <v>#N/A</v>
      </c>
      <c r="C964">
        <v>4398835</v>
      </c>
      <c r="D964" t="s">
        <v>3057</v>
      </c>
      <c r="E964" t="s">
        <v>2878</v>
      </c>
      <c r="F964" t="s">
        <v>2211</v>
      </c>
      <c r="G964" t="s">
        <v>2211</v>
      </c>
      <c r="H964" t="s">
        <v>200</v>
      </c>
      <c r="I964" t="s">
        <v>194</v>
      </c>
      <c r="J964" t="s">
        <v>195</v>
      </c>
      <c r="M964" t="s">
        <v>2017</v>
      </c>
      <c r="T964" t="s">
        <v>1717</v>
      </c>
      <c r="U964" t="s">
        <v>2854</v>
      </c>
      <c r="V964" t="s">
        <v>1385</v>
      </c>
      <c r="W964">
        <v>77838871423</v>
      </c>
      <c r="X964">
        <v>10077838871420</v>
      </c>
      <c r="Y964" t="s">
        <v>3042</v>
      </c>
      <c r="Z964" t="s">
        <v>1643</v>
      </c>
      <c r="AA964" t="s">
        <v>466</v>
      </c>
      <c r="AB964" t="s">
        <v>221</v>
      </c>
      <c r="AC964" t="s">
        <v>599</v>
      </c>
      <c r="AD964" t="s">
        <v>234</v>
      </c>
      <c r="AE964" t="s">
        <v>163</v>
      </c>
      <c r="AF964" t="s">
        <v>235</v>
      </c>
      <c r="AG964">
        <v>392410.4</v>
      </c>
      <c r="AH964">
        <v>125</v>
      </c>
      <c r="AL964" t="s">
        <v>2783</v>
      </c>
      <c r="AN964" t="s">
        <v>2211</v>
      </c>
    </row>
    <row r="965" spans="1:120" x14ac:dyDescent="0.25">
      <c r="A965" t="s">
        <v>4243</v>
      </c>
      <c r="B965" t="e">
        <f>_xlfn.XLOOKUP(C965,'[1]Image URL'!$E:$E,'[1]Image URL'!$A:$A)</f>
        <v>#N/A</v>
      </c>
      <c r="C965" t="s">
        <v>4747</v>
      </c>
      <c r="D965" t="s">
        <v>4245</v>
      </c>
      <c r="E965" t="s">
        <v>4216</v>
      </c>
      <c r="I965" t="s">
        <v>147</v>
      </c>
      <c r="J965" t="s">
        <v>280</v>
      </c>
      <c r="U965" t="s">
        <v>281</v>
      </c>
      <c r="V965" t="s">
        <v>157</v>
      </c>
      <c r="W965">
        <v>77838515945</v>
      </c>
      <c r="X965">
        <v>10077838015947</v>
      </c>
      <c r="Y965" t="s">
        <v>3277</v>
      </c>
      <c r="Z965" t="s">
        <v>693</v>
      </c>
      <c r="AA965" t="s">
        <v>1860</v>
      </c>
      <c r="AB965" t="s">
        <v>1632</v>
      </c>
      <c r="AC965" t="s">
        <v>1451</v>
      </c>
      <c r="AD965" t="s">
        <v>3054</v>
      </c>
      <c r="AE965" t="s">
        <v>403</v>
      </c>
      <c r="AF965" t="s">
        <v>164</v>
      </c>
      <c r="AG965">
        <v>392330.00900000002</v>
      </c>
      <c r="AH965">
        <v>175</v>
      </c>
      <c r="AM965" t="s">
        <v>1461</v>
      </c>
      <c r="BB965" t="s">
        <v>4217</v>
      </c>
      <c r="BW965" t="s">
        <v>664</v>
      </c>
      <c r="DO965" t="s">
        <v>4218</v>
      </c>
    </row>
    <row r="966" spans="1:120" x14ac:dyDescent="0.25">
      <c r="A966" t="s">
        <v>4246</v>
      </c>
      <c r="B966" t="e">
        <f>_xlfn.XLOOKUP(C966,'[1]Image URL'!$E:$E,'[1]Image URL'!$A:$A)</f>
        <v>#N/A</v>
      </c>
      <c r="C966" t="s">
        <v>4753</v>
      </c>
      <c r="D966" t="s">
        <v>4248</v>
      </c>
      <c r="E966" t="s">
        <v>4249</v>
      </c>
      <c r="H966" t="s">
        <v>1650</v>
      </c>
      <c r="I966" t="s">
        <v>147</v>
      </c>
      <c r="J966" t="s">
        <v>280</v>
      </c>
      <c r="U966" t="s">
        <v>281</v>
      </c>
      <c r="V966" t="s">
        <v>157</v>
      </c>
      <c r="W966">
        <v>77838204122</v>
      </c>
      <c r="X966">
        <v>10077838004125</v>
      </c>
      <c r="Y966" t="s">
        <v>1766</v>
      </c>
      <c r="Z966" t="s">
        <v>393</v>
      </c>
      <c r="AA966" t="s">
        <v>332</v>
      </c>
      <c r="AB966" t="s">
        <v>463</v>
      </c>
      <c r="AC966" t="s">
        <v>345</v>
      </c>
      <c r="AD966" t="s">
        <v>4250</v>
      </c>
      <c r="AE966" t="s">
        <v>426</v>
      </c>
      <c r="AF966" t="s">
        <v>349</v>
      </c>
      <c r="AG966">
        <v>392350</v>
      </c>
      <c r="AH966">
        <v>300</v>
      </c>
      <c r="AN966" t="s">
        <v>664</v>
      </c>
    </row>
    <row r="967" spans="1:120" x14ac:dyDescent="0.25">
      <c r="A967" t="s">
        <v>4251</v>
      </c>
      <c r="B967" t="e">
        <f>_xlfn.XLOOKUP(C967,'[1]Image URL'!$E:$E,'[1]Image URL'!$A:$A)</f>
        <v>#N/A</v>
      </c>
      <c r="C967">
        <v>4398005</v>
      </c>
      <c r="D967" t="s">
        <v>4253</v>
      </c>
      <c r="E967" t="s">
        <v>4254</v>
      </c>
      <c r="F967" t="s">
        <v>664</v>
      </c>
      <c r="G967" t="s">
        <v>664</v>
      </c>
      <c r="I967" t="s">
        <v>147</v>
      </c>
      <c r="J967" t="s">
        <v>280</v>
      </c>
      <c r="U967" t="s">
        <v>281</v>
      </c>
      <c r="V967" t="s">
        <v>157</v>
      </c>
      <c r="W967">
        <v>77838204436</v>
      </c>
      <c r="X967">
        <v>10077838004439</v>
      </c>
      <c r="Y967" t="s">
        <v>3345</v>
      </c>
      <c r="Z967" t="s">
        <v>1460</v>
      </c>
      <c r="AA967" t="s">
        <v>2874</v>
      </c>
      <c r="AB967" t="s">
        <v>1921</v>
      </c>
      <c r="AC967" t="s">
        <v>859</v>
      </c>
      <c r="AD967" t="s">
        <v>3054</v>
      </c>
      <c r="AE967" t="s">
        <v>403</v>
      </c>
      <c r="AF967" t="s">
        <v>164</v>
      </c>
      <c r="AG967">
        <v>392330.00900000002</v>
      </c>
      <c r="AH967">
        <v>250</v>
      </c>
      <c r="AL967" t="s">
        <v>1477</v>
      </c>
      <c r="AM967" t="s">
        <v>1461</v>
      </c>
      <c r="BB967" t="s">
        <v>1447</v>
      </c>
      <c r="BW967" t="s">
        <v>664</v>
      </c>
      <c r="DO967" t="s">
        <v>4218</v>
      </c>
    </row>
    <row r="968" spans="1:120" x14ac:dyDescent="0.25">
      <c r="A968" t="s">
        <v>4255</v>
      </c>
      <c r="B968" t="e">
        <f>_xlfn.XLOOKUP(C968,'[1]Image URL'!$E:$E,'[1]Image URL'!$A:$A)</f>
        <v>#N/A</v>
      </c>
      <c r="C968" t="s">
        <v>4758</v>
      </c>
      <c r="D968" t="s">
        <v>4256</v>
      </c>
      <c r="E968" t="s">
        <v>4224</v>
      </c>
      <c r="F968" t="s">
        <v>4225</v>
      </c>
      <c r="G968" t="s">
        <v>916</v>
      </c>
      <c r="H968" t="s">
        <v>4226</v>
      </c>
      <c r="I968" t="s">
        <v>194</v>
      </c>
      <c r="J968" t="s">
        <v>212</v>
      </c>
      <c r="U968" t="s">
        <v>4227</v>
      </c>
      <c r="V968" t="s">
        <v>282</v>
      </c>
      <c r="W968">
        <v>77838157992</v>
      </c>
      <c r="X968">
        <v>10077838157999</v>
      </c>
      <c r="Y968" t="s">
        <v>4228</v>
      </c>
      <c r="Z968" t="s">
        <v>4229</v>
      </c>
      <c r="AA968" t="s">
        <v>4230</v>
      </c>
      <c r="AB968" t="s">
        <v>4231</v>
      </c>
      <c r="AC968" t="s">
        <v>4232</v>
      </c>
      <c r="AD968" t="s">
        <v>269</v>
      </c>
      <c r="AE968" t="s">
        <v>269</v>
      </c>
      <c r="AF968" t="s">
        <v>269</v>
      </c>
      <c r="AG968">
        <v>940370.4031</v>
      </c>
      <c r="AH968">
        <v>70</v>
      </c>
      <c r="DP968" t="s">
        <v>3628</v>
      </c>
    </row>
    <row r="969" spans="1:120" x14ac:dyDescent="0.25">
      <c r="A969" t="s">
        <v>4257</v>
      </c>
      <c r="B969" t="e">
        <f>_xlfn.XLOOKUP(C969,'[1]Image URL'!$E:$E,'[1]Image URL'!$A:$A)</f>
        <v>#N/A</v>
      </c>
      <c r="C969" t="s">
        <v>4761</v>
      </c>
      <c r="D969" t="s">
        <v>2950</v>
      </c>
      <c r="E969" t="s">
        <v>2878</v>
      </c>
      <c r="F969" t="s">
        <v>1570</v>
      </c>
      <c r="G969" t="s">
        <v>394</v>
      </c>
      <c r="H969" t="s">
        <v>462</v>
      </c>
      <c r="I969" t="s">
        <v>194</v>
      </c>
      <c r="J969" t="s">
        <v>195</v>
      </c>
      <c r="M969" t="s">
        <v>2951</v>
      </c>
      <c r="T969" t="s">
        <v>216</v>
      </c>
      <c r="U969" t="s">
        <v>2854</v>
      </c>
      <c r="V969" t="s">
        <v>1385</v>
      </c>
      <c r="W969">
        <v>77838871508</v>
      </c>
      <c r="X969">
        <v>10077838871505</v>
      </c>
      <c r="Y969" t="s">
        <v>178</v>
      </c>
      <c r="Z969" t="s">
        <v>2952</v>
      </c>
      <c r="AA969" t="s">
        <v>421</v>
      </c>
      <c r="AB969" t="s">
        <v>1932</v>
      </c>
      <c r="AC969" t="s">
        <v>859</v>
      </c>
      <c r="AD969" t="s">
        <v>301</v>
      </c>
      <c r="AE969" t="s">
        <v>184</v>
      </c>
      <c r="AF969" t="s">
        <v>164</v>
      </c>
      <c r="AG969">
        <v>392410.4</v>
      </c>
      <c r="AH969">
        <v>125</v>
      </c>
      <c r="AL969" t="s">
        <v>2953</v>
      </c>
      <c r="AN969" t="s">
        <v>223</v>
      </c>
    </row>
    <row r="970" spans="1:120" x14ac:dyDescent="0.25">
      <c r="A970" t="s">
        <v>4258</v>
      </c>
      <c r="B970" t="e">
        <f>_xlfn.XLOOKUP(C970,'[1]Image URL'!$E:$E,'[1]Image URL'!$A:$A)</f>
        <v>#N/A</v>
      </c>
      <c r="C970">
        <v>4398887</v>
      </c>
      <c r="D970" t="s">
        <v>4260</v>
      </c>
      <c r="E970" t="s">
        <v>4261</v>
      </c>
      <c r="F970" t="s">
        <v>2914</v>
      </c>
      <c r="G970" t="s">
        <v>2914</v>
      </c>
      <c r="I970" t="s">
        <v>147</v>
      </c>
      <c r="J970" t="s">
        <v>280</v>
      </c>
      <c r="U970" t="s">
        <v>281</v>
      </c>
      <c r="V970" t="s">
        <v>157</v>
      </c>
      <c r="W970">
        <v>77838504468</v>
      </c>
      <c r="X970">
        <v>10077838004460</v>
      </c>
      <c r="Y970" t="s">
        <v>1439</v>
      </c>
      <c r="Z970" t="s">
        <v>2952</v>
      </c>
      <c r="AA970" t="s">
        <v>506</v>
      </c>
      <c r="AB970" t="s">
        <v>882</v>
      </c>
      <c r="AC970" t="s">
        <v>536</v>
      </c>
      <c r="AD970" t="s">
        <v>301</v>
      </c>
      <c r="AE970" t="s">
        <v>184</v>
      </c>
      <c r="AF970" t="s">
        <v>164</v>
      </c>
      <c r="AG970">
        <v>392330.00900000002</v>
      </c>
      <c r="AH970">
        <v>250</v>
      </c>
      <c r="AL970" t="s">
        <v>1653</v>
      </c>
      <c r="AM970" t="s">
        <v>216</v>
      </c>
      <c r="BB970" t="s">
        <v>772</v>
      </c>
      <c r="BW970" t="s">
        <v>2914</v>
      </c>
      <c r="DO970" t="s">
        <v>4218</v>
      </c>
    </row>
    <row r="971" spans="1:120" x14ac:dyDescent="0.25">
      <c r="A971" t="s">
        <v>4262</v>
      </c>
      <c r="B971" t="e">
        <f>_xlfn.XLOOKUP(C971,'[1]Image URL'!$E:$E,'[1]Image URL'!$A:$A)</f>
        <v>#N/A</v>
      </c>
      <c r="C971" t="s">
        <v>4767</v>
      </c>
      <c r="D971" t="s">
        <v>4264</v>
      </c>
      <c r="E971" t="s">
        <v>4216</v>
      </c>
      <c r="I971" t="s">
        <v>147</v>
      </c>
      <c r="J971" t="s">
        <v>280</v>
      </c>
      <c r="U971" t="s">
        <v>281</v>
      </c>
      <c r="V971" t="s">
        <v>157</v>
      </c>
      <c r="W971">
        <v>77838515952</v>
      </c>
      <c r="X971">
        <v>10077838015954</v>
      </c>
      <c r="Y971" t="s">
        <v>3277</v>
      </c>
      <c r="Z971" t="s">
        <v>693</v>
      </c>
      <c r="AA971" t="s">
        <v>1860</v>
      </c>
      <c r="AB971" t="s">
        <v>1632</v>
      </c>
      <c r="AC971" t="s">
        <v>1451</v>
      </c>
      <c r="AD971" t="s">
        <v>3054</v>
      </c>
      <c r="AE971" t="s">
        <v>403</v>
      </c>
      <c r="AF971" t="s">
        <v>164</v>
      </c>
      <c r="AG971">
        <v>392330.00900000002</v>
      </c>
      <c r="AH971">
        <v>175</v>
      </c>
      <c r="AM971" t="s">
        <v>1461</v>
      </c>
      <c r="BB971" t="s">
        <v>4217</v>
      </c>
      <c r="BW971" t="s">
        <v>664</v>
      </c>
      <c r="DO971" t="s">
        <v>4218</v>
      </c>
    </row>
    <row r="972" spans="1:120" x14ac:dyDescent="0.25">
      <c r="A972" t="s">
        <v>4265</v>
      </c>
      <c r="B972" t="e">
        <f>_xlfn.XLOOKUP(C972,'[1]Image URL'!$E:$E,'[1]Image URL'!$A:$A)</f>
        <v>#N/A</v>
      </c>
      <c r="C972" t="s">
        <v>4778</v>
      </c>
      <c r="D972" t="s">
        <v>4267</v>
      </c>
      <c r="E972" t="s">
        <v>4268</v>
      </c>
      <c r="H972" t="s">
        <v>1650</v>
      </c>
      <c r="I972" t="s">
        <v>147</v>
      </c>
      <c r="J972" t="s">
        <v>280</v>
      </c>
      <c r="U972" t="s">
        <v>281</v>
      </c>
      <c r="V972" t="s">
        <v>157</v>
      </c>
      <c r="W972">
        <v>77838204207</v>
      </c>
      <c r="X972">
        <v>10077838004200</v>
      </c>
      <c r="Y972" t="s">
        <v>1766</v>
      </c>
      <c r="Z972" t="s">
        <v>393</v>
      </c>
      <c r="AA972" t="s">
        <v>373</v>
      </c>
      <c r="AB972" t="s">
        <v>463</v>
      </c>
      <c r="AC972" t="s">
        <v>2758</v>
      </c>
      <c r="AD972" t="s">
        <v>4269</v>
      </c>
      <c r="AE972" t="s">
        <v>1942</v>
      </c>
      <c r="AF972" t="s">
        <v>403</v>
      </c>
      <c r="AG972">
        <v>392350</v>
      </c>
      <c r="AH972">
        <v>125</v>
      </c>
      <c r="AN972" t="s">
        <v>664</v>
      </c>
    </row>
    <row r="973" spans="1:120" x14ac:dyDescent="0.25">
      <c r="A973" t="s">
        <v>4270</v>
      </c>
      <c r="B973" t="e">
        <f>_xlfn.XLOOKUP(C973,'[1]Image URL'!$E:$E,'[1]Image URL'!$A:$A)</f>
        <v>#N/A</v>
      </c>
      <c r="C973" t="s">
        <v>4781</v>
      </c>
      <c r="D973" t="s">
        <v>4272</v>
      </c>
      <c r="E973" t="s">
        <v>4273</v>
      </c>
      <c r="F973" t="s">
        <v>3962</v>
      </c>
      <c r="H973" t="s">
        <v>1389</v>
      </c>
      <c r="I973" t="s">
        <v>147</v>
      </c>
      <c r="J973" t="s">
        <v>212</v>
      </c>
      <c r="U973" t="s">
        <v>262</v>
      </c>
      <c r="V973" t="s">
        <v>1385</v>
      </c>
      <c r="W973">
        <v>77838566879</v>
      </c>
      <c r="X973">
        <v>10077838066871</v>
      </c>
      <c r="Y973" t="s">
        <v>4274</v>
      </c>
      <c r="Z973" t="s">
        <v>4275</v>
      </c>
      <c r="AA973" t="s">
        <v>817</v>
      </c>
      <c r="AB973" t="s">
        <v>1541</v>
      </c>
      <c r="AC973" t="s">
        <v>472</v>
      </c>
      <c r="AD973" t="s">
        <v>1942</v>
      </c>
      <c r="AE973" t="s">
        <v>315</v>
      </c>
      <c r="AF973" t="s">
        <v>164</v>
      </c>
      <c r="AG973">
        <v>392410.4</v>
      </c>
      <c r="AH973">
        <v>85</v>
      </c>
      <c r="AN973" t="s">
        <v>145</v>
      </c>
      <c r="AS973" t="s">
        <v>262</v>
      </c>
    </row>
    <row r="974" spans="1:120" x14ac:dyDescent="0.25">
      <c r="A974" t="s">
        <v>4276</v>
      </c>
      <c r="B974" t="e">
        <f>_xlfn.XLOOKUP(C974,'[1]Image URL'!$E:$E,'[1]Image URL'!$A:$A)</f>
        <v>#N/A</v>
      </c>
      <c r="C974" t="s">
        <v>4784</v>
      </c>
      <c r="D974" t="s">
        <v>4278</v>
      </c>
      <c r="E974" t="s">
        <v>4249</v>
      </c>
      <c r="H974" t="s">
        <v>1650</v>
      </c>
      <c r="I974" t="s">
        <v>147</v>
      </c>
      <c r="J974" t="s">
        <v>280</v>
      </c>
      <c r="U974" t="s">
        <v>281</v>
      </c>
      <c r="V974" t="s">
        <v>157</v>
      </c>
      <c r="W974">
        <v>77838204115</v>
      </c>
      <c r="X974">
        <v>10077838004118</v>
      </c>
      <c r="Y974" t="s">
        <v>1766</v>
      </c>
      <c r="Z974" t="s">
        <v>393</v>
      </c>
      <c r="AA974" t="s">
        <v>332</v>
      </c>
      <c r="AB974" t="s">
        <v>463</v>
      </c>
      <c r="AC974" t="s">
        <v>345</v>
      </c>
      <c r="AD974" t="s">
        <v>4250</v>
      </c>
      <c r="AE974" t="s">
        <v>426</v>
      </c>
      <c r="AF974" t="s">
        <v>349</v>
      </c>
      <c r="AG974">
        <v>392350</v>
      </c>
      <c r="AH974">
        <v>300</v>
      </c>
      <c r="AN974" t="s">
        <v>664</v>
      </c>
    </row>
    <row r="975" spans="1:120" x14ac:dyDescent="0.25">
      <c r="A975" t="s">
        <v>4279</v>
      </c>
      <c r="B975" t="e">
        <f>_xlfn.XLOOKUP(C975,'[1]Image URL'!$E:$E,'[1]Image URL'!$A:$A)</f>
        <v>#N/A</v>
      </c>
      <c r="C975" t="s">
        <v>4787</v>
      </c>
      <c r="D975" t="s">
        <v>1453</v>
      </c>
      <c r="E975" t="s">
        <v>4281</v>
      </c>
      <c r="I975" t="s">
        <v>147</v>
      </c>
      <c r="J975" t="s">
        <v>280</v>
      </c>
      <c r="U975" t="s">
        <v>281</v>
      </c>
      <c r="V975" t="s">
        <v>157</v>
      </c>
      <c r="W975">
        <v>77838204498</v>
      </c>
      <c r="X975">
        <v>10077838004491</v>
      </c>
      <c r="Y975" t="s">
        <v>4282</v>
      </c>
      <c r="Z975" t="s">
        <v>1294</v>
      </c>
      <c r="AA975" t="s">
        <v>2257</v>
      </c>
      <c r="AB975" t="s">
        <v>192</v>
      </c>
      <c r="AC975" t="s">
        <v>472</v>
      </c>
      <c r="AD975" t="s">
        <v>1390</v>
      </c>
      <c r="AE975" t="s">
        <v>314</v>
      </c>
      <c r="AF975" t="s">
        <v>235</v>
      </c>
      <c r="AG975">
        <v>392330.00900000002</v>
      </c>
      <c r="AH975">
        <v>250</v>
      </c>
      <c r="AM975" t="s">
        <v>1528</v>
      </c>
      <c r="BB975" t="s">
        <v>4283</v>
      </c>
      <c r="BW975" t="s">
        <v>154</v>
      </c>
      <c r="DO975" t="s">
        <v>4284</v>
      </c>
    </row>
    <row r="976" spans="1:120" x14ac:dyDescent="0.25">
      <c r="A976" t="s">
        <v>4285</v>
      </c>
      <c r="B976" t="e">
        <f>_xlfn.XLOOKUP(C976,'[1]Image URL'!$E:$E,'[1]Image URL'!$A:$A)</f>
        <v>#N/A</v>
      </c>
      <c r="C976" t="s">
        <v>4790</v>
      </c>
      <c r="D976" t="s">
        <v>3041</v>
      </c>
      <c r="E976" t="s">
        <v>2878</v>
      </c>
      <c r="F976" t="s">
        <v>2211</v>
      </c>
      <c r="G976" t="s">
        <v>2211</v>
      </c>
      <c r="H976" t="s">
        <v>200</v>
      </c>
      <c r="I976" t="s">
        <v>194</v>
      </c>
      <c r="J976" t="s">
        <v>195</v>
      </c>
      <c r="M976" t="s">
        <v>2017</v>
      </c>
      <c r="T976" t="s">
        <v>1717</v>
      </c>
      <c r="U976" t="s">
        <v>2854</v>
      </c>
      <c r="V976" t="s">
        <v>1385</v>
      </c>
      <c r="W976">
        <v>77838871416</v>
      </c>
      <c r="X976">
        <v>10077838871413</v>
      </c>
      <c r="Y976" t="s">
        <v>3042</v>
      </c>
      <c r="Z976" t="s">
        <v>1643</v>
      </c>
      <c r="AA976" t="s">
        <v>466</v>
      </c>
      <c r="AB976" t="s">
        <v>221</v>
      </c>
      <c r="AC976" t="s">
        <v>599</v>
      </c>
      <c r="AD976" t="s">
        <v>234</v>
      </c>
      <c r="AE976" t="s">
        <v>163</v>
      </c>
      <c r="AF976" t="s">
        <v>235</v>
      </c>
      <c r="AG976">
        <v>392410.4</v>
      </c>
      <c r="AH976">
        <v>125</v>
      </c>
      <c r="AL976" t="s">
        <v>2783</v>
      </c>
      <c r="AN976" t="s">
        <v>2211</v>
      </c>
    </row>
    <row r="977" spans="1:120" x14ac:dyDescent="0.25">
      <c r="A977" t="s">
        <v>4286</v>
      </c>
      <c r="B977" t="e">
        <f>_xlfn.XLOOKUP(C977,'[1]Image URL'!$E:$E,'[1]Image URL'!$A:$A)</f>
        <v>#N/A</v>
      </c>
      <c r="C977" t="s">
        <v>4793</v>
      </c>
      <c r="D977" t="s">
        <v>4288</v>
      </c>
      <c r="E977" t="s">
        <v>4216</v>
      </c>
      <c r="I977" t="s">
        <v>147</v>
      </c>
      <c r="J977" t="s">
        <v>280</v>
      </c>
      <c r="U977" t="s">
        <v>281</v>
      </c>
      <c r="V977" t="s">
        <v>157</v>
      </c>
      <c r="W977">
        <v>77838504413</v>
      </c>
      <c r="X977">
        <v>10077838004415</v>
      </c>
      <c r="Y977" t="s">
        <v>3277</v>
      </c>
      <c r="Z977" t="s">
        <v>693</v>
      </c>
      <c r="AA977" t="s">
        <v>1860</v>
      </c>
      <c r="AB977" t="s">
        <v>1632</v>
      </c>
      <c r="AC977" t="s">
        <v>1451</v>
      </c>
      <c r="AD977" t="s">
        <v>3054</v>
      </c>
      <c r="AE977" t="s">
        <v>403</v>
      </c>
      <c r="AF977" t="s">
        <v>164</v>
      </c>
      <c r="AG977">
        <v>392330.00900000002</v>
      </c>
      <c r="AH977">
        <v>175</v>
      </c>
      <c r="AM977" t="s">
        <v>1461</v>
      </c>
      <c r="BB977" t="s">
        <v>4217</v>
      </c>
      <c r="BW977" t="s">
        <v>664</v>
      </c>
      <c r="DO977" t="s">
        <v>4218</v>
      </c>
    </row>
    <row r="978" spans="1:120" x14ac:dyDescent="0.25">
      <c r="A978" t="s">
        <v>4289</v>
      </c>
      <c r="B978" t="e">
        <f>_xlfn.XLOOKUP(C978,'[1]Image URL'!$E:$E,'[1]Image URL'!$A:$A)</f>
        <v>#N/A</v>
      </c>
      <c r="C978" t="s">
        <v>4798</v>
      </c>
      <c r="D978" t="s">
        <v>4291</v>
      </c>
      <c r="E978" t="s">
        <v>4249</v>
      </c>
      <c r="H978" t="s">
        <v>1650</v>
      </c>
      <c r="I978" t="s">
        <v>147</v>
      </c>
      <c r="J978" t="s">
        <v>280</v>
      </c>
      <c r="U978" t="s">
        <v>281</v>
      </c>
      <c r="V978" t="s">
        <v>157</v>
      </c>
      <c r="W978">
        <v>77838004081</v>
      </c>
      <c r="X978">
        <v>10077838004088</v>
      </c>
      <c r="Y978" t="s">
        <v>1766</v>
      </c>
      <c r="Z978" t="s">
        <v>393</v>
      </c>
      <c r="AA978" t="s">
        <v>332</v>
      </c>
      <c r="AB978" t="s">
        <v>463</v>
      </c>
      <c r="AC978" t="s">
        <v>345</v>
      </c>
      <c r="AD978" t="s">
        <v>4250</v>
      </c>
      <c r="AE978" t="s">
        <v>426</v>
      </c>
      <c r="AF978" t="s">
        <v>349</v>
      </c>
      <c r="AG978">
        <v>392350</v>
      </c>
      <c r="AH978">
        <v>300</v>
      </c>
      <c r="AN978" t="s">
        <v>664</v>
      </c>
    </row>
    <row r="979" spans="1:120" x14ac:dyDescent="0.25">
      <c r="A979" t="s">
        <v>4292</v>
      </c>
      <c r="B979" t="e">
        <f>_xlfn.XLOOKUP(C979,'[1]Image URL'!$E:$E,'[1]Image URL'!$A:$A)</f>
        <v>#N/A</v>
      </c>
      <c r="C979" t="s">
        <v>4801</v>
      </c>
      <c r="D979" t="s">
        <v>4294</v>
      </c>
      <c r="E979" t="s">
        <v>4249</v>
      </c>
      <c r="H979" t="s">
        <v>1650</v>
      </c>
      <c r="I979" t="s">
        <v>147</v>
      </c>
      <c r="J979" t="s">
        <v>280</v>
      </c>
      <c r="U979" t="s">
        <v>281</v>
      </c>
      <c r="V979" t="s">
        <v>157</v>
      </c>
      <c r="W979">
        <v>77838204108</v>
      </c>
      <c r="X979">
        <v>10077838004101</v>
      </c>
      <c r="Y979" t="s">
        <v>1766</v>
      </c>
      <c r="Z979" t="s">
        <v>393</v>
      </c>
      <c r="AA979" t="s">
        <v>332</v>
      </c>
      <c r="AB979" t="s">
        <v>463</v>
      </c>
      <c r="AC979" t="s">
        <v>345</v>
      </c>
      <c r="AD979" t="s">
        <v>4250</v>
      </c>
      <c r="AE979" t="s">
        <v>426</v>
      </c>
      <c r="AF979" t="s">
        <v>349</v>
      </c>
      <c r="AG979">
        <v>392350</v>
      </c>
      <c r="AH979">
        <v>300</v>
      </c>
      <c r="AN979" t="s">
        <v>664</v>
      </c>
    </row>
    <row r="980" spans="1:120" x14ac:dyDescent="0.25">
      <c r="A980" t="s">
        <v>4295</v>
      </c>
      <c r="B980" t="e">
        <f>_xlfn.XLOOKUP(C980,'[1]Image URL'!$E:$E,'[1]Image URL'!$A:$A)</f>
        <v>#N/A</v>
      </c>
      <c r="C980" t="s">
        <v>4805</v>
      </c>
      <c r="D980" t="s">
        <v>2956</v>
      </c>
      <c r="E980" t="s">
        <v>2878</v>
      </c>
      <c r="F980" t="s">
        <v>1570</v>
      </c>
      <c r="G980" t="s">
        <v>394</v>
      </c>
      <c r="H980" t="s">
        <v>462</v>
      </c>
      <c r="I980" t="s">
        <v>194</v>
      </c>
      <c r="J980" t="s">
        <v>195</v>
      </c>
      <c r="M980" t="s">
        <v>2951</v>
      </c>
      <c r="T980" t="s">
        <v>216</v>
      </c>
      <c r="U980" t="s">
        <v>2854</v>
      </c>
      <c r="V980" t="s">
        <v>1385</v>
      </c>
      <c r="W980">
        <v>77838871522</v>
      </c>
      <c r="X980">
        <v>10077838871529</v>
      </c>
      <c r="Y980" t="s">
        <v>178</v>
      </c>
      <c r="Z980" t="s">
        <v>2952</v>
      </c>
      <c r="AA980" t="s">
        <v>421</v>
      </c>
      <c r="AB980" t="s">
        <v>1932</v>
      </c>
      <c r="AC980" t="s">
        <v>859</v>
      </c>
      <c r="AD980" t="s">
        <v>301</v>
      </c>
      <c r="AE980" t="s">
        <v>184</v>
      </c>
      <c r="AF980" t="s">
        <v>164</v>
      </c>
      <c r="AG980">
        <v>392410.4</v>
      </c>
      <c r="AH980">
        <v>125</v>
      </c>
      <c r="AL980" t="s">
        <v>2953</v>
      </c>
      <c r="AN980" t="s">
        <v>223</v>
      </c>
    </row>
    <row r="981" spans="1:120" x14ac:dyDescent="0.25">
      <c r="A981" t="s">
        <v>4296</v>
      </c>
      <c r="B981" t="e">
        <f>_xlfn.XLOOKUP(C981,'[1]Image URL'!$E:$E,'[1]Image URL'!$A:$A)</f>
        <v>#N/A</v>
      </c>
      <c r="C981" t="s">
        <v>4808</v>
      </c>
      <c r="D981" t="s">
        <v>4298</v>
      </c>
      <c r="E981" t="s">
        <v>4299</v>
      </c>
      <c r="I981" t="s">
        <v>147</v>
      </c>
      <c r="J981" t="s">
        <v>280</v>
      </c>
      <c r="U981" t="s">
        <v>281</v>
      </c>
      <c r="V981" t="s">
        <v>157</v>
      </c>
      <c r="W981">
        <v>77838228081</v>
      </c>
      <c r="X981">
        <v>10077838028084</v>
      </c>
      <c r="Y981" t="s">
        <v>218</v>
      </c>
      <c r="Z981" t="s">
        <v>2952</v>
      </c>
      <c r="AA981" t="s">
        <v>506</v>
      </c>
      <c r="AB981" t="s">
        <v>578</v>
      </c>
      <c r="AC981" t="s">
        <v>2072</v>
      </c>
      <c r="AD981" t="s">
        <v>301</v>
      </c>
      <c r="AE981" t="s">
        <v>184</v>
      </c>
      <c r="AF981" t="s">
        <v>164</v>
      </c>
      <c r="AG981">
        <v>392330.00900000002</v>
      </c>
      <c r="AH981">
        <v>250</v>
      </c>
      <c r="AM981" t="s">
        <v>1528</v>
      </c>
      <c r="BB981" t="s">
        <v>4300</v>
      </c>
      <c r="BW981" t="s">
        <v>154</v>
      </c>
      <c r="DO981" t="s">
        <v>4284</v>
      </c>
    </row>
    <row r="982" spans="1:120" x14ac:dyDescent="0.25">
      <c r="A982" t="s">
        <v>4301</v>
      </c>
      <c r="B982" t="e">
        <f>_xlfn.XLOOKUP(C982,'[1]Image URL'!$E:$E,'[1]Image URL'!$A:$A)</f>
        <v>#N/A</v>
      </c>
      <c r="C982" t="s">
        <v>4816</v>
      </c>
      <c r="D982" t="s">
        <v>4303</v>
      </c>
      <c r="E982" t="s">
        <v>4304</v>
      </c>
      <c r="F982" t="s">
        <v>3962</v>
      </c>
      <c r="H982" t="s">
        <v>1389</v>
      </c>
      <c r="U982" t="s">
        <v>156</v>
      </c>
      <c r="V982" t="s">
        <v>1385</v>
      </c>
      <c r="W982">
        <v>77838159958</v>
      </c>
      <c r="X982">
        <v>10077838066864</v>
      </c>
      <c r="Y982" t="s">
        <v>891</v>
      </c>
      <c r="Z982" t="s">
        <v>1449</v>
      </c>
      <c r="AA982" t="s">
        <v>3942</v>
      </c>
      <c r="AB982" t="s">
        <v>4305</v>
      </c>
      <c r="AC982" t="s">
        <v>1820</v>
      </c>
      <c r="AD982" t="s">
        <v>3475</v>
      </c>
      <c r="AE982" t="s">
        <v>446</v>
      </c>
      <c r="AF982" t="s">
        <v>185</v>
      </c>
      <c r="AG982">
        <v>392410.4</v>
      </c>
      <c r="AH982">
        <v>250</v>
      </c>
      <c r="AN982" t="s">
        <v>145</v>
      </c>
    </row>
    <row r="983" spans="1:120" x14ac:dyDescent="0.25">
      <c r="A983" t="s">
        <v>4306</v>
      </c>
      <c r="B983" t="e">
        <f>_xlfn.XLOOKUP(C983,'[1]Image URL'!$E:$E,'[1]Image URL'!$A:$A)</f>
        <v>#N/A</v>
      </c>
      <c r="C983" t="s">
        <v>4821</v>
      </c>
      <c r="D983" t="s">
        <v>4307</v>
      </c>
      <c r="E983" t="s">
        <v>4308</v>
      </c>
      <c r="F983" t="s">
        <v>288</v>
      </c>
      <c r="G983" t="s">
        <v>345</v>
      </c>
      <c r="H983" t="s">
        <v>4309</v>
      </c>
      <c r="U983" t="s">
        <v>584</v>
      </c>
      <c r="V983" t="s">
        <v>157</v>
      </c>
      <c r="W983">
        <v>77838217139</v>
      </c>
      <c r="X983">
        <v>10077838017132</v>
      </c>
      <c r="Y983" t="s">
        <v>3047</v>
      </c>
      <c r="Z983" t="s">
        <v>835</v>
      </c>
      <c r="AA983" t="s">
        <v>1284</v>
      </c>
      <c r="AB983" t="s">
        <v>4310</v>
      </c>
      <c r="AC983" t="s">
        <v>4311</v>
      </c>
      <c r="AD983" t="s">
        <v>2371</v>
      </c>
      <c r="AE983" t="s">
        <v>163</v>
      </c>
      <c r="AF983" t="s">
        <v>315</v>
      </c>
      <c r="AG983">
        <v>392410.3</v>
      </c>
      <c r="AH983">
        <v>65</v>
      </c>
      <c r="AL983" t="s">
        <v>636</v>
      </c>
    </row>
    <row r="984" spans="1:120" x14ac:dyDescent="0.25">
      <c r="A984" t="s">
        <v>4312</v>
      </c>
      <c r="B984" t="e">
        <f>_xlfn.XLOOKUP(C984,'[1]Image URL'!$E:$E,'[1]Image URL'!$A:$A)</f>
        <v>#N/A</v>
      </c>
      <c r="C984">
        <v>61409</v>
      </c>
      <c r="D984" t="s">
        <v>4314</v>
      </c>
      <c r="E984" t="s">
        <v>4315</v>
      </c>
      <c r="H984" t="s">
        <v>188</v>
      </c>
      <c r="I984" t="s">
        <v>147</v>
      </c>
      <c r="J984" t="s">
        <v>280</v>
      </c>
      <c r="U984" t="s">
        <v>281</v>
      </c>
      <c r="V984" t="s">
        <v>157</v>
      </c>
      <c r="W984">
        <v>77838611067</v>
      </c>
      <c r="X984">
        <v>10077838020927</v>
      </c>
      <c r="Y984" t="s">
        <v>816</v>
      </c>
      <c r="Z984" t="s">
        <v>2963</v>
      </c>
      <c r="AA984" t="s">
        <v>1274</v>
      </c>
      <c r="AB984" t="s">
        <v>1692</v>
      </c>
      <c r="AC984" t="s">
        <v>445</v>
      </c>
      <c r="AD984" t="s">
        <v>867</v>
      </c>
      <c r="AE984" t="s">
        <v>314</v>
      </c>
      <c r="AF984" t="s">
        <v>185</v>
      </c>
      <c r="AG984">
        <v>392350</v>
      </c>
      <c r="AH984">
        <v>175</v>
      </c>
      <c r="AN984" t="s">
        <v>664</v>
      </c>
      <c r="CC984" t="s">
        <v>4316</v>
      </c>
    </row>
    <row r="985" spans="1:120" x14ac:dyDescent="0.25">
      <c r="A985" t="s">
        <v>4317</v>
      </c>
      <c r="B985" t="e">
        <f>_xlfn.XLOOKUP(C985,'[1]Image URL'!$E:$E,'[1]Image URL'!$A:$A)</f>
        <v>#N/A</v>
      </c>
      <c r="C985" t="s">
        <v>4826</v>
      </c>
      <c r="D985" t="s">
        <v>3067</v>
      </c>
      <c r="E985" t="s">
        <v>2878</v>
      </c>
      <c r="F985" t="s">
        <v>1526</v>
      </c>
      <c r="G985" t="s">
        <v>1526</v>
      </c>
      <c r="H985" t="s">
        <v>3011</v>
      </c>
      <c r="I985" t="s">
        <v>194</v>
      </c>
      <c r="J985" t="s">
        <v>195</v>
      </c>
      <c r="M985" t="s">
        <v>3068</v>
      </c>
      <c r="T985" t="s">
        <v>3069</v>
      </c>
      <c r="U985" t="s">
        <v>2854</v>
      </c>
      <c r="V985" t="s">
        <v>1385</v>
      </c>
      <c r="W985">
        <v>77838871447</v>
      </c>
      <c r="X985">
        <v>10077838871444</v>
      </c>
      <c r="Y985" t="s">
        <v>3070</v>
      </c>
      <c r="Z985" t="s">
        <v>632</v>
      </c>
      <c r="AA985" t="s">
        <v>2745</v>
      </c>
      <c r="AB985" t="s">
        <v>2745</v>
      </c>
      <c r="AC985" t="s">
        <v>1349</v>
      </c>
      <c r="AD985" t="s">
        <v>396</v>
      </c>
      <c r="AE985" t="s">
        <v>446</v>
      </c>
      <c r="AF985" t="s">
        <v>164</v>
      </c>
      <c r="AG985">
        <v>392410.4</v>
      </c>
      <c r="AH985">
        <v>100</v>
      </c>
      <c r="AL985" t="s">
        <v>3071</v>
      </c>
      <c r="AN985" t="s">
        <v>1526</v>
      </c>
    </row>
    <row r="986" spans="1:120" x14ac:dyDescent="0.25">
      <c r="A986" t="s">
        <v>4318</v>
      </c>
      <c r="B986" t="e">
        <f>_xlfn.XLOOKUP(C986,'[1]Image URL'!$E:$E,'[1]Image URL'!$A:$A)</f>
        <v>#N/A</v>
      </c>
      <c r="C986" t="s">
        <v>4832</v>
      </c>
      <c r="D986" t="s">
        <v>3335</v>
      </c>
      <c r="E986" t="s">
        <v>2878</v>
      </c>
      <c r="F986" t="s">
        <v>2211</v>
      </c>
      <c r="G986" t="s">
        <v>2211</v>
      </c>
      <c r="H986" t="s">
        <v>152</v>
      </c>
      <c r="I986" t="s">
        <v>194</v>
      </c>
      <c r="J986" t="s">
        <v>195</v>
      </c>
      <c r="M986" t="s">
        <v>2879</v>
      </c>
      <c r="T986" t="s">
        <v>1528</v>
      </c>
      <c r="U986" t="s">
        <v>2854</v>
      </c>
      <c r="V986" t="s">
        <v>1385</v>
      </c>
      <c r="W986">
        <v>77838871492</v>
      </c>
      <c r="X986">
        <v>10077838871499</v>
      </c>
      <c r="Y986" t="s">
        <v>2880</v>
      </c>
      <c r="Z986" t="s">
        <v>1560</v>
      </c>
      <c r="AA986" t="s">
        <v>221</v>
      </c>
      <c r="AB986" t="s">
        <v>1692</v>
      </c>
      <c r="AC986" t="s">
        <v>1580</v>
      </c>
      <c r="AD986" t="s">
        <v>1142</v>
      </c>
      <c r="AE986" t="s">
        <v>163</v>
      </c>
      <c r="AF986" t="s">
        <v>302</v>
      </c>
      <c r="AG986">
        <v>392410.4</v>
      </c>
      <c r="AH986">
        <v>125</v>
      </c>
      <c r="AL986" t="s">
        <v>2313</v>
      </c>
      <c r="AN986" t="s">
        <v>2211</v>
      </c>
    </row>
    <row r="987" spans="1:120" x14ac:dyDescent="0.25">
      <c r="A987" t="s">
        <v>4319</v>
      </c>
      <c r="B987" t="e">
        <f>_xlfn.XLOOKUP(C987,'[1]Image URL'!$E:$E,'[1]Image URL'!$A:$A)</f>
        <v>#N/A</v>
      </c>
      <c r="C987" t="s">
        <v>4835</v>
      </c>
      <c r="D987" t="s">
        <v>4320</v>
      </c>
      <c r="E987" t="s">
        <v>4224</v>
      </c>
      <c r="F987" t="s">
        <v>4225</v>
      </c>
      <c r="G987" t="s">
        <v>916</v>
      </c>
      <c r="H987" t="s">
        <v>4226</v>
      </c>
      <c r="I987" t="s">
        <v>194</v>
      </c>
      <c r="J987" t="s">
        <v>212</v>
      </c>
      <c r="U987" t="s">
        <v>4227</v>
      </c>
      <c r="V987" t="s">
        <v>282</v>
      </c>
      <c r="W987">
        <v>77838157985</v>
      </c>
      <c r="X987">
        <v>10077838157982</v>
      </c>
      <c r="Y987" t="s">
        <v>4228</v>
      </c>
      <c r="Z987" t="s">
        <v>4229</v>
      </c>
      <c r="AA987" t="s">
        <v>4230</v>
      </c>
      <c r="AB987" t="s">
        <v>4231</v>
      </c>
      <c r="AC987" t="s">
        <v>4232</v>
      </c>
      <c r="AD987" t="s">
        <v>269</v>
      </c>
      <c r="AE987" t="s">
        <v>269</v>
      </c>
      <c r="AF987" t="s">
        <v>269</v>
      </c>
      <c r="AG987">
        <v>940370</v>
      </c>
      <c r="AH987">
        <v>70</v>
      </c>
      <c r="DP987" t="s">
        <v>3628</v>
      </c>
    </row>
    <row r="988" spans="1:120" x14ac:dyDescent="0.25">
      <c r="A988" t="s">
        <v>4321</v>
      </c>
      <c r="B988" t="e">
        <f>_xlfn.XLOOKUP(C988,'[1]Image URL'!$E:$E,'[1]Image URL'!$A:$A)</f>
        <v>#N/A</v>
      </c>
      <c r="C988" t="s">
        <v>4838</v>
      </c>
      <c r="D988" t="s">
        <v>4323</v>
      </c>
      <c r="E988" t="s">
        <v>4236</v>
      </c>
      <c r="F988" t="s">
        <v>193</v>
      </c>
      <c r="G988" t="s">
        <v>193</v>
      </c>
      <c r="H988" t="s">
        <v>340</v>
      </c>
      <c r="J988" t="s">
        <v>212</v>
      </c>
      <c r="U988" t="s">
        <v>584</v>
      </c>
      <c r="V988" t="s">
        <v>3290</v>
      </c>
      <c r="W988">
        <v>77838224250</v>
      </c>
      <c r="X988">
        <v>10077838124250</v>
      </c>
      <c r="Y988" t="s">
        <v>971</v>
      </c>
      <c r="Z988" t="s">
        <v>4237</v>
      </c>
      <c r="AA988" t="s">
        <v>332</v>
      </c>
      <c r="AB988" t="s">
        <v>288</v>
      </c>
      <c r="AC988" t="s">
        <v>193</v>
      </c>
      <c r="AD988" t="s">
        <v>301</v>
      </c>
      <c r="AE988" t="s">
        <v>184</v>
      </c>
      <c r="AF988" t="s">
        <v>164</v>
      </c>
      <c r="AG988">
        <v>830990.0085</v>
      </c>
      <c r="AH988">
        <v>85</v>
      </c>
      <c r="AL988" t="s">
        <v>4238</v>
      </c>
    </row>
    <row r="989" spans="1:120" x14ac:dyDescent="0.25">
      <c r="A989" t="s">
        <v>4324</v>
      </c>
      <c r="B989" t="e">
        <f>_xlfn.XLOOKUP(C989,'[1]Image URL'!$E:$E,'[1]Image URL'!$A:$A)</f>
        <v>#N/A</v>
      </c>
      <c r="C989" t="s">
        <v>4841</v>
      </c>
      <c r="D989" t="s">
        <v>4325</v>
      </c>
      <c r="E989" t="s">
        <v>4326</v>
      </c>
      <c r="F989" t="s">
        <v>192</v>
      </c>
      <c r="G989" t="s">
        <v>463</v>
      </c>
      <c r="H989" t="s">
        <v>575</v>
      </c>
      <c r="I989" t="s">
        <v>3029</v>
      </c>
      <c r="J989" t="s">
        <v>3030</v>
      </c>
      <c r="U989" t="s">
        <v>3031</v>
      </c>
      <c r="V989" t="s">
        <v>157</v>
      </c>
      <c r="W989">
        <v>77838209936</v>
      </c>
      <c r="X989">
        <v>10077838009939</v>
      </c>
      <c r="Y989" t="s">
        <v>1250</v>
      </c>
      <c r="Z989" t="s">
        <v>3509</v>
      </c>
      <c r="AA989" t="s">
        <v>4327</v>
      </c>
      <c r="AB989" t="s">
        <v>2405</v>
      </c>
      <c r="AC989" t="s">
        <v>755</v>
      </c>
      <c r="AD989" t="s">
        <v>162</v>
      </c>
      <c r="AE989" t="s">
        <v>163</v>
      </c>
      <c r="AF989" t="s">
        <v>164</v>
      </c>
      <c r="AG989">
        <v>392690.99890000001</v>
      </c>
      <c r="AH989">
        <v>125</v>
      </c>
      <c r="AL989" t="s">
        <v>2971</v>
      </c>
    </row>
    <row r="990" spans="1:120" x14ac:dyDescent="0.25">
      <c r="A990" t="s">
        <v>4328</v>
      </c>
      <c r="B990" t="e">
        <f>_xlfn.XLOOKUP(C990,'[1]Image URL'!$E:$E,'[1]Image URL'!$A:$A)</f>
        <v>#N/A</v>
      </c>
      <c r="C990" t="s">
        <v>4844</v>
      </c>
      <c r="D990" t="s">
        <v>4330</v>
      </c>
      <c r="E990" t="s">
        <v>4331</v>
      </c>
      <c r="F990" t="s">
        <v>4198</v>
      </c>
      <c r="G990" t="s">
        <v>4198</v>
      </c>
      <c r="I990" t="s">
        <v>147</v>
      </c>
      <c r="J990" t="s">
        <v>280</v>
      </c>
      <c r="U990" t="s">
        <v>281</v>
      </c>
      <c r="V990" t="s">
        <v>157</v>
      </c>
      <c r="W990">
        <v>77838212066</v>
      </c>
      <c r="X990">
        <v>10077838012069</v>
      </c>
      <c r="Y990" t="s">
        <v>240</v>
      </c>
      <c r="Z990" t="s">
        <v>3302</v>
      </c>
      <c r="AA990" t="s">
        <v>1845</v>
      </c>
      <c r="AB990" t="s">
        <v>421</v>
      </c>
      <c r="AC990" t="s">
        <v>643</v>
      </c>
      <c r="AD990" t="s">
        <v>1113</v>
      </c>
      <c r="AE990" t="s">
        <v>268</v>
      </c>
      <c r="AF990" t="s">
        <v>456</v>
      </c>
      <c r="AG990">
        <v>392330.00900000002</v>
      </c>
      <c r="AH990">
        <v>250</v>
      </c>
      <c r="AM990" t="s">
        <v>1128</v>
      </c>
      <c r="BB990" t="s">
        <v>4332</v>
      </c>
      <c r="BW990" t="s">
        <v>4198</v>
      </c>
      <c r="DO990" t="s">
        <v>4199</v>
      </c>
    </row>
    <row r="991" spans="1:120" x14ac:dyDescent="0.25">
      <c r="A991" t="s">
        <v>4333</v>
      </c>
      <c r="B991" t="e">
        <f>_xlfn.XLOOKUP(C991,'[1]Image URL'!$E:$E,'[1]Image URL'!$A:$A)</f>
        <v>#N/A</v>
      </c>
      <c r="C991" t="s">
        <v>4846</v>
      </c>
      <c r="D991" t="s">
        <v>3400</v>
      </c>
      <c r="E991" t="s">
        <v>2878</v>
      </c>
      <c r="F991" t="s">
        <v>1526</v>
      </c>
      <c r="G991" t="s">
        <v>1526</v>
      </c>
      <c r="H991" t="s">
        <v>3011</v>
      </c>
      <c r="I991" t="s">
        <v>194</v>
      </c>
      <c r="J991" t="s">
        <v>195</v>
      </c>
      <c r="M991" t="s">
        <v>3068</v>
      </c>
      <c r="T991" t="s">
        <v>3069</v>
      </c>
      <c r="U991" t="s">
        <v>2854</v>
      </c>
      <c r="V991" t="s">
        <v>1385</v>
      </c>
      <c r="W991">
        <v>77838871461</v>
      </c>
      <c r="X991">
        <v>10077838871468</v>
      </c>
      <c r="Y991" t="s">
        <v>3070</v>
      </c>
      <c r="Z991" t="s">
        <v>632</v>
      </c>
      <c r="AA991" t="s">
        <v>2745</v>
      </c>
      <c r="AB991" t="s">
        <v>2745</v>
      </c>
      <c r="AC991" t="s">
        <v>1349</v>
      </c>
      <c r="AD991" t="s">
        <v>396</v>
      </c>
      <c r="AE991" t="s">
        <v>446</v>
      </c>
      <c r="AF991" t="s">
        <v>164</v>
      </c>
      <c r="AG991">
        <v>392410.4</v>
      </c>
      <c r="AH991">
        <v>100</v>
      </c>
      <c r="AL991" t="s">
        <v>3071</v>
      </c>
      <c r="AN991" t="s">
        <v>1526</v>
      </c>
    </row>
    <row r="992" spans="1:120" x14ac:dyDescent="0.25">
      <c r="A992" t="s">
        <v>4334</v>
      </c>
      <c r="B992" t="e">
        <f>_xlfn.XLOOKUP(C992,'[1]Image URL'!$E:$E,'[1]Image URL'!$A:$A)</f>
        <v>#N/A</v>
      </c>
      <c r="C992" t="s">
        <v>4849</v>
      </c>
      <c r="D992" t="s">
        <v>4336</v>
      </c>
      <c r="E992" t="s">
        <v>4337</v>
      </c>
      <c r="F992" t="s">
        <v>186</v>
      </c>
      <c r="G992" t="s">
        <v>186</v>
      </c>
      <c r="H992" t="s">
        <v>413</v>
      </c>
      <c r="U992" t="s">
        <v>584</v>
      </c>
      <c r="V992" t="s">
        <v>157</v>
      </c>
      <c r="W992">
        <v>77838504505</v>
      </c>
      <c r="X992">
        <v>10077838004507</v>
      </c>
      <c r="Y992" t="s">
        <v>1603</v>
      </c>
      <c r="Z992" t="s">
        <v>2865</v>
      </c>
      <c r="AA992" t="s">
        <v>4338</v>
      </c>
      <c r="AB992" t="s">
        <v>400</v>
      </c>
      <c r="AC992" t="s">
        <v>766</v>
      </c>
      <c r="AD992" t="s">
        <v>4339</v>
      </c>
      <c r="AE992" t="s">
        <v>647</v>
      </c>
      <c r="AF992" t="s">
        <v>268</v>
      </c>
      <c r="AG992">
        <v>392350</v>
      </c>
      <c r="AH992">
        <v>70</v>
      </c>
    </row>
    <row r="993" spans="1:119" x14ac:dyDescent="0.25">
      <c r="A993" t="s">
        <v>4340</v>
      </c>
      <c r="B993" t="e">
        <f>_xlfn.XLOOKUP(C993,'[1]Image URL'!$E:$E,'[1]Image URL'!$A:$A)</f>
        <v>#N/A</v>
      </c>
      <c r="C993" t="s">
        <v>4852</v>
      </c>
      <c r="D993" t="s">
        <v>4341</v>
      </c>
      <c r="E993" t="s">
        <v>4342</v>
      </c>
      <c r="F993" t="s">
        <v>324</v>
      </c>
      <c r="G993" t="s">
        <v>2960</v>
      </c>
      <c r="H993" t="s">
        <v>2044</v>
      </c>
      <c r="U993" t="s">
        <v>584</v>
      </c>
      <c r="V993" t="s">
        <v>157</v>
      </c>
      <c r="W993">
        <v>77838200322</v>
      </c>
      <c r="X993">
        <v>10077838000325</v>
      </c>
      <c r="Y993" t="s">
        <v>843</v>
      </c>
      <c r="Z993" t="s">
        <v>3081</v>
      </c>
      <c r="AA993" t="s">
        <v>394</v>
      </c>
      <c r="AB993" t="s">
        <v>395</v>
      </c>
      <c r="AC993" t="s">
        <v>1457</v>
      </c>
      <c r="AD993" t="s">
        <v>4343</v>
      </c>
      <c r="AE993" t="s">
        <v>600</v>
      </c>
      <c r="AF993" t="s">
        <v>349</v>
      </c>
      <c r="AG993">
        <v>392410.3</v>
      </c>
      <c r="AH993">
        <v>92.5</v>
      </c>
      <c r="AL993" t="s">
        <v>636</v>
      </c>
      <c r="CP993" t="s">
        <v>4344</v>
      </c>
    </row>
    <row r="994" spans="1:119" x14ac:dyDescent="0.25">
      <c r="A994" t="s">
        <v>4345</v>
      </c>
      <c r="B994" t="e">
        <f>_xlfn.XLOOKUP(C994,'[1]Image URL'!$E:$E,'[1]Image URL'!$A:$A)</f>
        <v>#N/A</v>
      </c>
      <c r="C994" t="s">
        <v>4855</v>
      </c>
      <c r="D994" t="s">
        <v>4347</v>
      </c>
      <c r="E994" t="s">
        <v>4249</v>
      </c>
      <c r="H994" t="s">
        <v>1650</v>
      </c>
      <c r="I994" t="s">
        <v>147</v>
      </c>
      <c r="J994" t="s">
        <v>280</v>
      </c>
      <c r="U994" t="s">
        <v>281</v>
      </c>
      <c r="V994" t="s">
        <v>157</v>
      </c>
      <c r="W994">
        <v>77838204139</v>
      </c>
      <c r="X994">
        <v>10077838004132</v>
      </c>
      <c r="Y994" t="s">
        <v>1766</v>
      </c>
      <c r="Z994" t="s">
        <v>393</v>
      </c>
      <c r="AA994" t="s">
        <v>332</v>
      </c>
      <c r="AB994" t="s">
        <v>463</v>
      </c>
      <c r="AC994" t="s">
        <v>345</v>
      </c>
      <c r="AD994" t="s">
        <v>4250</v>
      </c>
      <c r="AE994" t="s">
        <v>426</v>
      </c>
      <c r="AF994" t="s">
        <v>349</v>
      </c>
      <c r="AG994">
        <v>392350</v>
      </c>
      <c r="AH994">
        <v>300</v>
      </c>
      <c r="AN994" t="s">
        <v>664</v>
      </c>
    </row>
    <row r="995" spans="1:119" x14ac:dyDescent="0.25">
      <c r="A995" t="s">
        <v>4348</v>
      </c>
      <c r="B995" t="e">
        <f>_xlfn.XLOOKUP(C995,'[1]Image URL'!$E:$E,'[1]Image URL'!$A:$A)</f>
        <v>#N/A</v>
      </c>
      <c r="C995" t="s">
        <v>4857</v>
      </c>
      <c r="D995" t="s">
        <v>3226</v>
      </c>
      <c r="E995" t="s">
        <v>2878</v>
      </c>
      <c r="F995" t="s">
        <v>2211</v>
      </c>
      <c r="G995" t="s">
        <v>2211</v>
      </c>
      <c r="H995" t="s">
        <v>200</v>
      </c>
      <c r="I995" t="s">
        <v>194</v>
      </c>
      <c r="J995" t="s">
        <v>195</v>
      </c>
      <c r="M995" t="s">
        <v>2017</v>
      </c>
      <c r="T995" t="s">
        <v>1717</v>
      </c>
      <c r="U995" t="s">
        <v>2854</v>
      </c>
      <c r="V995" t="s">
        <v>1385</v>
      </c>
      <c r="W995">
        <v>77838871430</v>
      </c>
      <c r="X995">
        <v>10077838871437</v>
      </c>
      <c r="Y995" t="s">
        <v>3042</v>
      </c>
      <c r="Z995" t="s">
        <v>1643</v>
      </c>
      <c r="AA995" t="s">
        <v>466</v>
      </c>
      <c r="AB995" t="s">
        <v>221</v>
      </c>
      <c r="AC995" t="s">
        <v>599</v>
      </c>
      <c r="AD995" t="s">
        <v>234</v>
      </c>
      <c r="AE995" t="s">
        <v>163</v>
      </c>
      <c r="AF995" t="s">
        <v>235</v>
      </c>
      <c r="AG995">
        <v>392410.4</v>
      </c>
      <c r="AH995">
        <v>125</v>
      </c>
      <c r="AL995" t="s">
        <v>2783</v>
      </c>
      <c r="AN995" t="s">
        <v>2211</v>
      </c>
    </row>
    <row r="996" spans="1:119" x14ac:dyDescent="0.25">
      <c r="A996" t="s">
        <v>4349</v>
      </c>
      <c r="B996" t="e">
        <f>_xlfn.XLOOKUP(C996,'[1]Image URL'!$E:$E,'[1]Image URL'!$A:$A)</f>
        <v>#N/A</v>
      </c>
      <c r="C996" t="s">
        <v>4861</v>
      </c>
      <c r="D996" t="s">
        <v>2877</v>
      </c>
      <c r="E996" t="s">
        <v>2878</v>
      </c>
      <c r="F996" t="s">
        <v>2211</v>
      </c>
      <c r="G996" t="s">
        <v>2211</v>
      </c>
      <c r="H996" t="s">
        <v>152</v>
      </c>
      <c r="I996" t="s">
        <v>194</v>
      </c>
      <c r="J996" t="s">
        <v>195</v>
      </c>
      <c r="M996" t="s">
        <v>2879</v>
      </c>
      <c r="T996" t="s">
        <v>1528</v>
      </c>
      <c r="U996" t="s">
        <v>2854</v>
      </c>
      <c r="V996" t="s">
        <v>1385</v>
      </c>
      <c r="W996">
        <v>77838871478</v>
      </c>
      <c r="X996">
        <v>10077838871475</v>
      </c>
      <c r="Y996" t="s">
        <v>2880</v>
      </c>
      <c r="Z996" t="s">
        <v>1560</v>
      </c>
      <c r="AA996" t="s">
        <v>221</v>
      </c>
      <c r="AB996" t="s">
        <v>1692</v>
      </c>
      <c r="AC996" t="s">
        <v>1580</v>
      </c>
      <c r="AD996" t="s">
        <v>1142</v>
      </c>
      <c r="AE996" t="s">
        <v>163</v>
      </c>
      <c r="AF996" t="s">
        <v>302</v>
      </c>
      <c r="AG996">
        <v>392410.4</v>
      </c>
      <c r="AH996">
        <v>125</v>
      </c>
      <c r="AL996" t="s">
        <v>2313</v>
      </c>
      <c r="AN996" t="s">
        <v>2211</v>
      </c>
    </row>
    <row r="997" spans="1:119" x14ac:dyDescent="0.25">
      <c r="A997" t="s">
        <v>4350</v>
      </c>
      <c r="B997" t="e">
        <f>_xlfn.XLOOKUP(C997,'[1]Image URL'!$E:$E,'[1]Image URL'!$A:$A)</f>
        <v>#N/A</v>
      </c>
      <c r="C997" t="s">
        <v>4864</v>
      </c>
      <c r="D997" t="s">
        <v>4352</v>
      </c>
      <c r="E997" t="s">
        <v>4353</v>
      </c>
      <c r="H997" t="s">
        <v>4217</v>
      </c>
      <c r="I997" t="s">
        <v>147</v>
      </c>
      <c r="J997" t="s">
        <v>280</v>
      </c>
      <c r="U997" t="s">
        <v>281</v>
      </c>
      <c r="V997" t="s">
        <v>157</v>
      </c>
      <c r="W997">
        <v>77838677568</v>
      </c>
      <c r="X997">
        <v>10077838177560</v>
      </c>
      <c r="Y997" t="s">
        <v>3277</v>
      </c>
      <c r="Z997" t="s">
        <v>693</v>
      </c>
      <c r="AA997" t="s">
        <v>1860</v>
      </c>
      <c r="AB997" t="s">
        <v>1632</v>
      </c>
      <c r="AC997" t="s">
        <v>1451</v>
      </c>
      <c r="AD997" t="s">
        <v>3054</v>
      </c>
      <c r="AE997" t="s">
        <v>403</v>
      </c>
      <c r="AF997" t="s">
        <v>164</v>
      </c>
      <c r="AG997">
        <v>392330.00900000002</v>
      </c>
      <c r="AH997">
        <v>175</v>
      </c>
      <c r="AM997" t="s">
        <v>1461</v>
      </c>
      <c r="AN997" t="s">
        <v>664</v>
      </c>
    </row>
    <row r="998" spans="1:119" x14ac:dyDescent="0.25">
      <c r="A998" t="s">
        <v>4354</v>
      </c>
      <c r="B998" t="e">
        <f>_xlfn.XLOOKUP(C998,'[1]Image URL'!$E:$E,'[1]Image URL'!$A:$A)</f>
        <v>#N/A</v>
      </c>
      <c r="C998" t="s">
        <v>4867</v>
      </c>
      <c r="D998" t="s">
        <v>4356</v>
      </c>
      <c r="E998" t="s">
        <v>4216</v>
      </c>
      <c r="I998" t="s">
        <v>147</v>
      </c>
      <c r="J998" t="s">
        <v>280</v>
      </c>
      <c r="U998" t="s">
        <v>281</v>
      </c>
      <c r="V998" t="s">
        <v>157</v>
      </c>
      <c r="W998">
        <v>77838204405</v>
      </c>
      <c r="X998">
        <v>10077838004408</v>
      </c>
      <c r="Y998" t="s">
        <v>3277</v>
      </c>
      <c r="Z998" t="s">
        <v>693</v>
      </c>
      <c r="AA998" t="s">
        <v>1860</v>
      </c>
      <c r="AB998" t="s">
        <v>1632</v>
      </c>
      <c r="AC998" t="s">
        <v>1451</v>
      </c>
      <c r="AD998" t="s">
        <v>3054</v>
      </c>
      <c r="AE998" t="s">
        <v>403</v>
      </c>
      <c r="AF998" t="s">
        <v>164</v>
      </c>
      <c r="AG998">
        <v>392330.00900000002</v>
      </c>
      <c r="AH998">
        <v>175</v>
      </c>
      <c r="AM998" t="s">
        <v>1461</v>
      </c>
      <c r="BB998" t="s">
        <v>4217</v>
      </c>
      <c r="BW998" t="s">
        <v>664</v>
      </c>
      <c r="DO998" t="s">
        <v>4218</v>
      </c>
    </row>
    <row r="999" spans="1:119" x14ac:dyDescent="0.25">
      <c r="A999" t="s">
        <v>4357</v>
      </c>
      <c r="B999" t="e">
        <f>_xlfn.XLOOKUP(C999,'[1]Image URL'!$E:$E,'[1]Image URL'!$A:$A)</f>
        <v>#N/A</v>
      </c>
      <c r="C999" t="s">
        <v>4871</v>
      </c>
      <c r="D999" t="s">
        <v>4358</v>
      </c>
      <c r="E999" t="s">
        <v>4359</v>
      </c>
      <c r="F999" t="s">
        <v>4360</v>
      </c>
      <c r="G999" t="s">
        <v>1982</v>
      </c>
      <c r="H999" t="s">
        <v>1939</v>
      </c>
      <c r="I999" t="s">
        <v>194</v>
      </c>
      <c r="J999" t="s">
        <v>195</v>
      </c>
      <c r="U999" t="s">
        <v>196</v>
      </c>
      <c r="V999" t="s">
        <v>157</v>
      </c>
      <c r="W999">
        <v>77838512777</v>
      </c>
      <c r="X999">
        <v>10077838012779</v>
      </c>
      <c r="Y999" t="s">
        <v>3173</v>
      </c>
      <c r="Z999" t="s">
        <v>1509</v>
      </c>
      <c r="AA999" t="s">
        <v>1485</v>
      </c>
      <c r="AB999" t="s">
        <v>2196</v>
      </c>
      <c r="AC999" t="s">
        <v>1367</v>
      </c>
      <c r="AD999" t="s">
        <v>1644</v>
      </c>
      <c r="AE999" t="s">
        <v>204</v>
      </c>
      <c r="AF999" t="s">
        <v>268</v>
      </c>
      <c r="AG999">
        <v>392410.4</v>
      </c>
      <c r="AH999">
        <v>125</v>
      </c>
      <c r="AL999" t="s">
        <v>2189</v>
      </c>
      <c r="AM999" t="s">
        <v>1269</v>
      </c>
      <c r="BO999" t="s">
        <v>223</v>
      </c>
      <c r="CJ999" t="s">
        <v>4360</v>
      </c>
    </row>
    <row r="1000" spans="1:119" x14ac:dyDescent="0.25">
      <c r="A1000" t="s">
        <v>4361</v>
      </c>
      <c r="B1000" t="e">
        <f>_xlfn.XLOOKUP(C1000,'[1]Image URL'!$E:$E,'[1]Image URL'!$A:$A)</f>
        <v>#N/A</v>
      </c>
      <c r="C1000" t="s">
        <v>4874</v>
      </c>
      <c r="D1000" t="s">
        <v>4363</v>
      </c>
      <c r="E1000" t="s">
        <v>4353</v>
      </c>
      <c r="H1000" t="s">
        <v>4217</v>
      </c>
      <c r="I1000" t="s">
        <v>147</v>
      </c>
      <c r="J1000" t="s">
        <v>280</v>
      </c>
      <c r="U1000" t="s">
        <v>281</v>
      </c>
      <c r="V1000" t="s">
        <v>157</v>
      </c>
      <c r="W1000">
        <v>77838677544</v>
      </c>
      <c r="X1000">
        <v>10077838177546</v>
      </c>
      <c r="Y1000" t="s">
        <v>3277</v>
      </c>
      <c r="Z1000" t="s">
        <v>693</v>
      </c>
      <c r="AA1000" t="s">
        <v>1860</v>
      </c>
      <c r="AB1000" t="s">
        <v>1632</v>
      </c>
      <c r="AC1000" t="s">
        <v>1451</v>
      </c>
      <c r="AD1000" t="s">
        <v>3054</v>
      </c>
      <c r="AE1000" t="s">
        <v>403</v>
      </c>
      <c r="AF1000" t="s">
        <v>164</v>
      </c>
      <c r="AG1000">
        <v>392330.00900000002</v>
      </c>
      <c r="AH1000">
        <v>175</v>
      </c>
      <c r="AM1000" t="s">
        <v>1461</v>
      </c>
      <c r="AN1000" t="s">
        <v>664</v>
      </c>
    </row>
    <row r="1001" spans="1:119" x14ac:dyDescent="0.25">
      <c r="A1001" t="s">
        <v>4364</v>
      </c>
      <c r="B1001" t="e">
        <f>_xlfn.XLOOKUP(C1001,'[1]Image URL'!$E:$E,'[1]Image URL'!$A:$A)</f>
        <v>#N/A</v>
      </c>
      <c r="C1001" t="s">
        <v>4878</v>
      </c>
      <c r="D1001" t="s">
        <v>3275</v>
      </c>
      <c r="E1001" t="s">
        <v>2878</v>
      </c>
      <c r="F1001" t="s">
        <v>2870</v>
      </c>
      <c r="G1001" t="s">
        <v>2870</v>
      </c>
      <c r="H1001" t="s">
        <v>288</v>
      </c>
      <c r="I1001" t="s">
        <v>194</v>
      </c>
      <c r="J1001" t="s">
        <v>195</v>
      </c>
      <c r="M1001" t="s">
        <v>3276</v>
      </c>
      <c r="T1001" t="s">
        <v>1711</v>
      </c>
      <c r="U1001" t="s">
        <v>2854</v>
      </c>
      <c r="V1001" t="s">
        <v>1385</v>
      </c>
      <c r="W1001">
        <v>77838880135</v>
      </c>
      <c r="X1001">
        <v>10077838880132</v>
      </c>
      <c r="Y1001" t="s">
        <v>3277</v>
      </c>
      <c r="Z1001" t="s">
        <v>1904</v>
      </c>
      <c r="AA1001" t="s">
        <v>532</v>
      </c>
      <c r="AB1001" t="s">
        <v>221</v>
      </c>
      <c r="AC1001" t="s">
        <v>1371</v>
      </c>
      <c r="AD1001" t="s">
        <v>1765</v>
      </c>
      <c r="AE1001" t="s">
        <v>204</v>
      </c>
      <c r="AF1001" t="s">
        <v>164</v>
      </c>
      <c r="AG1001">
        <v>392410.2</v>
      </c>
      <c r="AH1001">
        <v>125</v>
      </c>
      <c r="AL1001" t="s">
        <v>2313</v>
      </c>
      <c r="AN1001" t="s">
        <v>2870</v>
      </c>
    </row>
    <row r="1002" spans="1:119" x14ac:dyDescent="0.25">
      <c r="A1002" t="s">
        <v>4365</v>
      </c>
      <c r="B1002" t="e">
        <f>_xlfn.XLOOKUP(C1002,'[1]Image URL'!$E:$E,'[1]Image URL'!$A:$A)</f>
        <v>#N/A</v>
      </c>
      <c r="C1002" t="s">
        <v>4882</v>
      </c>
      <c r="D1002" t="s">
        <v>4367</v>
      </c>
      <c r="E1002" t="s">
        <v>4368</v>
      </c>
      <c r="F1002" t="s">
        <v>223</v>
      </c>
      <c r="G1002" t="s">
        <v>3011</v>
      </c>
      <c r="H1002" t="s">
        <v>374</v>
      </c>
      <c r="I1002" t="s">
        <v>194</v>
      </c>
      <c r="J1002" t="s">
        <v>212</v>
      </c>
      <c r="U1002" t="s">
        <v>217</v>
      </c>
      <c r="V1002" t="s">
        <v>157</v>
      </c>
      <c r="W1002">
        <v>77838009925</v>
      </c>
      <c r="X1002">
        <v>10077838009922</v>
      </c>
      <c r="Y1002" t="s">
        <v>4369</v>
      </c>
      <c r="Z1002" t="s">
        <v>1475</v>
      </c>
      <c r="AA1002" t="s">
        <v>578</v>
      </c>
      <c r="AB1002" t="s">
        <v>578</v>
      </c>
      <c r="AC1002" t="s">
        <v>4370</v>
      </c>
      <c r="AD1002" t="s">
        <v>1562</v>
      </c>
      <c r="AE1002" t="s">
        <v>507</v>
      </c>
      <c r="AF1002" t="s">
        <v>235</v>
      </c>
      <c r="AG1002">
        <v>392410.4</v>
      </c>
      <c r="AH1002">
        <v>175</v>
      </c>
      <c r="AS1002" t="s">
        <v>262</v>
      </c>
    </row>
    <row r="1003" spans="1:119" x14ac:dyDescent="0.25">
      <c r="A1003" t="s">
        <v>4371</v>
      </c>
      <c r="B1003" t="e">
        <f>_xlfn.XLOOKUP(C1003,'[1]Image URL'!$E:$E,'[1]Image URL'!$A:$A)</f>
        <v>#N/A</v>
      </c>
      <c r="C1003" t="s">
        <v>4894</v>
      </c>
      <c r="D1003" t="s">
        <v>4373</v>
      </c>
      <c r="E1003" t="s">
        <v>4249</v>
      </c>
      <c r="H1003" t="s">
        <v>1650</v>
      </c>
      <c r="I1003" t="s">
        <v>147</v>
      </c>
      <c r="J1003" t="s">
        <v>280</v>
      </c>
      <c r="U1003" t="s">
        <v>281</v>
      </c>
      <c r="V1003" t="s">
        <v>157</v>
      </c>
      <c r="W1003">
        <v>77838888469</v>
      </c>
      <c r="X1003">
        <v>10077838888466</v>
      </c>
      <c r="Y1003" t="s">
        <v>1766</v>
      </c>
      <c r="Z1003" t="s">
        <v>393</v>
      </c>
      <c r="AA1003" t="s">
        <v>332</v>
      </c>
      <c r="AB1003" t="s">
        <v>463</v>
      </c>
      <c r="AC1003" t="s">
        <v>345</v>
      </c>
      <c r="AD1003" t="s">
        <v>4250</v>
      </c>
      <c r="AE1003" t="s">
        <v>426</v>
      </c>
      <c r="AF1003" t="s">
        <v>349</v>
      </c>
      <c r="AG1003">
        <v>392350</v>
      </c>
      <c r="AH1003">
        <v>125</v>
      </c>
      <c r="AN1003" t="s">
        <v>664</v>
      </c>
    </row>
    <row r="1004" spans="1:119" x14ac:dyDescent="0.25">
      <c r="A1004" t="s">
        <v>4374</v>
      </c>
      <c r="B1004" t="e">
        <f>_xlfn.XLOOKUP(C1004,'[1]Image URL'!$E:$E,'[1]Image URL'!$A:$A)</f>
        <v>#N/A</v>
      </c>
      <c r="C1004" t="s">
        <v>4901</v>
      </c>
      <c r="D1004" t="s">
        <v>4376</v>
      </c>
      <c r="E1004" t="s">
        <v>4377</v>
      </c>
      <c r="F1004" t="s">
        <v>193</v>
      </c>
      <c r="G1004" t="s">
        <v>193</v>
      </c>
      <c r="H1004" t="s">
        <v>340</v>
      </c>
      <c r="I1004" t="s">
        <v>147</v>
      </c>
      <c r="J1004" t="s">
        <v>280</v>
      </c>
      <c r="U1004" t="s">
        <v>281</v>
      </c>
      <c r="V1004" t="s">
        <v>157</v>
      </c>
      <c r="W1004">
        <v>77838215975</v>
      </c>
      <c r="X1004">
        <v>10077838015978</v>
      </c>
      <c r="Y1004" t="s">
        <v>665</v>
      </c>
      <c r="Z1004" t="s">
        <v>1530</v>
      </c>
      <c r="AA1004" t="s">
        <v>1691</v>
      </c>
      <c r="AB1004" t="s">
        <v>1932</v>
      </c>
      <c r="AC1004" t="s">
        <v>1580</v>
      </c>
      <c r="AD1004" t="s">
        <v>3054</v>
      </c>
      <c r="AE1004" t="s">
        <v>403</v>
      </c>
      <c r="AF1004" t="s">
        <v>164</v>
      </c>
      <c r="AG1004">
        <v>392330.00900000002</v>
      </c>
      <c r="AH1004">
        <v>250</v>
      </c>
    </row>
    <row r="1005" spans="1:119" x14ac:dyDescent="0.25">
      <c r="A1005" t="s">
        <v>4378</v>
      </c>
      <c r="B1005" t="e">
        <f>_xlfn.XLOOKUP(C1005,'[1]Image URL'!$E:$E,'[1]Image URL'!$A:$A)</f>
        <v>#N/A</v>
      </c>
      <c r="C1005" t="s">
        <v>4905</v>
      </c>
      <c r="D1005" t="s">
        <v>4380</v>
      </c>
      <c r="E1005" t="s">
        <v>4381</v>
      </c>
      <c r="H1005" t="s">
        <v>413</v>
      </c>
      <c r="J1005" t="s">
        <v>2915</v>
      </c>
      <c r="U1005" t="s">
        <v>584</v>
      </c>
      <c r="V1005" t="s">
        <v>157</v>
      </c>
      <c r="W1005">
        <v>77838202449</v>
      </c>
      <c r="X1005">
        <v>10077838002442</v>
      </c>
      <c r="Y1005" t="s">
        <v>2971</v>
      </c>
      <c r="Z1005" t="s">
        <v>198</v>
      </c>
      <c r="AA1005" t="s">
        <v>200</v>
      </c>
      <c r="AB1005" t="s">
        <v>200</v>
      </c>
      <c r="AC1005" t="s">
        <v>345</v>
      </c>
      <c r="AD1005" t="s">
        <v>758</v>
      </c>
      <c r="AE1005" t="s">
        <v>314</v>
      </c>
      <c r="AF1005" t="s">
        <v>403</v>
      </c>
      <c r="AG1005">
        <v>392350</v>
      </c>
      <c r="AH1005">
        <v>100</v>
      </c>
      <c r="AN1005" t="s">
        <v>186</v>
      </c>
    </row>
    <row r="1006" spans="1:119" x14ac:dyDescent="0.25">
      <c r="A1006" t="s">
        <v>4382</v>
      </c>
      <c r="B1006" t="e">
        <f>_xlfn.XLOOKUP(C1006,'[1]Image URL'!$E:$E,'[1]Image URL'!$A:$A)</f>
        <v>#N/A</v>
      </c>
      <c r="C1006" t="s">
        <v>4914</v>
      </c>
      <c r="D1006" t="s">
        <v>4384</v>
      </c>
      <c r="E1006" t="s">
        <v>4385</v>
      </c>
      <c r="H1006" t="s">
        <v>4386</v>
      </c>
      <c r="I1006" t="s">
        <v>147</v>
      </c>
      <c r="J1006" t="s">
        <v>280</v>
      </c>
      <c r="U1006" t="s">
        <v>281</v>
      </c>
      <c r="V1006" t="s">
        <v>157</v>
      </c>
      <c r="W1006">
        <v>77838677711</v>
      </c>
      <c r="X1006">
        <v>10077838177713</v>
      </c>
      <c r="Y1006" t="s">
        <v>816</v>
      </c>
      <c r="Z1006" t="s">
        <v>2963</v>
      </c>
      <c r="AA1006" t="s">
        <v>1274</v>
      </c>
      <c r="AB1006" t="s">
        <v>1692</v>
      </c>
      <c r="AC1006" t="s">
        <v>445</v>
      </c>
      <c r="AD1006" t="s">
        <v>867</v>
      </c>
      <c r="AE1006" t="s">
        <v>314</v>
      </c>
      <c r="AF1006" t="s">
        <v>185</v>
      </c>
      <c r="AG1006">
        <v>392350</v>
      </c>
      <c r="AH1006">
        <v>175</v>
      </c>
      <c r="AN1006" t="s">
        <v>664</v>
      </c>
    </row>
    <row r="1007" spans="1:119" x14ac:dyDescent="0.25">
      <c r="A1007" t="s">
        <v>4387</v>
      </c>
      <c r="B1007" t="e">
        <f>_xlfn.XLOOKUP(C1007,'[1]Image URL'!$E:$E,'[1]Image URL'!$A:$A)</f>
        <v>#N/A</v>
      </c>
      <c r="C1007" t="s">
        <v>4922</v>
      </c>
      <c r="D1007" t="s">
        <v>4389</v>
      </c>
      <c r="E1007" t="s">
        <v>4249</v>
      </c>
      <c r="H1007" t="s">
        <v>1650</v>
      </c>
      <c r="I1007" t="s">
        <v>147</v>
      </c>
      <c r="J1007" t="s">
        <v>280</v>
      </c>
      <c r="U1007" t="s">
        <v>281</v>
      </c>
      <c r="V1007" t="s">
        <v>157</v>
      </c>
      <c r="W1007">
        <v>77838204092</v>
      </c>
      <c r="X1007">
        <v>10077838004095</v>
      </c>
      <c r="Y1007" t="s">
        <v>1766</v>
      </c>
      <c r="Z1007" t="s">
        <v>393</v>
      </c>
      <c r="AA1007" t="s">
        <v>332</v>
      </c>
      <c r="AB1007" t="s">
        <v>463</v>
      </c>
      <c r="AC1007" t="s">
        <v>345</v>
      </c>
      <c r="AD1007" t="s">
        <v>4250</v>
      </c>
      <c r="AE1007" t="s">
        <v>426</v>
      </c>
      <c r="AF1007" t="s">
        <v>349</v>
      </c>
      <c r="AG1007">
        <v>392350</v>
      </c>
      <c r="AH1007">
        <v>125</v>
      </c>
      <c r="AN1007" t="s">
        <v>664</v>
      </c>
    </row>
    <row r="1008" spans="1:119" x14ac:dyDescent="0.25">
      <c r="A1008" t="s">
        <v>4390</v>
      </c>
      <c r="B1008" t="e">
        <f>_xlfn.XLOOKUP(C1008,'[1]Image URL'!$E:$E,'[1]Image URL'!$A:$A)</f>
        <v>#N/A</v>
      </c>
      <c r="C1008" t="s">
        <v>4931</v>
      </c>
      <c r="D1008" t="s">
        <v>4392</v>
      </c>
      <c r="E1008" t="s">
        <v>4216</v>
      </c>
      <c r="I1008" t="s">
        <v>147</v>
      </c>
      <c r="J1008" t="s">
        <v>280</v>
      </c>
      <c r="U1008" t="s">
        <v>281</v>
      </c>
      <c r="V1008" t="s">
        <v>157</v>
      </c>
      <c r="W1008">
        <v>77838504420</v>
      </c>
      <c r="X1008">
        <v>10077838004422</v>
      </c>
      <c r="Y1008" t="s">
        <v>3277</v>
      </c>
      <c r="Z1008" t="s">
        <v>693</v>
      </c>
      <c r="AA1008" t="s">
        <v>1860</v>
      </c>
      <c r="AB1008" t="s">
        <v>1632</v>
      </c>
      <c r="AC1008" t="s">
        <v>1451</v>
      </c>
      <c r="AD1008" t="s">
        <v>3054</v>
      </c>
      <c r="AE1008" t="s">
        <v>403</v>
      </c>
      <c r="AF1008" t="s">
        <v>164</v>
      </c>
      <c r="AG1008">
        <v>392330.00900000002</v>
      </c>
      <c r="AH1008">
        <v>175</v>
      </c>
      <c r="AM1008" t="s">
        <v>1461</v>
      </c>
      <c r="BB1008" t="s">
        <v>4217</v>
      </c>
      <c r="BW1008" t="s">
        <v>664</v>
      </c>
      <c r="DO1008" t="s">
        <v>4218</v>
      </c>
    </row>
    <row r="1009" spans="1:122" x14ac:dyDescent="0.25">
      <c r="A1009" t="s">
        <v>4393</v>
      </c>
      <c r="B1009" t="e">
        <f>_xlfn.XLOOKUP(C1009,'[1]Image URL'!$E:$E,'[1]Image URL'!$A:$A)</f>
        <v>#N/A</v>
      </c>
      <c r="C1009" t="s">
        <v>4941</v>
      </c>
      <c r="D1009" t="s">
        <v>4395</v>
      </c>
      <c r="E1009" t="s">
        <v>4396</v>
      </c>
      <c r="F1009" t="s">
        <v>2914</v>
      </c>
      <c r="G1009" t="s">
        <v>2914</v>
      </c>
      <c r="I1009" t="s">
        <v>147</v>
      </c>
      <c r="J1009" t="s">
        <v>280</v>
      </c>
      <c r="U1009" t="s">
        <v>281</v>
      </c>
      <c r="V1009" t="s">
        <v>157</v>
      </c>
      <c r="W1009">
        <v>77838500477</v>
      </c>
      <c r="X1009">
        <v>10077838004453</v>
      </c>
      <c r="Y1009" t="s">
        <v>4397</v>
      </c>
      <c r="Z1009" t="s">
        <v>1551</v>
      </c>
      <c r="AA1009" t="s">
        <v>506</v>
      </c>
      <c r="AB1009" t="s">
        <v>1374</v>
      </c>
      <c r="AC1009" t="s">
        <v>2072</v>
      </c>
      <c r="AD1009" t="s">
        <v>301</v>
      </c>
      <c r="AE1009" t="s">
        <v>184</v>
      </c>
      <c r="AF1009" t="s">
        <v>164</v>
      </c>
      <c r="AG1009">
        <v>392330.00900000002</v>
      </c>
      <c r="AH1009">
        <v>250</v>
      </c>
      <c r="AM1009" t="s">
        <v>216</v>
      </c>
      <c r="BB1009" t="s">
        <v>1812</v>
      </c>
      <c r="BW1009" t="s">
        <v>2914</v>
      </c>
      <c r="DO1009" t="s">
        <v>4218</v>
      </c>
    </row>
    <row r="1010" spans="1:122" x14ac:dyDescent="0.25">
      <c r="A1010" t="s">
        <v>4398</v>
      </c>
      <c r="B1010" t="e">
        <f>_xlfn.XLOOKUP(C1010,'[1]Image URL'!$E:$E,'[1]Image URL'!$A:$A)</f>
        <v>#N/A</v>
      </c>
      <c r="C1010" t="s">
        <v>4946</v>
      </c>
      <c r="D1010" t="s">
        <v>4400</v>
      </c>
      <c r="E1010" t="s">
        <v>4401</v>
      </c>
      <c r="I1010" t="s">
        <v>147</v>
      </c>
      <c r="J1010" t="s">
        <v>280</v>
      </c>
      <c r="U1010" t="s">
        <v>281</v>
      </c>
      <c r="V1010" t="s">
        <v>157</v>
      </c>
      <c r="W1010">
        <v>77838677704</v>
      </c>
      <c r="X1010">
        <v>10077838177706</v>
      </c>
      <c r="Y1010" t="s">
        <v>816</v>
      </c>
      <c r="Z1010" t="s">
        <v>864</v>
      </c>
      <c r="AA1010" t="s">
        <v>1274</v>
      </c>
      <c r="AB1010" t="s">
        <v>1692</v>
      </c>
      <c r="AC1010" t="s">
        <v>329</v>
      </c>
      <c r="AD1010" t="s">
        <v>1390</v>
      </c>
      <c r="AE1010" t="s">
        <v>314</v>
      </c>
      <c r="AF1010" t="s">
        <v>235</v>
      </c>
      <c r="AG1010">
        <v>392350</v>
      </c>
      <c r="AH1010">
        <v>175</v>
      </c>
      <c r="AN1010" t="s">
        <v>664</v>
      </c>
    </row>
    <row r="1011" spans="1:122" x14ac:dyDescent="0.25">
      <c r="A1011" t="s">
        <v>4402</v>
      </c>
      <c r="B1011" t="e">
        <f>_xlfn.XLOOKUP(C1011,'[1]Image URL'!$E:$E,'[1]Image URL'!$A:$A)</f>
        <v>#N/A</v>
      </c>
      <c r="C1011" t="s">
        <v>4952</v>
      </c>
      <c r="D1011" t="s">
        <v>4404</v>
      </c>
      <c r="E1011" t="s">
        <v>4405</v>
      </c>
      <c r="I1011" t="s">
        <v>147</v>
      </c>
      <c r="J1011" t="s">
        <v>280</v>
      </c>
      <c r="U1011" t="s">
        <v>281</v>
      </c>
      <c r="V1011" t="s">
        <v>157</v>
      </c>
      <c r="W1011">
        <v>77838001004</v>
      </c>
      <c r="X1011">
        <v>10077838001001</v>
      </c>
      <c r="Y1011" t="s">
        <v>4406</v>
      </c>
      <c r="Z1011" t="s">
        <v>3302</v>
      </c>
      <c r="AA1011" t="s">
        <v>3110</v>
      </c>
      <c r="AB1011" t="s">
        <v>169</v>
      </c>
      <c r="AC1011" t="s">
        <v>1845</v>
      </c>
      <c r="AD1011" t="s">
        <v>1113</v>
      </c>
      <c r="AE1011" t="s">
        <v>235</v>
      </c>
      <c r="AF1011" t="s">
        <v>302</v>
      </c>
      <c r="AG1011">
        <v>392330.00900000002</v>
      </c>
      <c r="AH1011">
        <v>250</v>
      </c>
    </row>
    <row r="1012" spans="1:122" x14ac:dyDescent="0.25">
      <c r="A1012" t="s">
        <v>4407</v>
      </c>
      <c r="B1012" t="e">
        <f>_xlfn.XLOOKUP(C1012,'[1]Image URL'!$E:$E,'[1]Image URL'!$A:$A)</f>
        <v>#N/A</v>
      </c>
      <c r="C1012" t="s">
        <v>4955</v>
      </c>
      <c r="D1012" t="s">
        <v>4409</v>
      </c>
      <c r="E1012" t="s">
        <v>4410</v>
      </c>
      <c r="F1012" t="s">
        <v>4411</v>
      </c>
      <c r="G1012" t="s">
        <v>643</v>
      </c>
      <c r="H1012" t="s">
        <v>4412</v>
      </c>
      <c r="I1012" t="s">
        <v>194</v>
      </c>
      <c r="J1012" t="s">
        <v>212</v>
      </c>
      <c r="U1012" t="s">
        <v>217</v>
      </c>
      <c r="V1012" t="s">
        <v>157</v>
      </c>
      <c r="W1012">
        <v>77838503973</v>
      </c>
      <c r="X1012">
        <v>10077838003975</v>
      </c>
      <c r="Y1012" t="s">
        <v>1016</v>
      </c>
      <c r="Z1012" t="s">
        <v>666</v>
      </c>
      <c r="AA1012" t="s">
        <v>807</v>
      </c>
      <c r="AB1012" t="s">
        <v>444</v>
      </c>
      <c r="AC1012" t="s">
        <v>846</v>
      </c>
      <c r="AD1012" t="s">
        <v>555</v>
      </c>
      <c r="AE1012" t="s">
        <v>235</v>
      </c>
      <c r="AF1012" t="s">
        <v>184</v>
      </c>
      <c r="AG1012">
        <v>392410.3</v>
      </c>
      <c r="AH1012">
        <v>70</v>
      </c>
      <c r="DQ1012" t="s">
        <v>771</v>
      </c>
      <c r="DR1012" t="s">
        <v>457</v>
      </c>
    </row>
    <row r="1013" spans="1:122" x14ac:dyDescent="0.25">
      <c r="A1013" t="s">
        <v>4413</v>
      </c>
      <c r="B1013" t="e">
        <f>_xlfn.XLOOKUP(C1013,'[1]Image URL'!$E:$E,'[1]Image URL'!$A:$A)</f>
        <v>#N/A</v>
      </c>
      <c r="C1013" t="s">
        <v>4966</v>
      </c>
      <c r="D1013" t="s">
        <v>4415</v>
      </c>
      <c r="E1013" t="s">
        <v>4416</v>
      </c>
      <c r="F1013" t="s">
        <v>4417</v>
      </c>
      <c r="G1013" t="s">
        <v>4418</v>
      </c>
      <c r="H1013" t="s">
        <v>2204</v>
      </c>
      <c r="I1013" t="s">
        <v>4419</v>
      </c>
      <c r="J1013" t="s">
        <v>4420</v>
      </c>
      <c r="U1013" t="s">
        <v>4421</v>
      </c>
      <c r="V1013" t="s">
        <v>157</v>
      </c>
      <c r="W1013">
        <v>77838861547</v>
      </c>
      <c r="X1013">
        <v>10077838861544</v>
      </c>
      <c r="Y1013" t="s">
        <v>1097</v>
      </c>
      <c r="Z1013" t="s">
        <v>1743</v>
      </c>
      <c r="AA1013" t="s">
        <v>4422</v>
      </c>
      <c r="AB1013" t="s">
        <v>519</v>
      </c>
      <c r="AC1013" t="s">
        <v>1136</v>
      </c>
      <c r="AD1013" t="s">
        <v>301</v>
      </c>
      <c r="AE1013" t="s">
        <v>302</v>
      </c>
      <c r="AF1013" t="s">
        <v>303</v>
      </c>
      <c r="AG1013">
        <v>392410.3</v>
      </c>
      <c r="AH1013">
        <v>85</v>
      </c>
      <c r="AL1013" t="s">
        <v>4423</v>
      </c>
    </row>
    <row r="1014" spans="1:122" x14ac:dyDescent="0.25">
      <c r="A1014" t="s">
        <v>4424</v>
      </c>
      <c r="B1014" t="e">
        <f>_xlfn.XLOOKUP(C1014,'[1]Image URL'!$E:$E,'[1]Image URL'!$A:$A)</f>
        <v>#N/A</v>
      </c>
      <c r="C1014" t="s">
        <v>4976</v>
      </c>
      <c r="D1014" t="s">
        <v>4426</v>
      </c>
      <c r="E1014" t="s">
        <v>4427</v>
      </c>
      <c r="F1014" t="s">
        <v>4428</v>
      </c>
      <c r="G1014" t="s">
        <v>472</v>
      </c>
      <c r="I1014" t="s">
        <v>194</v>
      </c>
      <c r="J1014" t="s">
        <v>212</v>
      </c>
      <c r="U1014" t="s">
        <v>217</v>
      </c>
      <c r="V1014" t="s">
        <v>157</v>
      </c>
      <c r="W1014">
        <v>77838218808</v>
      </c>
      <c r="X1014">
        <v>10077838018801</v>
      </c>
      <c r="Y1014" t="s">
        <v>4429</v>
      </c>
      <c r="Z1014" t="s">
        <v>4169</v>
      </c>
      <c r="AA1014" t="s">
        <v>1860</v>
      </c>
      <c r="AB1014" t="s">
        <v>882</v>
      </c>
      <c r="AC1014" t="s">
        <v>523</v>
      </c>
      <c r="AD1014" t="s">
        <v>446</v>
      </c>
      <c r="AE1014" t="s">
        <v>184</v>
      </c>
      <c r="AF1014" t="s">
        <v>302</v>
      </c>
      <c r="AG1014">
        <v>392410.3</v>
      </c>
      <c r="AH1014">
        <v>70</v>
      </c>
      <c r="AT1014" t="s">
        <v>1650</v>
      </c>
    </row>
    <row r="1015" spans="1:122" x14ac:dyDescent="0.25">
      <c r="A1015" t="s">
        <v>4430</v>
      </c>
      <c r="B1015" t="e">
        <f>_xlfn.XLOOKUP(C1015,'[1]Image URL'!$E:$E,'[1]Image URL'!$A:$A)</f>
        <v>#N/A</v>
      </c>
      <c r="C1015" t="s">
        <v>4979</v>
      </c>
      <c r="D1015" t="s">
        <v>4431</v>
      </c>
      <c r="E1015" t="s">
        <v>4432</v>
      </c>
      <c r="F1015" t="s">
        <v>643</v>
      </c>
      <c r="G1015" t="s">
        <v>472</v>
      </c>
      <c r="J1015" t="s">
        <v>195</v>
      </c>
      <c r="U1015" t="s">
        <v>1459</v>
      </c>
      <c r="V1015" t="s">
        <v>1385</v>
      </c>
      <c r="W1015">
        <v>77838203385</v>
      </c>
      <c r="X1015">
        <v>10077838103385</v>
      </c>
      <c r="Y1015" t="s">
        <v>387</v>
      </c>
      <c r="Z1015" t="s">
        <v>179</v>
      </c>
      <c r="AA1015" t="s">
        <v>266</v>
      </c>
      <c r="AB1015" t="s">
        <v>2518</v>
      </c>
      <c r="AC1015" t="s">
        <v>2238</v>
      </c>
      <c r="AD1015" t="s">
        <v>183</v>
      </c>
      <c r="AE1015" t="s">
        <v>184</v>
      </c>
      <c r="AF1015" t="s">
        <v>185</v>
      </c>
      <c r="AG1015">
        <v>392410.3</v>
      </c>
      <c r="AH1015">
        <v>65</v>
      </c>
      <c r="AT1015" t="s">
        <v>4433</v>
      </c>
    </row>
    <row r="1016" spans="1:122" x14ac:dyDescent="0.25">
      <c r="A1016" t="s">
        <v>4434</v>
      </c>
      <c r="B1016" t="e">
        <f>_xlfn.XLOOKUP(C1016,'[1]Image URL'!$E:$E,'[1]Image URL'!$A:$A)</f>
        <v>#N/A</v>
      </c>
      <c r="C1016" t="s">
        <v>4988</v>
      </c>
      <c r="D1016" t="s">
        <v>4436</v>
      </c>
      <c r="E1016" t="s">
        <v>4437</v>
      </c>
      <c r="F1016" t="s">
        <v>1476</v>
      </c>
      <c r="G1016" t="s">
        <v>3931</v>
      </c>
      <c r="H1016" t="s">
        <v>1600</v>
      </c>
      <c r="I1016" t="s">
        <v>194</v>
      </c>
      <c r="J1016" t="s">
        <v>212</v>
      </c>
      <c r="U1016" t="s">
        <v>217</v>
      </c>
      <c r="V1016" t="s">
        <v>157</v>
      </c>
      <c r="W1016">
        <v>77838503881</v>
      </c>
      <c r="X1016">
        <v>10077838003883</v>
      </c>
      <c r="Y1016" t="s">
        <v>4438</v>
      </c>
      <c r="Z1016" t="s">
        <v>297</v>
      </c>
      <c r="AA1016" t="s">
        <v>827</v>
      </c>
      <c r="AB1016" t="s">
        <v>893</v>
      </c>
      <c r="AC1016" t="s">
        <v>836</v>
      </c>
      <c r="AD1016" t="s">
        <v>3144</v>
      </c>
      <c r="AE1016" t="s">
        <v>268</v>
      </c>
      <c r="AF1016" t="s">
        <v>185</v>
      </c>
      <c r="AG1016">
        <v>392410.3</v>
      </c>
      <c r="AH1016">
        <v>65</v>
      </c>
      <c r="DQ1016" t="s">
        <v>444</v>
      </c>
      <c r="DR1016" t="s">
        <v>578</v>
      </c>
    </row>
    <row r="1017" spans="1:122" x14ac:dyDescent="0.25">
      <c r="A1017" t="s">
        <v>4439</v>
      </c>
      <c r="B1017" t="e">
        <f>_xlfn.XLOOKUP(C1017,'[1]Image URL'!$E:$E,'[1]Image URL'!$A:$A)</f>
        <v>#N/A</v>
      </c>
      <c r="C1017" t="s">
        <v>4996</v>
      </c>
      <c r="D1017" t="s">
        <v>4441</v>
      </c>
      <c r="E1017" t="s">
        <v>4437</v>
      </c>
      <c r="F1017" t="s">
        <v>1476</v>
      </c>
      <c r="G1017" t="s">
        <v>3931</v>
      </c>
      <c r="H1017" t="s">
        <v>1600</v>
      </c>
      <c r="I1017" t="s">
        <v>194</v>
      </c>
      <c r="J1017" t="s">
        <v>212</v>
      </c>
      <c r="U1017" t="s">
        <v>217</v>
      </c>
      <c r="V1017" t="s">
        <v>157</v>
      </c>
      <c r="W1017">
        <v>77838503812</v>
      </c>
      <c r="X1017">
        <v>10077838003814</v>
      </c>
      <c r="Y1017" t="s">
        <v>4438</v>
      </c>
      <c r="Z1017" t="s">
        <v>297</v>
      </c>
      <c r="AA1017" t="s">
        <v>827</v>
      </c>
      <c r="AB1017" t="s">
        <v>893</v>
      </c>
      <c r="AC1017" t="s">
        <v>836</v>
      </c>
      <c r="AD1017" t="s">
        <v>3144</v>
      </c>
      <c r="AE1017" t="s">
        <v>268</v>
      </c>
      <c r="AF1017" t="s">
        <v>185</v>
      </c>
      <c r="AG1017">
        <v>392410.3</v>
      </c>
      <c r="AH1017">
        <v>65</v>
      </c>
      <c r="DQ1017" t="s">
        <v>444</v>
      </c>
      <c r="DR1017" t="s">
        <v>578</v>
      </c>
    </row>
    <row r="1018" spans="1:122" x14ac:dyDescent="0.25">
      <c r="A1018" t="s">
        <v>4442</v>
      </c>
      <c r="B1018" t="e">
        <f>_xlfn.XLOOKUP(C1018,'[1]Image URL'!$E:$E,'[1]Image URL'!$A:$A)</f>
        <v>#N/A</v>
      </c>
      <c r="C1018" t="s">
        <v>5005</v>
      </c>
      <c r="D1018" t="s">
        <v>4444</v>
      </c>
      <c r="E1018" t="s">
        <v>4416</v>
      </c>
      <c r="F1018" t="s">
        <v>4417</v>
      </c>
      <c r="G1018" t="s">
        <v>4418</v>
      </c>
      <c r="H1018" t="s">
        <v>2204</v>
      </c>
      <c r="I1018" t="s">
        <v>4419</v>
      </c>
      <c r="J1018" t="s">
        <v>4420</v>
      </c>
      <c r="U1018" t="s">
        <v>4421</v>
      </c>
      <c r="V1018" t="s">
        <v>157</v>
      </c>
      <c r="W1018">
        <v>77838861417</v>
      </c>
      <c r="X1018">
        <v>10077838861414</v>
      </c>
      <c r="Y1018" t="s">
        <v>1097</v>
      </c>
      <c r="Z1018" t="s">
        <v>1743</v>
      </c>
      <c r="AA1018" t="s">
        <v>4422</v>
      </c>
      <c r="AB1018" t="s">
        <v>519</v>
      </c>
      <c r="AC1018" t="s">
        <v>1136</v>
      </c>
      <c r="AD1018" t="s">
        <v>301</v>
      </c>
      <c r="AE1018" t="s">
        <v>302</v>
      </c>
      <c r="AF1018" t="s">
        <v>303</v>
      </c>
      <c r="AG1018">
        <v>392410.3</v>
      </c>
      <c r="AH1018">
        <v>85</v>
      </c>
      <c r="AL1018" t="s">
        <v>4423</v>
      </c>
    </row>
    <row r="1019" spans="1:122" x14ac:dyDescent="0.25">
      <c r="A1019" t="s">
        <v>4445</v>
      </c>
      <c r="B1019" t="e">
        <f>_xlfn.XLOOKUP(C1019,'[1]Image URL'!$E:$E,'[1]Image URL'!$A:$A)</f>
        <v>#N/A</v>
      </c>
      <c r="C1019" t="s">
        <v>5012</v>
      </c>
      <c r="D1019" t="s">
        <v>3780</v>
      </c>
      <c r="E1019" t="s">
        <v>3781</v>
      </c>
      <c r="F1019" t="s">
        <v>311</v>
      </c>
      <c r="G1019" t="s">
        <v>311</v>
      </c>
      <c r="H1019" t="s">
        <v>3782</v>
      </c>
      <c r="J1019" t="s">
        <v>195</v>
      </c>
      <c r="U1019" t="s">
        <v>1459</v>
      </c>
      <c r="V1019" t="s">
        <v>1385</v>
      </c>
      <c r="W1019">
        <v>77838625835</v>
      </c>
      <c r="X1019">
        <v>10077838125837</v>
      </c>
      <c r="Y1019" t="s">
        <v>3783</v>
      </c>
      <c r="Z1019" t="s">
        <v>1440</v>
      </c>
      <c r="AA1019" t="s">
        <v>518</v>
      </c>
      <c r="AB1019" t="s">
        <v>454</v>
      </c>
      <c r="AC1019" t="s">
        <v>161</v>
      </c>
      <c r="AD1019" t="s">
        <v>1942</v>
      </c>
      <c r="AE1019" t="s">
        <v>315</v>
      </c>
      <c r="AF1019" t="s">
        <v>164</v>
      </c>
      <c r="AG1019">
        <v>392410.2</v>
      </c>
      <c r="AH1019">
        <v>85</v>
      </c>
      <c r="AL1019" t="s">
        <v>3784</v>
      </c>
      <c r="AN1019" t="s">
        <v>311</v>
      </c>
    </row>
    <row r="1020" spans="1:122" x14ac:dyDescent="0.25">
      <c r="A1020" t="s">
        <v>4446</v>
      </c>
      <c r="B1020" t="e">
        <f>_xlfn.XLOOKUP(C1020,'[1]Image URL'!$E:$E,'[1]Image URL'!$A:$A)</f>
        <v>#N/A</v>
      </c>
      <c r="C1020" t="s">
        <v>5015</v>
      </c>
      <c r="D1020" t="s">
        <v>4448</v>
      </c>
      <c r="E1020" t="s">
        <v>4437</v>
      </c>
      <c r="F1020" t="s">
        <v>1476</v>
      </c>
      <c r="G1020" t="s">
        <v>3931</v>
      </c>
      <c r="H1020" t="s">
        <v>1600</v>
      </c>
      <c r="I1020" t="s">
        <v>194</v>
      </c>
      <c r="J1020" t="s">
        <v>212</v>
      </c>
      <c r="U1020" t="s">
        <v>217</v>
      </c>
      <c r="V1020" t="s">
        <v>157</v>
      </c>
      <c r="W1020">
        <v>77838503898</v>
      </c>
      <c r="X1020">
        <v>10077838003890</v>
      </c>
      <c r="Y1020" t="s">
        <v>4438</v>
      </c>
      <c r="Z1020" t="s">
        <v>297</v>
      </c>
      <c r="AA1020" t="s">
        <v>827</v>
      </c>
      <c r="AB1020" t="s">
        <v>893</v>
      </c>
      <c r="AC1020" t="s">
        <v>836</v>
      </c>
      <c r="AD1020" t="s">
        <v>3144</v>
      </c>
      <c r="AE1020" t="s">
        <v>268</v>
      </c>
      <c r="AF1020" t="s">
        <v>185</v>
      </c>
      <c r="AG1020">
        <v>392410.3</v>
      </c>
      <c r="AH1020">
        <v>65</v>
      </c>
      <c r="DQ1020" t="s">
        <v>444</v>
      </c>
      <c r="DR1020" t="s">
        <v>578</v>
      </c>
    </row>
    <row r="1021" spans="1:122" x14ac:dyDescent="0.25">
      <c r="A1021" t="s">
        <v>4449</v>
      </c>
      <c r="B1021" t="e">
        <f>_xlfn.XLOOKUP(C1021,'[1]Image URL'!$E:$E,'[1]Image URL'!$A:$A)</f>
        <v>#N/A</v>
      </c>
      <c r="C1021" t="s">
        <v>5022</v>
      </c>
      <c r="D1021" t="s">
        <v>4451</v>
      </c>
      <c r="E1021" t="s">
        <v>4410</v>
      </c>
      <c r="F1021" t="s">
        <v>4411</v>
      </c>
      <c r="G1021" t="s">
        <v>643</v>
      </c>
      <c r="H1021" t="s">
        <v>4412</v>
      </c>
      <c r="I1021" t="s">
        <v>194</v>
      </c>
      <c r="J1021" t="s">
        <v>212</v>
      </c>
      <c r="U1021" t="s">
        <v>217</v>
      </c>
      <c r="V1021" t="s">
        <v>157</v>
      </c>
      <c r="W1021">
        <v>77838503966</v>
      </c>
      <c r="X1021">
        <v>10077838003968</v>
      </c>
      <c r="Y1021" t="s">
        <v>1016</v>
      </c>
      <c r="Z1021" t="s">
        <v>666</v>
      </c>
      <c r="AA1021" t="s">
        <v>807</v>
      </c>
      <c r="AB1021" t="s">
        <v>444</v>
      </c>
      <c r="AC1021" t="s">
        <v>846</v>
      </c>
      <c r="AD1021" t="s">
        <v>555</v>
      </c>
      <c r="AE1021" t="s">
        <v>235</v>
      </c>
      <c r="AF1021" t="s">
        <v>184</v>
      </c>
      <c r="AG1021">
        <v>392410.3</v>
      </c>
      <c r="AH1021">
        <v>70</v>
      </c>
      <c r="DQ1021" t="s">
        <v>771</v>
      </c>
      <c r="DR1021" t="s">
        <v>457</v>
      </c>
    </row>
    <row r="1022" spans="1:122" x14ac:dyDescent="0.25">
      <c r="A1022" t="s">
        <v>4452</v>
      </c>
      <c r="B1022" t="e">
        <f>_xlfn.XLOOKUP(C1022,'[1]Image URL'!$E:$E,'[1]Image URL'!$A:$A)</f>
        <v>#N/A</v>
      </c>
      <c r="C1022" t="s">
        <v>5025</v>
      </c>
      <c r="D1022" t="s">
        <v>4454</v>
      </c>
      <c r="E1022" t="s">
        <v>4437</v>
      </c>
      <c r="F1022" t="s">
        <v>1476</v>
      </c>
      <c r="G1022" t="s">
        <v>3931</v>
      </c>
      <c r="H1022" t="s">
        <v>1600</v>
      </c>
      <c r="I1022" t="s">
        <v>194</v>
      </c>
      <c r="J1022" t="s">
        <v>212</v>
      </c>
      <c r="U1022" t="s">
        <v>217</v>
      </c>
      <c r="V1022" t="s">
        <v>157</v>
      </c>
      <c r="W1022">
        <v>77838503829</v>
      </c>
      <c r="X1022">
        <v>10077838003821</v>
      </c>
      <c r="Y1022" t="s">
        <v>4438</v>
      </c>
      <c r="Z1022" t="s">
        <v>297</v>
      </c>
      <c r="AA1022" t="s">
        <v>827</v>
      </c>
      <c r="AB1022" t="s">
        <v>893</v>
      </c>
      <c r="AC1022" t="s">
        <v>836</v>
      </c>
      <c r="AD1022" t="s">
        <v>3144</v>
      </c>
      <c r="AE1022" t="s">
        <v>268</v>
      </c>
      <c r="AF1022" t="s">
        <v>185</v>
      </c>
      <c r="AG1022">
        <v>392410.3</v>
      </c>
      <c r="AH1022">
        <v>65</v>
      </c>
      <c r="DQ1022" t="s">
        <v>444</v>
      </c>
      <c r="DR1022" t="s">
        <v>578</v>
      </c>
    </row>
    <row r="1023" spans="1:122" x14ac:dyDescent="0.25">
      <c r="A1023" t="s">
        <v>4455</v>
      </c>
      <c r="B1023" t="e">
        <f>_xlfn.XLOOKUP(C1023,'[1]Image URL'!$E:$E,'[1]Image URL'!$A:$A)</f>
        <v>#N/A</v>
      </c>
      <c r="C1023" t="s">
        <v>5031</v>
      </c>
      <c r="D1023" t="s">
        <v>4456</v>
      </c>
      <c r="E1023" t="s">
        <v>4457</v>
      </c>
      <c r="F1023" t="s">
        <v>444</v>
      </c>
      <c r="G1023" t="s">
        <v>472</v>
      </c>
      <c r="J1023" t="s">
        <v>195</v>
      </c>
      <c r="U1023" t="s">
        <v>1459</v>
      </c>
      <c r="V1023" t="s">
        <v>1385</v>
      </c>
      <c r="W1023">
        <v>77838298657</v>
      </c>
      <c r="X1023">
        <v>10077838098650</v>
      </c>
      <c r="Y1023" t="s">
        <v>4458</v>
      </c>
      <c r="Z1023" t="s">
        <v>1743</v>
      </c>
      <c r="AA1023" t="s">
        <v>244</v>
      </c>
      <c r="AB1023" t="s">
        <v>1374</v>
      </c>
      <c r="AC1023" t="s">
        <v>211</v>
      </c>
      <c r="AD1023" t="s">
        <v>4459</v>
      </c>
      <c r="AE1023" t="s">
        <v>403</v>
      </c>
      <c r="AF1023" t="s">
        <v>235</v>
      </c>
      <c r="AG1023">
        <v>392410.3</v>
      </c>
      <c r="AH1023">
        <v>70</v>
      </c>
      <c r="AT1023" t="s">
        <v>4460</v>
      </c>
    </row>
    <row r="1024" spans="1:122" x14ac:dyDescent="0.25">
      <c r="A1024" t="s">
        <v>4461</v>
      </c>
      <c r="B1024" t="e">
        <f>_xlfn.XLOOKUP(C1024,'[1]Image URL'!$E:$E,'[1]Image URL'!$A:$A)</f>
        <v>#N/A</v>
      </c>
      <c r="C1024" t="s">
        <v>5036</v>
      </c>
      <c r="D1024" t="s">
        <v>4463</v>
      </c>
      <c r="E1024" t="s">
        <v>4464</v>
      </c>
      <c r="F1024" t="s">
        <v>313</v>
      </c>
      <c r="G1024" t="s">
        <v>379</v>
      </c>
      <c r="H1024" t="s">
        <v>932</v>
      </c>
      <c r="U1024" t="s">
        <v>4465</v>
      </c>
      <c r="V1024" t="s">
        <v>1385</v>
      </c>
      <c r="W1024">
        <v>77838265758</v>
      </c>
      <c r="X1024">
        <v>10077838065751</v>
      </c>
      <c r="Y1024" t="s">
        <v>4466</v>
      </c>
      <c r="Z1024" t="s">
        <v>4467</v>
      </c>
      <c r="AA1024" t="s">
        <v>4468</v>
      </c>
      <c r="AB1024" t="s">
        <v>4469</v>
      </c>
      <c r="AC1024" t="s">
        <v>694</v>
      </c>
      <c r="AD1024" t="s">
        <v>302</v>
      </c>
      <c r="AE1024" t="s">
        <v>316</v>
      </c>
      <c r="AF1024" t="s">
        <v>316</v>
      </c>
      <c r="AG1024">
        <v>940360.80929999996</v>
      </c>
      <c r="AH1024">
        <v>250</v>
      </c>
      <c r="AL1024" t="s">
        <v>4470</v>
      </c>
    </row>
    <row r="1025" spans="1:122" x14ac:dyDescent="0.25">
      <c r="A1025" t="s">
        <v>4471</v>
      </c>
      <c r="B1025" t="e">
        <f>_xlfn.XLOOKUP(C1025,'[1]Image URL'!$E:$E,'[1]Image URL'!$A:$A)</f>
        <v>#N/A</v>
      </c>
      <c r="C1025" t="s">
        <v>5047</v>
      </c>
      <c r="D1025" t="s">
        <v>4473</v>
      </c>
      <c r="E1025" t="s">
        <v>4474</v>
      </c>
      <c r="F1025" t="s">
        <v>4428</v>
      </c>
      <c r="G1025" t="s">
        <v>472</v>
      </c>
      <c r="H1025" t="s">
        <v>4460</v>
      </c>
      <c r="U1025" t="s">
        <v>156</v>
      </c>
      <c r="V1025" t="s">
        <v>157</v>
      </c>
      <c r="W1025">
        <v>77838290538</v>
      </c>
      <c r="X1025">
        <v>10077838090531</v>
      </c>
      <c r="Y1025" t="s">
        <v>4475</v>
      </c>
      <c r="Z1025" t="s">
        <v>4476</v>
      </c>
      <c r="AA1025" t="s">
        <v>271</v>
      </c>
      <c r="AB1025" t="s">
        <v>522</v>
      </c>
      <c r="AC1025" t="s">
        <v>882</v>
      </c>
      <c r="AD1025" t="s">
        <v>446</v>
      </c>
      <c r="AE1025" t="s">
        <v>184</v>
      </c>
      <c r="AF1025" t="s">
        <v>302</v>
      </c>
      <c r="AG1025">
        <v>392410.3</v>
      </c>
      <c r="AH1025">
        <v>70</v>
      </c>
      <c r="AL1025" t="s">
        <v>4477</v>
      </c>
      <c r="AT1025" t="s">
        <v>4460</v>
      </c>
    </row>
    <row r="1026" spans="1:122" x14ac:dyDescent="0.25">
      <c r="A1026" t="s">
        <v>4478</v>
      </c>
      <c r="B1026" t="e">
        <f>_xlfn.XLOOKUP(C1026,'[1]Image URL'!$E:$E,'[1]Image URL'!$A:$A)</f>
        <v>#N/A</v>
      </c>
      <c r="C1026" t="s">
        <v>5057</v>
      </c>
      <c r="D1026" t="s">
        <v>4480</v>
      </c>
      <c r="E1026" t="s">
        <v>4481</v>
      </c>
      <c r="F1026" t="s">
        <v>932</v>
      </c>
      <c r="G1026" t="s">
        <v>563</v>
      </c>
      <c r="H1026" t="s">
        <v>2204</v>
      </c>
      <c r="I1026" t="s">
        <v>4419</v>
      </c>
      <c r="J1026" t="s">
        <v>4420</v>
      </c>
      <c r="U1026" t="s">
        <v>4421</v>
      </c>
      <c r="V1026" t="s">
        <v>157</v>
      </c>
      <c r="W1026">
        <v>77838073834</v>
      </c>
      <c r="X1026">
        <v>10077838073831</v>
      </c>
      <c r="Y1026" t="s">
        <v>4482</v>
      </c>
      <c r="Z1026" t="s">
        <v>3416</v>
      </c>
      <c r="AA1026" t="s">
        <v>4483</v>
      </c>
      <c r="AB1026" t="s">
        <v>311</v>
      </c>
      <c r="AC1026" t="s">
        <v>1267</v>
      </c>
      <c r="AD1026" t="s">
        <v>588</v>
      </c>
      <c r="AE1026" t="s">
        <v>302</v>
      </c>
      <c r="AF1026" t="s">
        <v>349</v>
      </c>
      <c r="AG1026">
        <v>392410.3</v>
      </c>
      <c r="AH1026">
        <v>65</v>
      </c>
    </row>
    <row r="1027" spans="1:122" x14ac:dyDescent="0.25">
      <c r="A1027" t="s">
        <v>4484</v>
      </c>
      <c r="B1027" t="e">
        <f>_xlfn.XLOOKUP(C1027,'[1]Image URL'!$E:$E,'[1]Image URL'!$A:$A)</f>
        <v>#N/A</v>
      </c>
      <c r="C1027" t="s">
        <v>5065</v>
      </c>
      <c r="D1027" t="s">
        <v>4486</v>
      </c>
      <c r="E1027" t="s">
        <v>4481</v>
      </c>
      <c r="F1027" t="s">
        <v>3983</v>
      </c>
      <c r="G1027" t="s">
        <v>1420</v>
      </c>
      <c r="H1027" t="s">
        <v>193</v>
      </c>
      <c r="I1027" t="s">
        <v>4419</v>
      </c>
      <c r="J1027" t="s">
        <v>4420</v>
      </c>
      <c r="U1027" t="s">
        <v>4421</v>
      </c>
      <c r="V1027" t="s">
        <v>157</v>
      </c>
      <c r="W1027">
        <v>77838275160</v>
      </c>
      <c r="X1027">
        <v>10077838075163</v>
      </c>
      <c r="Y1027" t="s">
        <v>4487</v>
      </c>
      <c r="Z1027" t="s">
        <v>1104</v>
      </c>
      <c r="AA1027" t="s">
        <v>3019</v>
      </c>
      <c r="AB1027" t="s">
        <v>598</v>
      </c>
      <c r="AC1027" t="s">
        <v>915</v>
      </c>
      <c r="AD1027" t="s">
        <v>301</v>
      </c>
      <c r="AE1027" t="s">
        <v>235</v>
      </c>
      <c r="AF1027" t="s">
        <v>349</v>
      </c>
      <c r="AG1027">
        <v>392410.3</v>
      </c>
      <c r="AH1027">
        <v>60</v>
      </c>
    </row>
    <row r="1028" spans="1:122" x14ac:dyDescent="0.25">
      <c r="A1028" t="s">
        <v>4488</v>
      </c>
      <c r="B1028" t="e">
        <f>_xlfn.XLOOKUP(C1028,'[1]Image URL'!$E:$E,'[1]Image URL'!$A:$A)</f>
        <v>#N/A</v>
      </c>
      <c r="C1028" t="s">
        <v>5069</v>
      </c>
      <c r="D1028" t="s">
        <v>4489</v>
      </c>
      <c r="E1028" t="s">
        <v>4474</v>
      </c>
      <c r="F1028" t="s">
        <v>643</v>
      </c>
      <c r="G1028" t="s">
        <v>472</v>
      </c>
      <c r="H1028" t="s">
        <v>4460</v>
      </c>
      <c r="U1028" t="s">
        <v>156</v>
      </c>
      <c r="V1028" t="s">
        <v>157</v>
      </c>
      <c r="W1028">
        <v>77838513484</v>
      </c>
      <c r="X1028">
        <v>10077838013486</v>
      </c>
      <c r="Y1028" t="s">
        <v>556</v>
      </c>
      <c r="Z1028" t="s">
        <v>179</v>
      </c>
      <c r="AA1028" t="s">
        <v>643</v>
      </c>
      <c r="AB1028" t="s">
        <v>2405</v>
      </c>
      <c r="AC1028" t="s">
        <v>329</v>
      </c>
      <c r="AD1028" t="s">
        <v>4490</v>
      </c>
      <c r="AE1028" t="s">
        <v>246</v>
      </c>
      <c r="AF1028" t="s">
        <v>185</v>
      </c>
      <c r="AG1028">
        <v>392410.3</v>
      </c>
      <c r="AH1028">
        <v>65</v>
      </c>
      <c r="AL1028" t="s">
        <v>4477</v>
      </c>
      <c r="AT1028" t="s">
        <v>4460</v>
      </c>
    </row>
    <row r="1029" spans="1:122" x14ac:dyDescent="0.25">
      <c r="A1029" t="s">
        <v>4491</v>
      </c>
      <c r="B1029" t="e">
        <f>_xlfn.XLOOKUP(C1029,'[1]Image URL'!$E:$E,'[1]Image URL'!$A:$A)</f>
        <v>#N/A</v>
      </c>
      <c r="C1029" t="s">
        <v>5078</v>
      </c>
      <c r="D1029" t="s">
        <v>4493</v>
      </c>
      <c r="E1029" t="s">
        <v>4494</v>
      </c>
      <c r="F1029" t="s">
        <v>4495</v>
      </c>
      <c r="G1029" t="s">
        <v>991</v>
      </c>
      <c r="H1029" t="s">
        <v>4496</v>
      </c>
      <c r="I1029" t="s">
        <v>194</v>
      </c>
      <c r="J1029" t="s">
        <v>212</v>
      </c>
      <c r="U1029" t="s">
        <v>217</v>
      </c>
      <c r="V1029" t="s">
        <v>157</v>
      </c>
      <c r="W1029">
        <v>77838503706</v>
      </c>
      <c r="X1029">
        <v>10077838003708</v>
      </c>
      <c r="Y1029" t="s">
        <v>2968</v>
      </c>
      <c r="Z1029" t="s">
        <v>1835</v>
      </c>
      <c r="AA1029" t="s">
        <v>755</v>
      </c>
      <c r="AB1029" t="s">
        <v>1804</v>
      </c>
      <c r="AC1029" t="s">
        <v>868</v>
      </c>
      <c r="AD1029" t="s">
        <v>402</v>
      </c>
      <c r="AE1029" t="s">
        <v>349</v>
      </c>
      <c r="AF1029" t="s">
        <v>315</v>
      </c>
      <c r="AG1029">
        <v>392410.3</v>
      </c>
      <c r="AH1029">
        <v>70</v>
      </c>
    </row>
    <row r="1030" spans="1:122" x14ac:dyDescent="0.25">
      <c r="A1030" t="s">
        <v>4497</v>
      </c>
      <c r="B1030" t="e">
        <f>_xlfn.XLOOKUP(C1030,'[1]Image URL'!$E:$E,'[1]Image URL'!$A:$A)</f>
        <v>#N/A</v>
      </c>
      <c r="C1030" t="s">
        <v>5083</v>
      </c>
      <c r="D1030" t="s">
        <v>4499</v>
      </c>
      <c r="E1030" t="s">
        <v>4500</v>
      </c>
      <c r="F1030" t="s">
        <v>3617</v>
      </c>
      <c r="G1030" t="s">
        <v>2075</v>
      </c>
      <c r="H1030" t="s">
        <v>1650</v>
      </c>
      <c r="I1030" t="s">
        <v>4419</v>
      </c>
      <c r="J1030" t="s">
        <v>4420</v>
      </c>
      <c r="U1030" t="s">
        <v>4421</v>
      </c>
      <c r="V1030" t="s">
        <v>157</v>
      </c>
      <c r="W1030">
        <v>77838242766</v>
      </c>
      <c r="X1030">
        <v>10077838042769</v>
      </c>
      <c r="Y1030" t="s">
        <v>304</v>
      </c>
      <c r="Z1030" t="s">
        <v>884</v>
      </c>
      <c r="AA1030" t="s">
        <v>4501</v>
      </c>
      <c r="AB1030" t="s">
        <v>1531</v>
      </c>
      <c r="AC1030" t="s">
        <v>2096</v>
      </c>
      <c r="AD1030" t="s">
        <v>1142</v>
      </c>
      <c r="AE1030" t="s">
        <v>184</v>
      </c>
      <c r="AF1030" t="s">
        <v>349</v>
      </c>
      <c r="AG1030">
        <v>392410.3</v>
      </c>
      <c r="AH1030">
        <v>65</v>
      </c>
      <c r="AL1030" t="s">
        <v>3222</v>
      </c>
    </row>
    <row r="1031" spans="1:122" x14ac:dyDescent="0.25">
      <c r="A1031" t="s">
        <v>4502</v>
      </c>
      <c r="B1031" t="e">
        <f>_xlfn.XLOOKUP(C1031,'[1]Image URL'!$E:$E,'[1]Image URL'!$A:$A)</f>
        <v>#N/A</v>
      </c>
      <c r="C1031" t="s">
        <v>5085</v>
      </c>
      <c r="D1031" t="s">
        <v>4504</v>
      </c>
      <c r="E1031" t="s">
        <v>4416</v>
      </c>
      <c r="F1031" t="s">
        <v>379</v>
      </c>
      <c r="G1031" t="s">
        <v>643</v>
      </c>
      <c r="H1031" t="s">
        <v>1650</v>
      </c>
      <c r="I1031" t="s">
        <v>4419</v>
      </c>
      <c r="J1031" t="s">
        <v>4420</v>
      </c>
      <c r="U1031" t="s">
        <v>4421</v>
      </c>
      <c r="V1031" t="s">
        <v>157</v>
      </c>
      <c r="W1031">
        <v>77838048450</v>
      </c>
      <c r="X1031">
        <v>10077838048457</v>
      </c>
      <c r="Y1031" t="s">
        <v>4505</v>
      </c>
      <c r="Z1031" t="s">
        <v>2505</v>
      </c>
      <c r="AA1031" t="s">
        <v>2412</v>
      </c>
      <c r="AB1031" t="s">
        <v>271</v>
      </c>
      <c r="AC1031" t="s">
        <v>766</v>
      </c>
      <c r="AD1031" t="s">
        <v>301</v>
      </c>
      <c r="AE1031" t="s">
        <v>235</v>
      </c>
      <c r="AF1031" t="s">
        <v>349</v>
      </c>
      <c r="AG1031">
        <v>392410.3</v>
      </c>
      <c r="AH1031">
        <v>60</v>
      </c>
      <c r="AL1031" t="s">
        <v>4423</v>
      </c>
    </row>
    <row r="1032" spans="1:122" x14ac:dyDescent="0.25">
      <c r="A1032" t="s">
        <v>4506</v>
      </c>
      <c r="B1032" t="e">
        <f>_xlfn.XLOOKUP(C1032,'[1]Image URL'!$E:$E,'[1]Image URL'!$A:$A)</f>
        <v>#N/A</v>
      </c>
      <c r="C1032" t="s">
        <v>5088</v>
      </c>
      <c r="D1032" t="s">
        <v>4508</v>
      </c>
      <c r="E1032" t="s">
        <v>4481</v>
      </c>
      <c r="F1032" t="s">
        <v>932</v>
      </c>
      <c r="G1032" t="s">
        <v>2782</v>
      </c>
      <c r="H1032" t="s">
        <v>1650</v>
      </c>
      <c r="I1032" t="s">
        <v>4419</v>
      </c>
      <c r="J1032" t="s">
        <v>4420</v>
      </c>
      <c r="U1032" t="s">
        <v>4421</v>
      </c>
      <c r="V1032" t="s">
        <v>157</v>
      </c>
      <c r="W1032">
        <v>77838273661</v>
      </c>
      <c r="X1032">
        <v>10077838073664</v>
      </c>
      <c r="Y1032" t="s">
        <v>4509</v>
      </c>
      <c r="Z1032" t="s">
        <v>2873</v>
      </c>
      <c r="AA1032" t="s">
        <v>4510</v>
      </c>
      <c r="AB1032" t="s">
        <v>1510</v>
      </c>
      <c r="AC1032" t="s">
        <v>345</v>
      </c>
      <c r="AD1032" t="s">
        <v>203</v>
      </c>
      <c r="AE1032" t="s">
        <v>302</v>
      </c>
      <c r="AF1032" t="s">
        <v>315</v>
      </c>
      <c r="AG1032">
        <v>392410.3</v>
      </c>
      <c r="AH1032">
        <v>65</v>
      </c>
    </row>
    <row r="1033" spans="1:122" x14ac:dyDescent="0.25">
      <c r="A1033" t="s">
        <v>4511</v>
      </c>
      <c r="B1033" t="e">
        <f>_xlfn.XLOOKUP(C1033,'[1]Image URL'!$E:$E,'[1]Image URL'!$A:$A)</f>
        <v>#N/A</v>
      </c>
      <c r="C1033" t="s">
        <v>5092</v>
      </c>
      <c r="D1033" t="s">
        <v>4513</v>
      </c>
      <c r="E1033" t="s">
        <v>4514</v>
      </c>
      <c r="F1033" t="s">
        <v>4065</v>
      </c>
      <c r="G1033" t="s">
        <v>506</v>
      </c>
      <c r="H1033" t="s">
        <v>1650</v>
      </c>
      <c r="I1033" t="s">
        <v>4419</v>
      </c>
      <c r="J1033" t="s">
        <v>4420</v>
      </c>
      <c r="U1033" t="s">
        <v>4421</v>
      </c>
      <c r="V1033" t="s">
        <v>157</v>
      </c>
      <c r="W1033">
        <v>77838051139</v>
      </c>
      <c r="X1033">
        <v>10077838051136</v>
      </c>
      <c r="Y1033" t="s">
        <v>4515</v>
      </c>
      <c r="Z1033" t="s">
        <v>903</v>
      </c>
      <c r="AA1033" t="s">
        <v>1860</v>
      </c>
      <c r="AB1033" t="s">
        <v>3989</v>
      </c>
      <c r="AC1033" t="s">
        <v>2758</v>
      </c>
      <c r="AD1033" t="s">
        <v>4459</v>
      </c>
      <c r="AE1033" t="s">
        <v>235</v>
      </c>
      <c r="AF1033" t="s">
        <v>403</v>
      </c>
      <c r="AG1033">
        <v>392410.3</v>
      </c>
      <c r="AH1033">
        <v>65</v>
      </c>
      <c r="AL1033" t="s">
        <v>2526</v>
      </c>
    </row>
    <row r="1034" spans="1:122" x14ac:dyDescent="0.25">
      <c r="A1034" t="s">
        <v>4516</v>
      </c>
      <c r="B1034" t="e">
        <f>_xlfn.XLOOKUP(C1034,'[1]Image URL'!$E:$E,'[1]Image URL'!$A:$A)</f>
        <v>#N/A</v>
      </c>
      <c r="C1034" t="s">
        <v>5095</v>
      </c>
      <c r="D1034" t="s">
        <v>4517</v>
      </c>
      <c r="E1034" t="s">
        <v>4457</v>
      </c>
      <c r="F1034" t="s">
        <v>444</v>
      </c>
      <c r="G1034" t="s">
        <v>472</v>
      </c>
      <c r="J1034" t="s">
        <v>195</v>
      </c>
      <c r="U1034" t="s">
        <v>1459</v>
      </c>
      <c r="V1034" t="s">
        <v>1385</v>
      </c>
      <c r="W1034">
        <v>77838677148</v>
      </c>
      <c r="X1034">
        <v>10077838177140</v>
      </c>
      <c r="Y1034" t="s">
        <v>4458</v>
      </c>
      <c r="Z1034" t="s">
        <v>1743</v>
      </c>
      <c r="AA1034" t="s">
        <v>244</v>
      </c>
      <c r="AB1034" t="s">
        <v>1374</v>
      </c>
      <c r="AC1034" t="s">
        <v>211</v>
      </c>
      <c r="AD1034" t="s">
        <v>4459</v>
      </c>
      <c r="AE1034" t="s">
        <v>403</v>
      </c>
      <c r="AF1034" t="s">
        <v>235</v>
      </c>
      <c r="AG1034">
        <v>392410.3</v>
      </c>
      <c r="AH1034">
        <v>70</v>
      </c>
      <c r="AT1034" t="s">
        <v>4460</v>
      </c>
    </row>
    <row r="1035" spans="1:122" x14ac:dyDescent="0.25">
      <c r="A1035" t="s">
        <v>4518</v>
      </c>
      <c r="B1035" t="e">
        <f>_xlfn.XLOOKUP(C1035,'[1]Image URL'!$E:$E,'[1]Image URL'!$A:$A)</f>
        <v>#N/A</v>
      </c>
      <c r="C1035" t="s">
        <v>5098</v>
      </c>
      <c r="D1035" t="s">
        <v>4520</v>
      </c>
      <c r="E1035" t="s">
        <v>4437</v>
      </c>
      <c r="F1035" t="s">
        <v>1476</v>
      </c>
      <c r="G1035" t="s">
        <v>3931</v>
      </c>
      <c r="H1035" t="s">
        <v>1600</v>
      </c>
      <c r="I1035" t="s">
        <v>194</v>
      </c>
      <c r="J1035" t="s">
        <v>212</v>
      </c>
      <c r="U1035" t="s">
        <v>217</v>
      </c>
      <c r="V1035" t="s">
        <v>157</v>
      </c>
      <c r="W1035">
        <v>77838503928</v>
      </c>
      <c r="X1035">
        <v>10077838003920</v>
      </c>
      <c r="Y1035" t="s">
        <v>4438</v>
      </c>
      <c r="Z1035" t="s">
        <v>297</v>
      </c>
      <c r="AA1035" t="s">
        <v>827</v>
      </c>
      <c r="AB1035" t="s">
        <v>893</v>
      </c>
      <c r="AC1035" t="s">
        <v>836</v>
      </c>
      <c r="AD1035" t="s">
        <v>3144</v>
      </c>
      <c r="AE1035" t="s">
        <v>268</v>
      </c>
      <c r="AF1035" t="s">
        <v>185</v>
      </c>
      <c r="AG1035">
        <v>392410.3</v>
      </c>
      <c r="AH1035">
        <v>65</v>
      </c>
      <c r="DQ1035" t="s">
        <v>444</v>
      </c>
      <c r="DR1035" t="s">
        <v>578</v>
      </c>
    </row>
    <row r="1036" spans="1:122" x14ac:dyDescent="0.25">
      <c r="A1036" t="s">
        <v>4521</v>
      </c>
      <c r="B1036" t="e">
        <f>_xlfn.XLOOKUP(C1036,'[1]Image URL'!$E:$E,'[1]Image URL'!$A:$A)</f>
        <v>#N/A</v>
      </c>
      <c r="C1036" t="s">
        <v>5101</v>
      </c>
      <c r="D1036" t="s">
        <v>4523</v>
      </c>
      <c r="E1036" t="s">
        <v>4437</v>
      </c>
      <c r="F1036" t="s">
        <v>1476</v>
      </c>
      <c r="G1036" t="s">
        <v>3931</v>
      </c>
      <c r="H1036" t="s">
        <v>1600</v>
      </c>
      <c r="I1036" t="s">
        <v>194</v>
      </c>
      <c r="J1036" t="s">
        <v>212</v>
      </c>
      <c r="U1036" t="s">
        <v>217</v>
      </c>
      <c r="V1036" t="s">
        <v>157</v>
      </c>
      <c r="W1036">
        <v>77838503935</v>
      </c>
      <c r="X1036">
        <v>10077838003937</v>
      </c>
      <c r="Y1036" t="s">
        <v>4438</v>
      </c>
      <c r="Z1036" t="s">
        <v>297</v>
      </c>
      <c r="AA1036" t="s">
        <v>827</v>
      </c>
      <c r="AB1036" t="s">
        <v>893</v>
      </c>
      <c r="AC1036" t="s">
        <v>836</v>
      </c>
      <c r="AD1036" t="s">
        <v>3144</v>
      </c>
      <c r="AE1036" t="s">
        <v>268</v>
      </c>
      <c r="AF1036" t="s">
        <v>185</v>
      </c>
      <c r="AG1036">
        <v>392410.3</v>
      </c>
      <c r="AH1036">
        <v>65</v>
      </c>
      <c r="DQ1036" t="s">
        <v>444</v>
      </c>
      <c r="DR1036" t="s">
        <v>578</v>
      </c>
    </row>
    <row r="1037" spans="1:122" x14ac:dyDescent="0.25">
      <c r="A1037" t="s">
        <v>4524</v>
      </c>
      <c r="B1037" t="e">
        <f>_xlfn.XLOOKUP(C1037,'[1]Image URL'!$E:$E,'[1]Image URL'!$A:$A)</f>
        <v>#N/A</v>
      </c>
      <c r="C1037" t="s">
        <v>5104</v>
      </c>
      <c r="D1037" t="s">
        <v>4526</v>
      </c>
      <c r="E1037" t="s">
        <v>4410</v>
      </c>
      <c r="F1037" t="s">
        <v>4411</v>
      </c>
      <c r="G1037" t="s">
        <v>643</v>
      </c>
      <c r="H1037" t="s">
        <v>4412</v>
      </c>
      <c r="I1037" t="s">
        <v>194</v>
      </c>
      <c r="J1037" t="s">
        <v>212</v>
      </c>
      <c r="U1037" t="s">
        <v>217</v>
      </c>
      <c r="V1037" t="s">
        <v>157</v>
      </c>
      <c r="W1037">
        <v>77838503959</v>
      </c>
      <c r="X1037">
        <v>10077838003951</v>
      </c>
      <c r="Y1037" t="s">
        <v>1016</v>
      </c>
      <c r="Z1037" t="s">
        <v>666</v>
      </c>
      <c r="AA1037" t="s">
        <v>807</v>
      </c>
      <c r="AB1037" t="s">
        <v>444</v>
      </c>
      <c r="AC1037" t="s">
        <v>846</v>
      </c>
      <c r="AD1037" t="s">
        <v>555</v>
      </c>
      <c r="AE1037" t="s">
        <v>235</v>
      </c>
      <c r="AF1037" t="s">
        <v>184</v>
      </c>
      <c r="AG1037">
        <v>392410.3</v>
      </c>
      <c r="AH1037">
        <v>70</v>
      </c>
      <c r="DQ1037" t="s">
        <v>771</v>
      </c>
      <c r="DR1037" t="s">
        <v>457</v>
      </c>
    </row>
    <row r="1038" spans="1:122" x14ac:dyDescent="0.25">
      <c r="A1038" t="s">
        <v>4527</v>
      </c>
      <c r="B1038" t="e">
        <f>_xlfn.XLOOKUP(C1038,'[1]Image URL'!$E:$E,'[1]Image URL'!$A:$A)</f>
        <v>#N/A</v>
      </c>
      <c r="C1038" t="s">
        <v>5110</v>
      </c>
      <c r="D1038" t="s">
        <v>4444</v>
      </c>
      <c r="E1038" t="s">
        <v>4416</v>
      </c>
      <c r="F1038" t="s">
        <v>4417</v>
      </c>
      <c r="G1038" t="s">
        <v>4418</v>
      </c>
      <c r="H1038" t="s">
        <v>2204</v>
      </c>
      <c r="I1038" t="s">
        <v>4419</v>
      </c>
      <c r="J1038" t="s">
        <v>4420</v>
      </c>
      <c r="U1038" t="s">
        <v>4421</v>
      </c>
      <c r="V1038" t="s">
        <v>157</v>
      </c>
      <c r="W1038">
        <v>77838861653</v>
      </c>
      <c r="X1038">
        <v>10077838861650</v>
      </c>
      <c r="Y1038" t="s">
        <v>1097</v>
      </c>
      <c r="Z1038" t="s">
        <v>1743</v>
      </c>
      <c r="AA1038" t="s">
        <v>4422</v>
      </c>
      <c r="AB1038" t="s">
        <v>519</v>
      </c>
      <c r="AC1038" t="s">
        <v>1136</v>
      </c>
      <c r="AD1038" t="s">
        <v>301</v>
      </c>
      <c r="AE1038" t="s">
        <v>302</v>
      </c>
      <c r="AF1038" t="s">
        <v>303</v>
      </c>
      <c r="AG1038">
        <v>392410.3</v>
      </c>
      <c r="AH1038">
        <v>85</v>
      </c>
      <c r="AL1038" t="s">
        <v>4423</v>
      </c>
    </row>
    <row r="1039" spans="1:122" x14ac:dyDescent="0.25">
      <c r="A1039" t="s">
        <v>4529</v>
      </c>
      <c r="B1039" t="e">
        <f>_xlfn.XLOOKUP(C1039,'[1]Image URL'!$E:$E,'[1]Image URL'!$A:$A)</f>
        <v>#N/A</v>
      </c>
      <c r="C1039" t="s">
        <v>5118</v>
      </c>
      <c r="D1039" t="s">
        <v>4530</v>
      </c>
      <c r="E1039" t="s">
        <v>4457</v>
      </c>
      <c r="F1039" t="s">
        <v>444</v>
      </c>
      <c r="G1039" t="s">
        <v>472</v>
      </c>
      <c r="J1039" t="s">
        <v>195</v>
      </c>
      <c r="U1039" t="s">
        <v>1459</v>
      </c>
      <c r="V1039" t="s">
        <v>1385</v>
      </c>
      <c r="W1039">
        <v>77838298701</v>
      </c>
      <c r="X1039">
        <v>10077838098704</v>
      </c>
      <c r="Y1039" t="s">
        <v>4458</v>
      </c>
      <c r="Z1039" t="s">
        <v>1743</v>
      </c>
      <c r="AA1039" t="s">
        <v>244</v>
      </c>
      <c r="AB1039" t="s">
        <v>1374</v>
      </c>
      <c r="AC1039" t="s">
        <v>211</v>
      </c>
      <c r="AD1039" t="s">
        <v>4459</v>
      </c>
      <c r="AE1039" t="s">
        <v>403</v>
      </c>
      <c r="AF1039" t="s">
        <v>235</v>
      </c>
      <c r="AG1039">
        <v>392410.3</v>
      </c>
      <c r="AH1039">
        <v>70</v>
      </c>
      <c r="AT1039" t="s">
        <v>4460</v>
      </c>
    </row>
    <row r="1040" spans="1:122" x14ac:dyDescent="0.25">
      <c r="A1040" t="s">
        <v>4531</v>
      </c>
      <c r="B1040" t="e">
        <f>_xlfn.XLOOKUP(C1040,'[1]Image URL'!$E:$E,'[1]Image URL'!$A:$A)</f>
        <v>#N/A</v>
      </c>
      <c r="C1040" t="s">
        <v>5121</v>
      </c>
      <c r="D1040" t="s">
        <v>4532</v>
      </c>
      <c r="E1040" t="s">
        <v>4533</v>
      </c>
      <c r="F1040" t="s">
        <v>4534</v>
      </c>
      <c r="G1040" t="s">
        <v>4534</v>
      </c>
      <c r="H1040" t="s">
        <v>1650</v>
      </c>
      <c r="U1040" t="s">
        <v>156</v>
      </c>
      <c r="V1040" t="s">
        <v>157</v>
      </c>
      <c r="W1040">
        <v>77838501252</v>
      </c>
      <c r="X1040">
        <v>10077838001254</v>
      </c>
      <c r="Y1040" t="s">
        <v>2885</v>
      </c>
      <c r="Z1040" t="s">
        <v>179</v>
      </c>
      <c r="AA1040" t="s">
        <v>3110</v>
      </c>
      <c r="AB1040" t="s">
        <v>444</v>
      </c>
      <c r="AC1040" t="s">
        <v>345</v>
      </c>
      <c r="AD1040" t="s">
        <v>647</v>
      </c>
      <c r="AE1040" t="s">
        <v>315</v>
      </c>
      <c r="AF1040" t="s">
        <v>185</v>
      </c>
      <c r="AG1040">
        <v>392410.3</v>
      </c>
      <c r="AH1040">
        <v>65</v>
      </c>
      <c r="AL1040" t="s">
        <v>896</v>
      </c>
      <c r="AN1040" t="s">
        <v>643</v>
      </c>
    </row>
    <row r="1041" spans="1:122" x14ac:dyDescent="0.25">
      <c r="A1041" t="s">
        <v>4535</v>
      </c>
      <c r="B1041" t="e">
        <f>_xlfn.XLOOKUP(C1041,'[1]Image URL'!$E:$E,'[1]Image URL'!$A:$A)</f>
        <v>#N/A</v>
      </c>
      <c r="C1041" t="s">
        <v>5124</v>
      </c>
      <c r="D1041" t="s">
        <v>4536</v>
      </c>
      <c r="E1041" t="s">
        <v>4537</v>
      </c>
      <c r="F1041" t="s">
        <v>643</v>
      </c>
      <c r="G1041" t="s">
        <v>472</v>
      </c>
      <c r="J1041" t="s">
        <v>195</v>
      </c>
      <c r="U1041" t="s">
        <v>1459</v>
      </c>
      <c r="V1041" t="s">
        <v>1385</v>
      </c>
      <c r="W1041">
        <v>77838298381</v>
      </c>
      <c r="X1041">
        <v>10077838098384</v>
      </c>
      <c r="Y1041" t="s">
        <v>4538</v>
      </c>
      <c r="Z1041" t="s">
        <v>1764</v>
      </c>
      <c r="AA1041" t="s">
        <v>2238</v>
      </c>
      <c r="AB1041" t="s">
        <v>1374</v>
      </c>
      <c r="AC1041" t="s">
        <v>266</v>
      </c>
      <c r="AD1041" t="s">
        <v>183</v>
      </c>
      <c r="AE1041" t="s">
        <v>184</v>
      </c>
      <c r="AF1041" t="s">
        <v>185</v>
      </c>
      <c r="AG1041">
        <v>392410.3</v>
      </c>
      <c r="AH1041">
        <v>65</v>
      </c>
      <c r="AT1041" t="s">
        <v>4433</v>
      </c>
    </row>
    <row r="1042" spans="1:122" x14ac:dyDescent="0.25">
      <c r="A1042" t="s">
        <v>4539</v>
      </c>
      <c r="B1042" t="e">
        <f>_xlfn.XLOOKUP(C1042,'[1]Image URL'!$E:$E,'[1]Image URL'!$A:$A)</f>
        <v>#N/A</v>
      </c>
      <c r="C1042" t="s">
        <v>5126</v>
      </c>
      <c r="D1042" t="s">
        <v>4541</v>
      </c>
      <c r="E1042" t="s">
        <v>4542</v>
      </c>
      <c r="F1042" t="s">
        <v>1531</v>
      </c>
      <c r="G1042" t="s">
        <v>1531</v>
      </c>
      <c r="H1042" t="s">
        <v>193</v>
      </c>
      <c r="J1042" t="s">
        <v>4543</v>
      </c>
      <c r="U1042" t="s">
        <v>4421</v>
      </c>
      <c r="V1042" t="s">
        <v>157</v>
      </c>
      <c r="W1042">
        <v>77838884492</v>
      </c>
      <c r="X1042">
        <v>10077838884499</v>
      </c>
      <c r="Y1042" t="s">
        <v>4544</v>
      </c>
      <c r="Z1042" t="s">
        <v>1743</v>
      </c>
      <c r="AA1042" t="s">
        <v>706</v>
      </c>
      <c r="AB1042" t="s">
        <v>2970</v>
      </c>
      <c r="AC1042" t="s">
        <v>757</v>
      </c>
      <c r="AD1042" t="s">
        <v>4459</v>
      </c>
      <c r="AE1042" t="s">
        <v>235</v>
      </c>
      <c r="AF1042" t="s">
        <v>403</v>
      </c>
      <c r="AG1042">
        <v>392410.3</v>
      </c>
      <c r="AH1042">
        <v>65</v>
      </c>
      <c r="AL1042" t="s">
        <v>4545</v>
      </c>
      <c r="AN1042" t="s">
        <v>1531</v>
      </c>
      <c r="AY1042" t="s">
        <v>4546</v>
      </c>
    </row>
    <row r="1043" spans="1:122" x14ac:dyDescent="0.25">
      <c r="A1043" t="s">
        <v>4547</v>
      </c>
      <c r="B1043" t="e">
        <f>_xlfn.XLOOKUP(C1043,'[1]Image URL'!$E:$E,'[1]Image URL'!$A:$A)</f>
        <v>#N/A</v>
      </c>
      <c r="C1043">
        <v>601002</v>
      </c>
      <c r="D1043" t="s">
        <v>4549</v>
      </c>
      <c r="E1043" t="s">
        <v>4481</v>
      </c>
      <c r="F1043" t="s">
        <v>3983</v>
      </c>
      <c r="G1043" t="s">
        <v>576</v>
      </c>
      <c r="H1043" t="s">
        <v>1650</v>
      </c>
      <c r="I1043" t="s">
        <v>4419</v>
      </c>
      <c r="J1043" t="s">
        <v>4420</v>
      </c>
      <c r="U1043" t="s">
        <v>4421</v>
      </c>
      <c r="V1043" t="s">
        <v>157</v>
      </c>
      <c r="W1043">
        <v>77838273777</v>
      </c>
      <c r="X1043">
        <v>10077838073770</v>
      </c>
      <c r="Y1043" t="s">
        <v>4550</v>
      </c>
      <c r="Z1043" t="s">
        <v>1773</v>
      </c>
      <c r="AA1043" t="s">
        <v>488</v>
      </c>
      <c r="AB1043" t="s">
        <v>457</v>
      </c>
      <c r="AC1043" t="s">
        <v>953</v>
      </c>
      <c r="AD1043" t="s">
        <v>301</v>
      </c>
      <c r="AE1043" t="s">
        <v>235</v>
      </c>
      <c r="AF1043" t="s">
        <v>349</v>
      </c>
      <c r="AG1043">
        <v>392410.3</v>
      </c>
      <c r="AH1043">
        <v>70</v>
      </c>
    </row>
    <row r="1044" spans="1:122" x14ac:dyDescent="0.25">
      <c r="A1044" t="s">
        <v>4551</v>
      </c>
      <c r="B1044" t="e">
        <f>_xlfn.XLOOKUP(C1044,'[1]Image URL'!$E:$E,'[1]Image URL'!$A:$A)</f>
        <v>#N/A</v>
      </c>
      <c r="C1044">
        <v>601001</v>
      </c>
      <c r="D1044" t="s">
        <v>4553</v>
      </c>
      <c r="E1044" t="s">
        <v>4542</v>
      </c>
      <c r="F1044" t="s">
        <v>1226</v>
      </c>
      <c r="G1044" t="s">
        <v>911</v>
      </c>
      <c r="H1044" t="s">
        <v>193</v>
      </c>
      <c r="J1044" t="s">
        <v>4543</v>
      </c>
      <c r="U1044" t="s">
        <v>4421</v>
      </c>
      <c r="V1044" t="s">
        <v>157</v>
      </c>
      <c r="W1044">
        <v>77838884621</v>
      </c>
      <c r="X1044">
        <v>10077838884628</v>
      </c>
      <c r="Y1044" t="s">
        <v>1255</v>
      </c>
      <c r="Z1044" t="s">
        <v>297</v>
      </c>
      <c r="AA1044" t="s">
        <v>911</v>
      </c>
      <c r="AB1044" t="s">
        <v>488</v>
      </c>
      <c r="AC1044" t="s">
        <v>2450</v>
      </c>
      <c r="AD1044" t="s">
        <v>446</v>
      </c>
      <c r="AE1044" t="s">
        <v>302</v>
      </c>
      <c r="AF1044" t="s">
        <v>184</v>
      </c>
      <c r="AG1044">
        <v>392410.3</v>
      </c>
      <c r="AH1044">
        <v>65</v>
      </c>
      <c r="AL1044" t="s">
        <v>4554</v>
      </c>
      <c r="AY1044" t="s">
        <v>4546</v>
      </c>
    </row>
    <row r="1045" spans="1:122" x14ac:dyDescent="0.25">
      <c r="A1045" t="s">
        <v>4555</v>
      </c>
      <c r="B1045" t="e">
        <f>_xlfn.XLOOKUP(C1045,'[1]Image URL'!$E:$E,'[1]Image URL'!$A:$A)</f>
        <v>#N/A</v>
      </c>
      <c r="C1045">
        <v>60103</v>
      </c>
      <c r="D1045" t="s">
        <v>4557</v>
      </c>
      <c r="E1045" t="s">
        <v>4427</v>
      </c>
      <c r="F1045" t="s">
        <v>4428</v>
      </c>
      <c r="G1045" t="s">
        <v>472</v>
      </c>
      <c r="I1045" t="s">
        <v>194</v>
      </c>
      <c r="J1045" t="s">
        <v>212</v>
      </c>
      <c r="U1045" t="s">
        <v>217</v>
      </c>
      <c r="V1045" t="s">
        <v>157</v>
      </c>
      <c r="W1045">
        <v>77838287927</v>
      </c>
      <c r="X1045">
        <v>10077838087920</v>
      </c>
      <c r="Y1045" t="s">
        <v>4429</v>
      </c>
      <c r="Z1045" t="s">
        <v>4169</v>
      </c>
      <c r="AA1045" t="s">
        <v>1860</v>
      </c>
      <c r="AB1045" t="s">
        <v>882</v>
      </c>
      <c r="AC1045" t="s">
        <v>523</v>
      </c>
      <c r="AD1045" t="s">
        <v>446</v>
      </c>
      <c r="AE1045" t="s">
        <v>184</v>
      </c>
      <c r="AF1045" t="s">
        <v>302</v>
      </c>
      <c r="AG1045">
        <v>392410.3</v>
      </c>
      <c r="AH1045">
        <v>70</v>
      </c>
      <c r="AT1045" t="s">
        <v>1650</v>
      </c>
    </row>
    <row r="1046" spans="1:122" x14ac:dyDescent="0.25">
      <c r="A1046" t="s">
        <v>4558</v>
      </c>
      <c r="B1046" t="e">
        <f>_xlfn.XLOOKUP(C1046,'[1]Image URL'!$E:$E,'[1]Image URL'!$A:$A)</f>
        <v>#N/A</v>
      </c>
      <c r="C1046">
        <v>601000</v>
      </c>
      <c r="D1046" t="s">
        <v>4560</v>
      </c>
      <c r="E1046" t="s">
        <v>4561</v>
      </c>
      <c r="F1046" t="s">
        <v>643</v>
      </c>
      <c r="G1046" t="s">
        <v>643</v>
      </c>
      <c r="H1046" t="s">
        <v>193</v>
      </c>
      <c r="I1046" t="s">
        <v>194</v>
      </c>
      <c r="J1046" t="s">
        <v>212</v>
      </c>
      <c r="U1046" t="s">
        <v>217</v>
      </c>
      <c r="V1046" t="s">
        <v>1385</v>
      </c>
      <c r="W1046">
        <v>77838665015</v>
      </c>
      <c r="X1046">
        <v>10077838165017</v>
      </c>
      <c r="Y1046" t="s">
        <v>4562</v>
      </c>
      <c r="Z1046" t="s">
        <v>666</v>
      </c>
      <c r="AA1046" t="s">
        <v>4563</v>
      </c>
      <c r="AB1046" t="s">
        <v>4564</v>
      </c>
      <c r="AC1046" t="s">
        <v>965</v>
      </c>
      <c r="AD1046" t="s">
        <v>301</v>
      </c>
      <c r="AE1046" t="s">
        <v>235</v>
      </c>
      <c r="AF1046" t="s">
        <v>349</v>
      </c>
      <c r="AG1046">
        <v>392410.3</v>
      </c>
      <c r="AH1046">
        <v>70</v>
      </c>
      <c r="AL1046" t="s">
        <v>3784</v>
      </c>
      <c r="AN1046" t="s">
        <v>643</v>
      </c>
    </row>
    <row r="1047" spans="1:122" x14ac:dyDescent="0.25">
      <c r="A1047" t="s">
        <v>4565</v>
      </c>
      <c r="B1047" t="e">
        <f>_xlfn.XLOOKUP(C1047,'[1]Image URL'!$E:$E,'[1]Image URL'!$A:$A)</f>
        <v>#N/A</v>
      </c>
      <c r="D1047" t="s">
        <v>4567</v>
      </c>
      <c r="E1047" t="s">
        <v>4514</v>
      </c>
      <c r="F1047" t="s">
        <v>4065</v>
      </c>
      <c r="G1047" t="s">
        <v>506</v>
      </c>
      <c r="H1047" t="s">
        <v>1650</v>
      </c>
      <c r="I1047" t="s">
        <v>4419</v>
      </c>
      <c r="J1047" t="s">
        <v>4420</v>
      </c>
      <c r="U1047" t="s">
        <v>4421</v>
      </c>
      <c r="V1047" t="s">
        <v>157</v>
      </c>
      <c r="W1047">
        <v>77838250846</v>
      </c>
      <c r="X1047">
        <v>10077838050849</v>
      </c>
      <c r="Y1047" t="s">
        <v>4515</v>
      </c>
      <c r="Z1047" t="s">
        <v>903</v>
      </c>
      <c r="AA1047" t="s">
        <v>1860</v>
      </c>
      <c r="AB1047" t="s">
        <v>3989</v>
      </c>
      <c r="AC1047" t="s">
        <v>2758</v>
      </c>
      <c r="AD1047" t="s">
        <v>4459</v>
      </c>
      <c r="AE1047" t="s">
        <v>235</v>
      </c>
      <c r="AF1047" t="s">
        <v>403</v>
      </c>
      <c r="AG1047">
        <v>392410.3</v>
      </c>
      <c r="AH1047">
        <v>65</v>
      </c>
      <c r="AL1047" t="s">
        <v>2526</v>
      </c>
    </row>
    <row r="1048" spans="1:122" x14ac:dyDescent="0.25">
      <c r="A1048" t="s">
        <v>4568</v>
      </c>
      <c r="B1048" t="e">
        <f>_xlfn.XLOOKUP(C1048,'[1]Image URL'!$E:$E,'[1]Image URL'!$A:$A)</f>
        <v>#N/A</v>
      </c>
      <c r="D1048" t="s">
        <v>4570</v>
      </c>
      <c r="E1048" t="s">
        <v>4410</v>
      </c>
      <c r="F1048" t="s">
        <v>4411</v>
      </c>
      <c r="G1048" t="s">
        <v>643</v>
      </c>
      <c r="H1048" t="s">
        <v>4412</v>
      </c>
      <c r="I1048" t="s">
        <v>194</v>
      </c>
      <c r="J1048" t="s">
        <v>212</v>
      </c>
      <c r="U1048" t="s">
        <v>217</v>
      </c>
      <c r="V1048" t="s">
        <v>157</v>
      </c>
      <c r="W1048">
        <v>77838504048</v>
      </c>
      <c r="X1048">
        <v>10077838004040</v>
      </c>
      <c r="Y1048" t="s">
        <v>1016</v>
      </c>
      <c r="Z1048" t="s">
        <v>666</v>
      </c>
      <c r="AA1048" t="s">
        <v>807</v>
      </c>
      <c r="AB1048" t="s">
        <v>444</v>
      </c>
      <c r="AC1048" t="s">
        <v>846</v>
      </c>
      <c r="AD1048" t="s">
        <v>555</v>
      </c>
      <c r="AE1048" t="s">
        <v>235</v>
      </c>
      <c r="AF1048" t="s">
        <v>184</v>
      </c>
      <c r="AG1048">
        <v>392410.3</v>
      </c>
      <c r="AH1048">
        <v>70</v>
      </c>
      <c r="DQ1048" t="s">
        <v>771</v>
      </c>
      <c r="DR1048" t="s">
        <v>457</v>
      </c>
    </row>
    <row r="1049" spans="1:122" x14ac:dyDescent="0.25">
      <c r="A1049" t="s">
        <v>4571</v>
      </c>
      <c r="B1049" t="e">
        <f>_xlfn.XLOOKUP(C1049,'[1]Image URL'!$E:$E,'[1]Image URL'!$A:$A)</f>
        <v>#N/A</v>
      </c>
      <c r="D1049" t="s">
        <v>4573</v>
      </c>
      <c r="E1049" t="s">
        <v>4574</v>
      </c>
      <c r="F1049" t="s">
        <v>742</v>
      </c>
      <c r="G1049" t="s">
        <v>457</v>
      </c>
      <c r="H1049" t="s">
        <v>193</v>
      </c>
      <c r="I1049" t="s">
        <v>194</v>
      </c>
      <c r="J1049" t="s">
        <v>212</v>
      </c>
      <c r="O1049" t="s">
        <v>643</v>
      </c>
      <c r="P1049" t="s">
        <v>472</v>
      </c>
      <c r="U1049" t="s">
        <v>217</v>
      </c>
      <c r="V1049" t="s">
        <v>1385</v>
      </c>
      <c r="W1049">
        <v>77838678602</v>
      </c>
      <c r="X1049">
        <v>10077838178604</v>
      </c>
      <c r="Y1049" t="s">
        <v>4575</v>
      </c>
      <c r="Z1049" t="s">
        <v>1493</v>
      </c>
      <c r="AA1049" t="s">
        <v>4576</v>
      </c>
      <c r="AB1049" t="s">
        <v>311</v>
      </c>
      <c r="AC1049" t="s">
        <v>4577</v>
      </c>
      <c r="AD1049" t="s">
        <v>600</v>
      </c>
      <c r="AE1049" t="s">
        <v>235</v>
      </c>
      <c r="AF1049" t="s">
        <v>185</v>
      </c>
      <c r="AG1049">
        <v>392410.3</v>
      </c>
      <c r="AH1049">
        <v>70</v>
      </c>
      <c r="AL1049" t="s">
        <v>3222</v>
      </c>
    </row>
    <row r="1050" spans="1:122" x14ac:dyDescent="0.25">
      <c r="A1050" t="s">
        <v>4578</v>
      </c>
      <c r="B1050" t="e">
        <f>_xlfn.XLOOKUP(C1050,'[1]Image URL'!$E:$E,'[1]Image URL'!$A:$A)</f>
        <v>#N/A</v>
      </c>
      <c r="D1050" t="s">
        <v>4580</v>
      </c>
      <c r="E1050" t="s">
        <v>4481</v>
      </c>
      <c r="F1050" t="s">
        <v>932</v>
      </c>
      <c r="G1050" t="s">
        <v>2782</v>
      </c>
      <c r="H1050" t="s">
        <v>1650</v>
      </c>
      <c r="I1050" t="s">
        <v>4419</v>
      </c>
      <c r="J1050" t="s">
        <v>4420</v>
      </c>
      <c r="U1050" t="s">
        <v>4421</v>
      </c>
      <c r="V1050" t="s">
        <v>157</v>
      </c>
      <c r="W1050">
        <v>77838273715</v>
      </c>
      <c r="X1050">
        <v>10077838073718</v>
      </c>
      <c r="Y1050" t="s">
        <v>4509</v>
      </c>
      <c r="Z1050" t="s">
        <v>2873</v>
      </c>
      <c r="AA1050" t="s">
        <v>4510</v>
      </c>
      <c r="AB1050" t="s">
        <v>1510</v>
      </c>
      <c r="AC1050" t="s">
        <v>345</v>
      </c>
      <c r="AD1050" t="s">
        <v>203</v>
      </c>
      <c r="AE1050" t="s">
        <v>302</v>
      </c>
      <c r="AF1050" t="s">
        <v>315</v>
      </c>
      <c r="AG1050">
        <v>392410.3</v>
      </c>
      <c r="AH1050">
        <v>65</v>
      </c>
    </row>
    <row r="1051" spans="1:122" x14ac:dyDescent="0.25">
      <c r="A1051" t="s">
        <v>4581</v>
      </c>
      <c r="B1051" t="e">
        <f>_xlfn.XLOOKUP(C1051,'[1]Image URL'!$E:$E,'[1]Image URL'!$A:$A)</f>
        <v>#N/A</v>
      </c>
      <c r="D1051" t="s">
        <v>4583</v>
      </c>
      <c r="E1051" t="s">
        <v>4410</v>
      </c>
      <c r="F1051" t="s">
        <v>4411</v>
      </c>
      <c r="G1051" t="s">
        <v>643</v>
      </c>
      <c r="H1051" t="s">
        <v>4412</v>
      </c>
      <c r="I1051" t="s">
        <v>194</v>
      </c>
      <c r="J1051" t="s">
        <v>212</v>
      </c>
      <c r="U1051" t="s">
        <v>217</v>
      </c>
      <c r="V1051" t="s">
        <v>157</v>
      </c>
      <c r="W1051">
        <v>77838504017</v>
      </c>
      <c r="X1051">
        <v>10077838004019</v>
      </c>
      <c r="Y1051" t="s">
        <v>1016</v>
      </c>
      <c r="Z1051" t="s">
        <v>666</v>
      </c>
      <c r="AA1051" t="s">
        <v>807</v>
      </c>
      <c r="AB1051" t="s">
        <v>444</v>
      </c>
      <c r="AC1051" t="s">
        <v>846</v>
      </c>
      <c r="AD1051" t="s">
        <v>555</v>
      </c>
      <c r="AE1051" t="s">
        <v>235</v>
      </c>
      <c r="AF1051" t="s">
        <v>184</v>
      </c>
      <c r="AG1051">
        <v>392410.3</v>
      </c>
      <c r="AH1051">
        <v>70</v>
      </c>
      <c r="DQ1051" t="s">
        <v>771</v>
      </c>
      <c r="DR1051" t="s">
        <v>457</v>
      </c>
    </row>
    <row r="1052" spans="1:122" x14ac:dyDescent="0.25">
      <c r="A1052" t="s">
        <v>4584</v>
      </c>
      <c r="B1052" t="e">
        <f>_xlfn.XLOOKUP(C1052,'[1]Image URL'!$E:$E,'[1]Image URL'!$A:$A)</f>
        <v>#N/A</v>
      </c>
      <c r="D1052" t="s">
        <v>4586</v>
      </c>
      <c r="E1052" t="s">
        <v>4587</v>
      </c>
      <c r="F1052" t="s">
        <v>4588</v>
      </c>
      <c r="G1052" t="s">
        <v>457</v>
      </c>
      <c r="H1052" t="s">
        <v>1650</v>
      </c>
      <c r="I1052" t="s">
        <v>4419</v>
      </c>
      <c r="J1052" t="s">
        <v>4420</v>
      </c>
      <c r="U1052" t="s">
        <v>4421</v>
      </c>
      <c r="V1052" t="s">
        <v>157</v>
      </c>
      <c r="W1052">
        <v>77838045923</v>
      </c>
      <c r="X1052">
        <v>10077838045920</v>
      </c>
      <c r="Y1052" t="s">
        <v>4589</v>
      </c>
      <c r="Z1052" t="s">
        <v>1866</v>
      </c>
      <c r="AA1052" t="s">
        <v>472</v>
      </c>
      <c r="AB1052" t="s">
        <v>311</v>
      </c>
      <c r="AC1052" t="s">
        <v>1267</v>
      </c>
      <c r="AD1052" t="s">
        <v>3315</v>
      </c>
      <c r="AE1052" t="s">
        <v>268</v>
      </c>
      <c r="AF1052" t="s">
        <v>403</v>
      </c>
      <c r="AG1052">
        <v>392410.3</v>
      </c>
      <c r="AH1052">
        <v>65</v>
      </c>
      <c r="AL1052" t="s">
        <v>4590</v>
      </c>
    </row>
    <row r="1053" spans="1:122" x14ac:dyDescent="0.25">
      <c r="A1053" t="s">
        <v>4591</v>
      </c>
      <c r="B1053" t="e">
        <f>_xlfn.XLOOKUP(C1053,'[1]Image URL'!$E:$E,'[1]Image URL'!$A:$A)</f>
        <v>#N/A</v>
      </c>
      <c r="D1053" t="s">
        <v>4592</v>
      </c>
      <c r="E1053" t="s">
        <v>4537</v>
      </c>
      <c r="F1053" t="s">
        <v>643</v>
      </c>
      <c r="G1053" t="s">
        <v>472</v>
      </c>
      <c r="J1053" t="s">
        <v>195</v>
      </c>
      <c r="U1053" t="s">
        <v>1459</v>
      </c>
      <c r="V1053" t="s">
        <v>1385</v>
      </c>
      <c r="W1053">
        <v>77838230732</v>
      </c>
      <c r="X1053">
        <v>10077838130732</v>
      </c>
      <c r="Y1053" t="s">
        <v>4538</v>
      </c>
      <c r="Z1053" t="s">
        <v>1764</v>
      </c>
      <c r="AA1053" t="s">
        <v>2238</v>
      </c>
      <c r="AB1053" t="s">
        <v>1374</v>
      </c>
      <c r="AC1053" t="s">
        <v>266</v>
      </c>
      <c r="AD1053" t="s">
        <v>183</v>
      </c>
      <c r="AE1053" t="s">
        <v>184</v>
      </c>
      <c r="AF1053" t="s">
        <v>185</v>
      </c>
      <c r="AG1053">
        <v>392410.3</v>
      </c>
      <c r="AH1053">
        <v>65</v>
      </c>
      <c r="AT1053" t="s">
        <v>4433</v>
      </c>
    </row>
    <row r="1054" spans="1:122" x14ac:dyDescent="0.25">
      <c r="A1054" t="s">
        <v>4593</v>
      </c>
      <c r="B1054" t="e">
        <f>_xlfn.XLOOKUP(C1054,'[1]Image URL'!$E:$E,'[1]Image URL'!$A:$A)</f>
        <v>#N/A</v>
      </c>
      <c r="D1054" t="s">
        <v>4595</v>
      </c>
      <c r="E1054" t="s">
        <v>4494</v>
      </c>
      <c r="F1054" t="s">
        <v>4495</v>
      </c>
      <c r="G1054" t="s">
        <v>991</v>
      </c>
      <c r="H1054" t="s">
        <v>4496</v>
      </c>
      <c r="I1054" t="s">
        <v>194</v>
      </c>
      <c r="J1054" t="s">
        <v>212</v>
      </c>
      <c r="U1054" t="s">
        <v>217</v>
      </c>
      <c r="V1054" t="s">
        <v>157</v>
      </c>
      <c r="W1054">
        <v>77838503713</v>
      </c>
      <c r="X1054">
        <v>10077838003715</v>
      </c>
      <c r="Y1054" t="s">
        <v>2968</v>
      </c>
      <c r="Z1054" t="s">
        <v>1835</v>
      </c>
      <c r="AA1054" t="s">
        <v>755</v>
      </c>
      <c r="AB1054" t="s">
        <v>1804</v>
      </c>
      <c r="AC1054" t="s">
        <v>868</v>
      </c>
      <c r="AD1054" t="s">
        <v>402</v>
      </c>
      <c r="AE1054" t="s">
        <v>349</v>
      </c>
      <c r="AF1054" t="s">
        <v>315</v>
      </c>
      <c r="AG1054">
        <v>392410.3</v>
      </c>
      <c r="AH1054">
        <v>70</v>
      </c>
    </row>
    <row r="1055" spans="1:122" x14ac:dyDescent="0.25">
      <c r="A1055" t="s">
        <v>4596</v>
      </c>
      <c r="B1055" t="e">
        <f>_xlfn.XLOOKUP(C1055,'[1]Image URL'!$E:$E,'[1]Image URL'!$A:$A)</f>
        <v>#N/A</v>
      </c>
      <c r="D1055" t="s">
        <v>4597</v>
      </c>
      <c r="E1055" t="s">
        <v>4537</v>
      </c>
      <c r="F1055" t="s">
        <v>643</v>
      </c>
      <c r="G1055" t="s">
        <v>472</v>
      </c>
      <c r="J1055" t="s">
        <v>195</v>
      </c>
      <c r="U1055" t="s">
        <v>1459</v>
      </c>
      <c r="V1055" t="s">
        <v>1385</v>
      </c>
      <c r="W1055">
        <v>77838677230</v>
      </c>
      <c r="X1055">
        <v>10077838177232</v>
      </c>
      <c r="Y1055" t="s">
        <v>4538</v>
      </c>
      <c r="Z1055" t="s">
        <v>1764</v>
      </c>
      <c r="AA1055" t="s">
        <v>2238</v>
      </c>
      <c r="AB1055" t="s">
        <v>1374</v>
      </c>
      <c r="AC1055" t="s">
        <v>266</v>
      </c>
      <c r="AD1055" t="s">
        <v>183</v>
      </c>
      <c r="AE1055" t="s">
        <v>184</v>
      </c>
      <c r="AF1055" t="s">
        <v>185</v>
      </c>
      <c r="AG1055">
        <v>392410.3</v>
      </c>
      <c r="AH1055">
        <v>65</v>
      </c>
      <c r="AT1055" t="s">
        <v>4433</v>
      </c>
    </row>
    <row r="1056" spans="1:122" x14ac:dyDescent="0.25">
      <c r="A1056" t="s">
        <v>4598</v>
      </c>
      <c r="B1056" t="e">
        <f>_xlfn.XLOOKUP(C1056,'[1]Image URL'!$E:$E,'[1]Image URL'!$A:$A)</f>
        <v>#N/A</v>
      </c>
      <c r="D1056" t="s">
        <v>4600</v>
      </c>
      <c r="E1056" t="s">
        <v>4561</v>
      </c>
      <c r="F1056" t="s">
        <v>2803</v>
      </c>
      <c r="G1056" t="s">
        <v>2803</v>
      </c>
      <c r="H1056" t="s">
        <v>193</v>
      </c>
      <c r="I1056" t="s">
        <v>194</v>
      </c>
      <c r="J1056" t="s">
        <v>212</v>
      </c>
      <c r="U1056" t="s">
        <v>217</v>
      </c>
      <c r="V1056" t="s">
        <v>1385</v>
      </c>
      <c r="W1056">
        <v>77838665039</v>
      </c>
      <c r="X1056">
        <v>10077838165031</v>
      </c>
      <c r="Y1056" t="s">
        <v>4601</v>
      </c>
      <c r="Z1056" t="s">
        <v>666</v>
      </c>
      <c r="AA1056" t="s">
        <v>2312</v>
      </c>
      <c r="AB1056" t="s">
        <v>1127</v>
      </c>
      <c r="AC1056" t="s">
        <v>2628</v>
      </c>
      <c r="AD1056" t="s">
        <v>4459</v>
      </c>
      <c r="AE1056" t="s">
        <v>235</v>
      </c>
      <c r="AF1056" t="s">
        <v>403</v>
      </c>
      <c r="AG1056">
        <v>392410.3</v>
      </c>
      <c r="AH1056">
        <v>65</v>
      </c>
      <c r="AL1056" t="s">
        <v>4545</v>
      </c>
      <c r="AN1056" t="s">
        <v>2803</v>
      </c>
    </row>
    <row r="1057" spans="1:122" x14ac:dyDescent="0.25">
      <c r="A1057" t="s">
        <v>4602</v>
      </c>
      <c r="B1057" t="e">
        <f>_xlfn.XLOOKUP(C1057,'[1]Image URL'!$E:$E,'[1]Image URL'!$A:$A)</f>
        <v>#N/A</v>
      </c>
      <c r="D1057" t="s">
        <v>4604</v>
      </c>
      <c r="E1057" t="s">
        <v>4605</v>
      </c>
      <c r="F1057" t="s">
        <v>4606</v>
      </c>
      <c r="G1057" t="s">
        <v>4607</v>
      </c>
      <c r="H1057" t="s">
        <v>413</v>
      </c>
      <c r="I1057" t="s">
        <v>4419</v>
      </c>
      <c r="J1057" t="s">
        <v>4420</v>
      </c>
      <c r="U1057" t="s">
        <v>4421</v>
      </c>
      <c r="V1057" t="s">
        <v>157</v>
      </c>
      <c r="W1057">
        <v>77838860885</v>
      </c>
      <c r="X1057">
        <v>10077838860882</v>
      </c>
      <c r="Y1057" t="s">
        <v>4608</v>
      </c>
      <c r="Z1057" t="s">
        <v>4609</v>
      </c>
      <c r="AA1057" t="s">
        <v>916</v>
      </c>
      <c r="AB1057" t="s">
        <v>1845</v>
      </c>
      <c r="AC1057" t="s">
        <v>340</v>
      </c>
      <c r="AD1057" t="s">
        <v>446</v>
      </c>
      <c r="AE1057" t="s">
        <v>456</v>
      </c>
      <c r="AF1057" t="s">
        <v>507</v>
      </c>
      <c r="AG1057">
        <v>392410.3</v>
      </c>
      <c r="AH1057">
        <v>65</v>
      </c>
    </row>
    <row r="1058" spans="1:122" x14ac:dyDescent="0.25">
      <c r="A1058" t="s">
        <v>4610</v>
      </c>
      <c r="B1058" t="e">
        <f>_xlfn.XLOOKUP(C1058,'[1]Image URL'!$E:$E,'[1]Image URL'!$A:$A)</f>
        <v>#N/A</v>
      </c>
      <c r="D1058" t="s">
        <v>4451</v>
      </c>
      <c r="E1058" t="s">
        <v>4410</v>
      </c>
      <c r="F1058" t="s">
        <v>4411</v>
      </c>
      <c r="G1058" t="s">
        <v>643</v>
      </c>
      <c r="H1058" t="s">
        <v>4412</v>
      </c>
      <c r="I1058" t="s">
        <v>194</v>
      </c>
      <c r="J1058" t="s">
        <v>212</v>
      </c>
      <c r="U1058" t="s">
        <v>217</v>
      </c>
      <c r="V1058" t="s">
        <v>157</v>
      </c>
      <c r="W1058">
        <v>77838503966</v>
      </c>
      <c r="X1058">
        <v>10077838003968</v>
      </c>
      <c r="Y1058" t="s">
        <v>1016</v>
      </c>
      <c r="Z1058" t="s">
        <v>666</v>
      </c>
      <c r="AA1058" t="s">
        <v>807</v>
      </c>
      <c r="AB1058" t="s">
        <v>444</v>
      </c>
      <c r="AC1058" t="s">
        <v>846</v>
      </c>
      <c r="AD1058" t="s">
        <v>555</v>
      </c>
      <c r="AE1058" t="s">
        <v>235</v>
      </c>
      <c r="AF1058" t="s">
        <v>184</v>
      </c>
      <c r="AG1058">
        <v>392410.3</v>
      </c>
      <c r="AH1058">
        <v>70</v>
      </c>
      <c r="DQ1058" t="s">
        <v>771</v>
      </c>
      <c r="DR1058" t="s">
        <v>457</v>
      </c>
    </row>
    <row r="1059" spans="1:122" x14ac:dyDescent="0.25">
      <c r="A1059" t="s">
        <v>4611</v>
      </c>
      <c r="B1059" t="e">
        <f>_xlfn.XLOOKUP(C1059,'[1]Image URL'!$E:$E,'[1]Image URL'!$A:$A)</f>
        <v>#N/A</v>
      </c>
      <c r="D1059" t="s">
        <v>4583</v>
      </c>
      <c r="E1059" t="s">
        <v>4410</v>
      </c>
      <c r="F1059" t="s">
        <v>4411</v>
      </c>
      <c r="G1059" t="s">
        <v>643</v>
      </c>
      <c r="H1059" t="s">
        <v>4412</v>
      </c>
      <c r="I1059" t="s">
        <v>194</v>
      </c>
      <c r="J1059" t="s">
        <v>212</v>
      </c>
      <c r="U1059" t="s">
        <v>217</v>
      </c>
      <c r="V1059" t="s">
        <v>157</v>
      </c>
      <c r="W1059">
        <v>77838504017</v>
      </c>
      <c r="X1059">
        <v>10077838004019</v>
      </c>
      <c r="Y1059" t="s">
        <v>1016</v>
      </c>
      <c r="Z1059" t="s">
        <v>666</v>
      </c>
      <c r="AA1059" t="s">
        <v>807</v>
      </c>
      <c r="AB1059" t="s">
        <v>444</v>
      </c>
      <c r="AC1059" t="s">
        <v>846</v>
      </c>
      <c r="AD1059" t="s">
        <v>555</v>
      </c>
      <c r="AE1059" t="s">
        <v>235</v>
      </c>
      <c r="AF1059" t="s">
        <v>184</v>
      </c>
      <c r="AG1059">
        <v>392410.3</v>
      </c>
      <c r="AH1059">
        <v>70</v>
      </c>
      <c r="DQ1059" t="s">
        <v>771</v>
      </c>
      <c r="DR1059" t="s">
        <v>457</v>
      </c>
    </row>
    <row r="1060" spans="1:122" x14ac:dyDescent="0.25">
      <c r="A1060" t="s">
        <v>4612</v>
      </c>
      <c r="B1060" t="e">
        <f>_xlfn.XLOOKUP(C1060,'[1]Image URL'!$E:$E,'[1]Image URL'!$A:$A)</f>
        <v>#N/A</v>
      </c>
      <c r="D1060" t="s">
        <v>4614</v>
      </c>
      <c r="E1060" t="s">
        <v>4416</v>
      </c>
      <c r="F1060" t="s">
        <v>379</v>
      </c>
      <c r="G1060" t="s">
        <v>643</v>
      </c>
      <c r="H1060" t="s">
        <v>1650</v>
      </c>
      <c r="I1060" t="s">
        <v>4419</v>
      </c>
      <c r="J1060" t="s">
        <v>4420</v>
      </c>
      <c r="U1060" t="s">
        <v>4421</v>
      </c>
      <c r="V1060" t="s">
        <v>157</v>
      </c>
      <c r="W1060">
        <v>77838248140</v>
      </c>
      <c r="X1060">
        <v>10077838048143</v>
      </c>
      <c r="Y1060" t="s">
        <v>4505</v>
      </c>
      <c r="Z1060" t="s">
        <v>2505</v>
      </c>
      <c r="AA1060" t="s">
        <v>2412</v>
      </c>
      <c r="AB1060" t="s">
        <v>271</v>
      </c>
      <c r="AC1060" t="s">
        <v>766</v>
      </c>
      <c r="AD1060" t="s">
        <v>301</v>
      </c>
      <c r="AE1060" t="s">
        <v>235</v>
      </c>
      <c r="AF1060" t="s">
        <v>349</v>
      </c>
      <c r="AG1060">
        <v>392410.3</v>
      </c>
      <c r="AH1060">
        <v>60</v>
      </c>
      <c r="AL1060" t="s">
        <v>4423</v>
      </c>
    </row>
    <row r="1061" spans="1:122" x14ac:dyDescent="0.25">
      <c r="A1061" t="s">
        <v>4615</v>
      </c>
      <c r="B1061" t="e">
        <f>_xlfn.XLOOKUP(C1061,'[1]Image URL'!$E:$E,'[1]Image URL'!$A:$A)</f>
        <v>#N/A</v>
      </c>
      <c r="D1061" t="s">
        <v>4617</v>
      </c>
      <c r="E1061" t="s">
        <v>4514</v>
      </c>
      <c r="F1061" t="s">
        <v>4065</v>
      </c>
      <c r="G1061" t="s">
        <v>506</v>
      </c>
      <c r="H1061" t="s">
        <v>1650</v>
      </c>
      <c r="I1061" t="s">
        <v>4419</v>
      </c>
      <c r="J1061" t="s">
        <v>4420</v>
      </c>
      <c r="U1061" t="s">
        <v>4421</v>
      </c>
      <c r="V1061" t="s">
        <v>157</v>
      </c>
      <c r="W1061">
        <v>77838050828</v>
      </c>
      <c r="X1061">
        <v>10077838050825</v>
      </c>
      <c r="Y1061" t="s">
        <v>4515</v>
      </c>
      <c r="Z1061" t="s">
        <v>903</v>
      </c>
      <c r="AA1061" t="s">
        <v>1860</v>
      </c>
      <c r="AB1061" t="s">
        <v>3989</v>
      </c>
      <c r="AC1061" t="s">
        <v>2758</v>
      </c>
      <c r="AD1061" t="s">
        <v>4459</v>
      </c>
      <c r="AE1061" t="s">
        <v>235</v>
      </c>
      <c r="AF1061" t="s">
        <v>403</v>
      </c>
      <c r="AG1061">
        <v>392410.3</v>
      </c>
      <c r="AH1061">
        <v>65</v>
      </c>
      <c r="AL1061" t="s">
        <v>2526</v>
      </c>
    </row>
    <row r="1062" spans="1:122" x14ac:dyDescent="0.25">
      <c r="A1062" t="s">
        <v>4618</v>
      </c>
      <c r="B1062" t="e">
        <f>_xlfn.XLOOKUP(C1062,'[1]Image URL'!$E:$E,'[1]Image URL'!$A:$A)</f>
        <v>#N/A</v>
      </c>
      <c r="D1062" t="s">
        <v>4619</v>
      </c>
      <c r="E1062" t="s">
        <v>4474</v>
      </c>
      <c r="F1062" t="s">
        <v>643</v>
      </c>
      <c r="G1062" t="s">
        <v>472</v>
      </c>
      <c r="H1062" t="s">
        <v>4460</v>
      </c>
      <c r="U1062" t="s">
        <v>156</v>
      </c>
      <c r="V1062" t="s">
        <v>157</v>
      </c>
      <c r="W1062">
        <v>77838590522</v>
      </c>
      <c r="X1062">
        <v>10077838090524</v>
      </c>
      <c r="Y1062" t="s">
        <v>556</v>
      </c>
      <c r="Z1062" t="s">
        <v>179</v>
      </c>
      <c r="AA1062" t="s">
        <v>643</v>
      </c>
      <c r="AB1062" t="s">
        <v>2405</v>
      </c>
      <c r="AC1062" t="s">
        <v>329</v>
      </c>
      <c r="AD1062" t="s">
        <v>4490</v>
      </c>
      <c r="AE1062" t="s">
        <v>246</v>
      </c>
      <c r="AF1062" t="s">
        <v>185</v>
      </c>
      <c r="AG1062">
        <v>392410.3</v>
      </c>
      <c r="AH1062">
        <v>65</v>
      </c>
      <c r="AL1062" t="s">
        <v>4477</v>
      </c>
      <c r="AT1062" t="s">
        <v>4460</v>
      </c>
    </row>
    <row r="1063" spans="1:122" x14ac:dyDescent="0.25">
      <c r="A1063" t="s">
        <v>4620</v>
      </c>
      <c r="B1063" t="e">
        <f>_xlfn.XLOOKUP(C1063,'[1]Image URL'!$E:$E,'[1]Image URL'!$A:$A)</f>
        <v>#N/A</v>
      </c>
      <c r="D1063" t="s">
        <v>4622</v>
      </c>
      <c r="E1063" t="s">
        <v>4410</v>
      </c>
      <c r="F1063" t="s">
        <v>4411</v>
      </c>
      <c r="G1063" t="s">
        <v>643</v>
      </c>
      <c r="H1063" t="s">
        <v>4412</v>
      </c>
      <c r="I1063" t="s">
        <v>194</v>
      </c>
      <c r="J1063" t="s">
        <v>212</v>
      </c>
      <c r="U1063" t="s">
        <v>217</v>
      </c>
      <c r="V1063" t="s">
        <v>157</v>
      </c>
      <c r="W1063">
        <v>77838521915</v>
      </c>
      <c r="X1063">
        <v>10077838021917</v>
      </c>
      <c r="Y1063" t="s">
        <v>1016</v>
      </c>
      <c r="Z1063" t="s">
        <v>666</v>
      </c>
      <c r="AA1063" t="s">
        <v>807</v>
      </c>
      <c r="AB1063" t="s">
        <v>444</v>
      </c>
      <c r="AC1063" t="s">
        <v>846</v>
      </c>
      <c r="AD1063" t="s">
        <v>555</v>
      </c>
      <c r="AE1063" t="s">
        <v>235</v>
      </c>
      <c r="AF1063" t="s">
        <v>184</v>
      </c>
      <c r="AG1063">
        <v>392410.3</v>
      </c>
      <c r="AH1063">
        <v>70</v>
      </c>
      <c r="DQ1063" t="s">
        <v>771</v>
      </c>
      <c r="DR1063" t="s">
        <v>457</v>
      </c>
    </row>
    <row r="1064" spans="1:122" x14ac:dyDescent="0.25">
      <c r="A1064" t="s">
        <v>4623</v>
      </c>
      <c r="B1064" t="e">
        <f>_xlfn.XLOOKUP(C1064,'[1]Image URL'!$E:$E,'[1]Image URL'!$A:$A)</f>
        <v>#N/A</v>
      </c>
      <c r="D1064" t="s">
        <v>4625</v>
      </c>
      <c r="E1064" t="s">
        <v>4542</v>
      </c>
      <c r="F1064" t="s">
        <v>523</v>
      </c>
      <c r="G1064" t="s">
        <v>523</v>
      </c>
      <c r="H1064" t="s">
        <v>193</v>
      </c>
      <c r="J1064" t="s">
        <v>4543</v>
      </c>
      <c r="U1064" t="s">
        <v>4421</v>
      </c>
      <c r="V1064" t="s">
        <v>157</v>
      </c>
      <c r="W1064">
        <v>77838884379</v>
      </c>
      <c r="X1064">
        <v>10077838884376</v>
      </c>
      <c r="Y1064" t="s">
        <v>4626</v>
      </c>
      <c r="Z1064" t="s">
        <v>864</v>
      </c>
      <c r="AA1064" t="s">
        <v>421</v>
      </c>
      <c r="AB1064" t="s">
        <v>1921</v>
      </c>
      <c r="AC1064" t="s">
        <v>766</v>
      </c>
      <c r="AD1064" t="s">
        <v>1668</v>
      </c>
      <c r="AE1064" t="s">
        <v>184</v>
      </c>
      <c r="AF1064" t="s">
        <v>403</v>
      </c>
      <c r="AG1064">
        <v>392410.3</v>
      </c>
      <c r="AH1064">
        <v>65</v>
      </c>
      <c r="AL1064" t="s">
        <v>473</v>
      </c>
      <c r="AN1064" t="s">
        <v>523</v>
      </c>
      <c r="AY1064" t="s">
        <v>4546</v>
      </c>
    </row>
    <row r="1065" spans="1:122" x14ac:dyDescent="0.25">
      <c r="A1065" t="s">
        <v>4627</v>
      </c>
      <c r="B1065" t="e">
        <f>_xlfn.XLOOKUP(C1065,'[1]Image URL'!$E:$E,'[1]Image URL'!$A:$A)</f>
        <v>#N/A</v>
      </c>
      <c r="D1065" t="s">
        <v>4444</v>
      </c>
      <c r="E1065" t="s">
        <v>4416</v>
      </c>
      <c r="F1065" t="s">
        <v>4417</v>
      </c>
      <c r="G1065" t="s">
        <v>4418</v>
      </c>
      <c r="H1065" t="s">
        <v>2204</v>
      </c>
      <c r="I1065" t="s">
        <v>4419</v>
      </c>
      <c r="J1065" t="s">
        <v>4420</v>
      </c>
      <c r="U1065" t="s">
        <v>4421</v>
      </c>
      <c r="V1065" t="s">
        <v>157</v>
      </c>
      <c r="W1065">
        <v>77838861493</v>
      </c>
      <c r="X1065">
        <v>10077838861490</v>
      </c>
      <c r="Y1065" t="s">
        <v>1097</v>
      </c>
      <c r="Z1065" t="s">
        <v>1743</v>
      </c>
      <c r="AA1065" t="s">
        <v>4422</v>
      </c>
      <c r="AB1065" t="s">
        <v>519</v>
      </c>
      <c r="AC1065" t="s">
        <v>1136</v>
      </c>
      <c r="AD1065" t="s">
        <v>301</v>
      </c>
      <c r="AE1065" t="s">
        <v>302</v>
      </c>
      <c r="AF1065" t="s">
        <v>303</v>
      </c>
      <c r="AG1065">
        <v>392410.3</v>
      </c>
      <c r="AH1065">
        <v>85</v>
      </c>
      <c r="AL1065" t="s">
        <v>4423</v>
      </c>
    </row>
    <row r="1066" spans="1:122" x14ac:dyDescent="0.25">
      <c r="A1066" t="s">
        <v>4629</v>
      </c>
      <c r="B1066" t="e">
        <f>_xlfn.XLOOKUP(C1066,'[1]Image URL'!$E:$E,'[1]Image URL'!$A:$A)</f>
        <v>#N/A</v>
      </c>
      <c r="D1066" t="s">
        <v>4630</v>
      </c>
      <c r="E1066" t="s">
        <v>4537</v>
      </c>
      <c r="F1066" t="s">
        <v>643</v>
      </c>
      <c r="G1066" t="s">
        <v>472</v>
      </c>
      <c r="J1066" t="s">
        <v>195</v>
      </c>
      <c r="U1066" t="s">
        <v>1459</v>
      </c>
      <c r="V1066" t="s">
        <v>1385</v>
      </c>
      <c r="W1066">
        <v>77838658833</v>
      </c>
      <c r="X1066">
        <v>10077838158835</v>
      </c>
      <c r="Y1066" t="s">
        <v>4538</v>
      </c>
      <c r="Z1066" t="s">
        <v>1764</v>
      </c>
      <c r="AA1066" t="s">
        <v>2238</v>
      </c>
      <c r="AB1066" t="s">
        <v>1374</v>
      </c>
      <c r="AC1066" t="s">
        <v>266</v>
      </c>
      <c r="AD1066" t="s">
        <v>183</v>
      </c>
      <c r="AE1066" t="s">
        <v>184</v>
      </c>
      <c r="AF1066" t="s">
        <v>185</v>
      </c>
      <c r="AG1066">
        <v>392410.3</v>
      </c>
      <c r="AH1066">
        <v>65</v>
      </c>
      <c r="AT1066" t="s">
        <v>4433</v>
      </c>
    </row>
    <row r="1067" spans="1:122" x14ac:dyDescent="0.25">
      <c r="A1067" t="s">
        <v>4631</v>
      </c>
      <c r="B1067" t="e">
        <f>_xlfn.XLOOKUP(C1067,'[1]Image URL'!$E:$E,'[1]Image URL'!$A:$A)</f>
        <v>#N/A</v>
      </c>
      <c r="D1067" t="s">
        <v>4633</v>
      </c>
      <c r="E1067" t="s">
        <v>4416</v>
      </c>
      <c r="F1067" t="s">
        <v>379</v>
      </c>
      <c r="G1067" t="s">
        <v>643</v>
      </c>
      <c r="H1067" t="s">
        <v>1650</v>
      </c>
      <c r="I1067" t="s">
        <v>4419</v>
      </c>
      <c r="J1067" t="s">
        <v>4420</v>
      </c>
      <c r="U1067" t="s">
        <v>4421</v>
      </c>
      <c r="V1067" t="s">
        <v>157</v>
      </c>
      <c r="W1067">
        <v>77838204337</v>
      </c>
      <c r="X1067">
        <v>10077838004330</v>
      </c>
      <c r="Y1067" t="s">
        <v>4505</v>
      </c>
      <c r="Z1067" t="s">
        <v>2505</v>
      </c>
      <c r="AA1067" t="s">
        <v>2412</v>
      </c>
      <c r="AB1067" t="s">
        <v>271</v>
      </c>
      <c r="AC1067" t="s">
        <v>766</v>
      </c>
      <c r="AD1067" t="s">
        <v>301</v>
      </c>
      <c r="AE1067" t="s">
        <v>235</v>
      </c>
      <c r="AF1067" t="s">
        <v>349</v>
      </c>
      <c r="AG1067">
        <v>392410.3</v>
      </c>
      <c r="AH1067">
        <v>60</v>
      </c>
      <c r="AL1067" t="s">
        <v>4423</v>
      </c>
    </row>
    <row r="1068" spans="1:122" x14ac:dyDescent="0.25">
      <c r="A1068" t="s">
        <v>4634</v>
      </c>
      <c r="B1068" t="e">
        <f>_xlfn.XLOOKUP(C1068,'[1]Image URL'!$E:$E,'[1]Image URL'!$A:$A)</f>
        <v>#N/A</v>
      </c>
      <c r="D1068" t="s">
        <v>4636</v>
      </c>
      <c r="E1068" t="s">
        <v>4637</v>
      </c>
      <c r="F1068" t="s">
        <v>4411</v>
      </c>
      <c r="G1068" t="s">
        <v>643</v>
      </c>
      <c r="H1068" t="s">
        <v>4412</v>
      </c>
      <c r="I1068" t="s">
        <v>194</v>
      </c>
      <c r="J1068" t="s">
        <v>212</v>
      </c>
      <c r="U1068" t="s">
        <v>217</v>
      </c>
      <c r="V1068" t="s">
        <v>157</v>
      </c>
      <c r="W1068">
        <v>77838893210</v>
      </c>
      <c r="X1068">
        <v>10077838893217</v>
      </c>
      <c r="Y1068" t="s">
        <v>1016</v>
      </c>
      <c r="Z1068" t="s">
        <v>666</v>
      </c>
      <c r="AA1068" t="s">
        <v>807</v>
      </c>
      <c r="AB1068" t="s">
        <v>444</v>
      </c>
      <c r="AC1068" t="s">
        <v>846</v>
      </c>
      <c r="AD1068" t="s">
        <v>555</v>
      </c>
      <c r="AE1068" t="s">
        <v>235</v>
      </c>
      <c r="AF1068" t="s">
        <v>184</v>
      </c>
      <c r="AG1068">
        <v>392410.3</v>
      </c>
      <c r="AH1068">
        <v>60</v>
      </c>
      <c r="AL1068" t="s">
        <v>896</v>
      </c>
      <c r="BF1068" t="s">
        <v>457</v>
      </c>
      <c r="DQ1068" t="s">
        <v>771</v>
      </c>
    </row>
    <row r="1069" spans="1:122" x14ac:dyDescent="0.25">
      <c r="A1069" t="s">
        <v>4638</v>
      </c>
      <c r="B1069" t="e">
        <f>_xlfn.XLOOKUP(C1069,'[1]Image URL'!$E:$E,'[1]Image URL'!$A:$A)</f>
        <v>#N/A</v>
      </c>
      <c r="D1069" t="s">
        <v>4640</v>
      </c>
      <c r="E1069" t="s">
        <v>4494</v>
      </c>
      <c r="F1069" t="s">
        <v>4495</v>
      </c>
      <c r="G1069" t="s">
        <v>991</v>
      </c>
      <c r="H1069" t="s">
        <v>4496</v>
      </c>
      <c r="I1069" t="s">
        <v>194</v>
      </c>
      <c r="J1069" t="s">
        <v>212</v>
      </c>
      <c r="U1069" t="s">
        <v>217</v>
      </c>
      <c r="V1069" t="s">
        <v>157</v>
      </c>
      <c r="W1069">
        <v>77838503669</v>
      </c>
      <c r="X1069">
        <v>10077838003661</v>
      </c>
      <c r="Y1069" t="s">
        <v>2968</v>
      </c>
      <c r="Z1069" t="s">
        <v>1835</v>
      </c>
      <c r="AA1069" t="s">
        <v>755</v>
      </c>
      <c r="AB1069" t="s">
        <v>1804</v>
      </c>
      <c r="AC1069" t="s">
        <v>868</v>
      </c>
      <c r="AD1069" t="s">
        <v>402</v>
      </c>
      <c r="AE1069" t="s">
        <v>349</v>
      </c>
      <c r="AF1069" t="s">
        <v>315</v>
      </c>
      <c r="AG1069">
        <v>392410.3</v>
      </c>
      <c r="AH1069">
        <v>70</v>
      </c>
    </row>
    <row r="1070" spans="1:122" x14ac:dyDescent="0.25">
      <c r="A1070" t="s">
        <v>4641</v>
      </c>
      <c r="B1070" t="e">
        <f>_xlfn.XLOOKUP(C1070,'[1]Image URL'!$E:$E,'[1]Image URL'!$A:$A)</f>
        <v>#N/A</v>
      </c>
      <c r="D1070" t="s">
        <v>4643</v>
      </c>
      <c r="E1070" t="s">
        <v>4427</v>
      </c>
      <c r="F1070" t="s">
        <v>4428</v>
      </c>
      <c r="G1070" t="s">
        <v>472</v>
      </c>
      <c r="I1070" t="s">
        <v>194</v>
      </c>
      <c r="J1070" t="s">
        <v>212</v>
      </c>
      <c r="U1070" t="s">
        <v>217</v>
      </c>
      <c r="V1070" t="s">
        <v>157</v>
      </c>
      <c r="W1070">
        <v>77838287910</v>
      </c>
      <c r="X1070">
        <v>10077838087913</v>
      </c>
      <c r="Y1070" t="s">
        <v>4429</v>
      </c>
      <c r="Z1070" t="s">
        <v>4169</v>
      </c>
      <c r="AA1070" t="s">
        <v>1860</v>
      </c>
      <c r="AB1070" t="s">
        <v>882</v>
      </c>
      <c r="AC1070" t="s">
        <v>523</v>
      </c>
      <c r="AD1070" t="s">
        <v>446</v>
      </c>
      <c r="AE1070" t="s">
        <v>184</v>
      </c>
      <c r="AF1070" t="s">
        <v>302</v>
      </c>
      <c r="AG1070">
        <v>392410.3</v>
      </c>
      <c r="AH1070">
        <v>70</v>
      </c>
      <c r="AT1070" t="s">
        <v>1650</v>
      </c>
    </row>
    <row r="1071" spans="1:122" x14ac:dyDescent="0.25">
      <c r="A1071" t="s">
        <v>4644</v>
      </c>
      <c r="B1071" t="e">
        <f>_xlfn.XLOOKUP(C1071,'[1]Image URL'!$E:$E,'[1]Image URL'!$A:$A)</f>
        <v>#N/A</v>
      </c>
      <c r="D1071" t="s">
        <v>4646</v>
      </c>
      <c r="E1071" t="s">
        <v>4647</v>
      </c>
      <c r="F1071" t="s">
        <v>643</v>
      </c>
      <c r="G1071" t="s">
        <v>472</v>
      </c>
      <c r="I1071" t="s">
        <v>194</v>
      </c>
      <c r="J1071" t="s">
        <v>212</v>
      </c>
      <c r="U1071" t="s">
        <v>217</v>
      </c>
      <c r="V1071" t="s">
        <v>157</v>
      </c>
      <c r="W1071">
        <v>77838512654</v>
      </c>
      <c r="X1071">
        <v>10077838012656</v>
      </c>
      <c r="Y1071" t="s">
        <v>4648</v>
      </c>
      <c r="Z1071" t="s">
        <v>241</v>
      </c>
      <c r="AA1071" t="s">
        <v>695</v>
      </c>
      <c r="AB1071" t="s">
        <v>996</v>
      </c>
      <c r="AC1071" t="s">
        <v>332</v>
      </c>
      <c r="AD1071" t="s">
        <v>4459</v>
      </c>
      <c r="AE1071" t="s">
        <v>403</v>
      </c>
      <c r="AF1071" t="s">
        <v>235</v>
      </c>
      <c r="AG1071">
        <v>392410.3</v>
      </c>
      <c r="AH1071">
        <v>70</v>
      </c>
      <c r="AT1071" t="s">
        <v>4460</v>
      </c>
    </row>
    <row r="1072" spans="1:122" x14ac:dyDescent="0.25">
      <c r="A1072" t="s">
        <v>4649</v>
      </c>
      <c r="B1072" t="e">
        <f>_xlfn.XLOOKUP(C1072,'[1]Image URL'!$E:$E,'[1]Image URL'!$A:$A)</f>
        <v>#N/A</v>
      </c>
      <c r="D1072" t="s">
        <v>4651</v>
      </c>
      <c r="E1072" t="s">
        <v>4481</v>
      </c>
      <c r="F1072" t="s">
        <v>3983</v>
      </c>
      <c r="G1072" t="s">
        <v>1420</v>
      </c>
      <c r="H1072" t="s">
        <v>193</v>
      </c>
      <c r="I1072" t="s">
        <v>4419</v>
      </c>
      <c r="J1072" t="s">
        <v>4420</v>
      </c>
      <c r="U1072" t="s">
        <v>4421</v>
      </c>
      <c r="V1072" t="s">
        <v>157</v>
      </c>
      <c r="W1072">
        <v>77838275214</v>
      </c>
      <c r="X1072">
        <v>10077838075217</v>
      </c>
      <c r="Y1072" t="s">
        <v>4487</v>
      </c>
      <c r="Z1072" t="s">
        <v>1104</v>
      </c>
      <c r="AA1072" t="s">
        <v>3019</v>
      </c>
      <c r="AB1072" t="s">
        <v>598</v>
      </c>
      <c r="AC1072" t="s">
        <v>915</v>
      </c>
      <c r="AD1072" t="s">
        <v>301</v>
      </c>
      <c r="AE1072" t="s">
        <v>235</v>
      </c>
      <c r="AF1072" t="s">
        <v>349</v>
      </c>
      <c r="AG1072">
        <v>392410.3</v>
      </c>
      <c r="AH1072">
        <v>60</v>
      </c>
    </row>
    <row r="1073" spans="1:122" x14ac:dyDescent="0.25">
      <c r="A1073" t="s">
        <v>4652</v>
      </c>
      <c r="B1073" t="e">
        <f>_xlfn.XLOOKUP(C1073,'[1]Image URL'!$E:$E,'[1]Image URL'!$A:$A)</f>
        <v>#N/A</v>
      </c>
      <c r="D1073" t="s">
        <v>4653</v>
      </c>
      <c r="E1073" t="s">
        <v>4537</v>
      </c>
      <c r="F1073" t="s">
        <v>643</v>
      </c>
      <c r="G1073" t="s">
        <v>472</v>
      </c>
      <c r="J1073" t="s">
        <v>195</v>
      </c>
      <c r="U1073" t="s">
        <v>1459</v>
      </c>
      <c r="V1073" t="s">
        <v>1385</v>
      </c>
      <c r="W1073">
        <v>77838677247</v>
      </c>
      <c r="X1073">
        <v>10077838177249</v>
      </c>
      <c r="Y1073" t="s">
        <v>4538</v>
      </c>
      <c r="Z1073" t="s">
        <v>1764</v>
      </c>
      <c r="AA1073" t="s">
        <v>2238</v>
      </c>
      <c r="AB1073" t="s">
        <v>1374</v>
      </c>
      <c r="AC1073" t="s">
        <v>266</v>
      </c>
      <c r="AD1073" t="s">
        <v>183</v>
      </c>
      <c r="AE1073" t="s">
        <v>184</v>
      </c>
      <c r="AF1073" t="s">
        <v>185</v>
      </c>
      <c r="AG1073">
        <v>392410.3</v>
      </c>
      <c r="AH1073">
        <v>65</v>
      </c>
      <c r="AT1073" t="s">
        <v>4433</v>
      </c>
    </row>
    <row r="1074" spans="1:122" x14ac:dyDescent="0.25">
      <c r="A1074" t="s">
        <v>4654</v>
      </c>
      <c r="B1074" t="e">
        <f>_xlfn.XLOOKUP(C1074,'[1]Image URL'!$E:$E,'[1]Image URL'!$A:$A)</f>
        <v>#N/A</v>
      </c>
      <c r="D1074" t="s">
        <v>4655</v>
      </c>
      <c r="E1074" t="s">
        <v>4457</v>
      </c>
      <c r="F1074" t="s">
        <v>444</v>
      </c>
      <c r="G1074" t="s">
        <v>472</v>
      </c>
      <c r="J1074" t="s">
        <v>195</v>
      </c>
      <c r="U1074" t="s">
        <v>1459</v>
      </c>
      <c r="V1074" t="s">
        <v>1385</v>
      </c>
      <c r="W1074">
        <v>77838298664</v>
      </c>
      <c r="X1074">
        <v>10077838098667</v>
      </c>
      <c r="Y1074" t="s">
        <v>4458</v>
      </c>
      <c r="Z1074" t="s">
        <v>1743</v>
      </c>
      <c r="AA1074" t="s">
        <v>244</v>
      </c>
      <c r="AB1074" t="s">
        <v>1374</v>
      </c>
      <c r="AC1074" t="s">
        <v>211</v>
      </c>
      <c r="AD1074" t="s">
        <v>4459</v>
      </c>
      <c r="AE1074" t="s">
        <v>403</v>
      </c>
      <c r="AF1074" t="s">
        <v>235</v>
      </c>
      <c r="AG1074">
        <v>392410.3</v>
      </c>
      <c r="AH1074">
        <v>70</v>
      </c>
      <c r="AT1074" t="s">
        <v>4460</v>
      </c>
    </row>
    <row r="1075" spans="1:122" x14ac:dyDescent="0.25">
      <c r="A1075" t="s">
        <v>4656</v>
      </c>
      <c r="B1075" t="e">
        <f>_xlfn.XLOOKUP(C1075,'[1]Image URL'!$E:$E,'[1]Image URL'!$A:$A)</f>
        <v>#N/A</v>
      </c>
      <c r="D1075" t="s">
        <v>4658</v>
      </c>
      <c r="E1075" t="s">
        <v>4542</v>
      </c>
      <c r="F1075" t="s">
        <v>523</v>
      </c>
      <c r="G1075" t="s">
        <v>523</v>
      </c>
      <c r="H1075" t="s">
        <v>193</v>
      </c>
      <c r="J1075" t="s">
        <v>4543</v>
      </c>
      <c r="U1075" t="s">
        <v>4421</v>
      </c>
      <c r="V1075" t="s">
        <v>157</v>
      </c>
      <c r="W1075">
        <v>77838884386</v>
      </c>
      <c r="X1075">
        <v>10077838884383</v>
      </c>
      <c r="Y1075" t="s">
        <v>4626</v>
      </c>
      <c r="Z1075" t="s">
        <v>864</v>
      </c>
      <c r="AA1075" t="s">
        <v>421</v>
      </c>
      <c r="AB1075" t="s">
        <v>1921</v>
      </c>
      <c r="AC1075" t="s">
        <v>766</v>
      </c>
      <c r="AD1075" t="s">
        <v>1668</v>
      </c>
      <c r="AE1075" t="s">
        <v>184</v>
      </c>
      <c r="AF1075" t="s">
        <v>403</v>
      </c>
      <c r="AG1075">
        <v>392410.3</v>
      </c>
      <c r="AH1075">
        <v>65</v>
      </c>
      <c r="AL1075" t="s">
        <v>473</v>
      </c>
      <c r="AN1075" t="s">
        <v>523</v>
      </c>
      <c r="AY1075" t="s">
        <v>4546</v>
      </c>
    </row>
    <row r="1076" spans="1:122" x14ac:dyDescent="0.25">
      <c r="A1076" t="s">
        <v>4659</v>
      </c>
      <c r="B1076" t="e">
        <f>_xlfn.XLOOKUP(C1076,'[1]Image URL'!$E:$E,'[1]Image URL'!$A:$A)</f>
        <v>#N/A</v>
      </c>
      <c r="D1076" t="s">
        <v>4661</v>
      </c>
      <c r="E1076" t="s">
        <v>4587</v>
      </c>
      <c r="F1076" t="s">
        <v>4588</v>
      </c>
      <c r="G1076" t="s">
        <v>457</v>
      </c>
      <c r="H1076" t="s">
        <v>1650</v>
      </c>
      <c r="I1076" t="s">
        <v>4419</v>
      </c>
      <c r="J1076" t="s">
        <v>4420</v>
      </c>
      <c r="U1076" t="s">
        <v>4421</v>
      </c>
      <c r="V1076" t="s">
        <v>157</v>
      </c>
      <c r="W1076">
        <v>77838045909</v>
      </c>
      <c r="X1076">
        <v>10077838045906</v>
      </c>
      <c r="Y1076" t="s">
        <v>4589</v>
      </c>
      <c r="Z1076" t="s">
        <v>1866</v>
      </c>
      <c r="AA1076" t="s">
        <v>472</v>
      </c>
      <c r="AB1076" t="s">
        <v>311</v>
      </c>
      <c r="AC1076" t="s">
        <v>1267</v>
      </c>
      <c r="AD1076" t="s">
        <v>3315</v>
      </c>
      <c r="AE1076" t="s">
        <v>268</v>
      </c>
      <c r="AF1076" t="s">
        <v>403</v>
      </c>
      <c r="AG1076">
        <v>392410.3</v>
      </c>
      <c r="AH1076">
        <v>65</v>
      </c>
      <c r="AL1076" t="s">
        <v>4590</v>
      </c>
    </row>
    <row r="1077" spans="1:122" x14ac:dyDescent="0.25">
      <c r="A1077" t="s">
        <v>4662</v>
      </c>
      <c r="B1077" t="e">
        <f>_xlfn.XLOOKUP(C1077,'[1]Image URL'!$E:$E,'[1]Image URL'!$A:$A)</f>
        <v>#N/A</v>
      </c>
      <c r="D1077" t="s">
        <v>4664</v>
      </c>
      <c r="E1077" t="s">
        <v>4665</v>
      </c>
      <c r="F1077" t="s">
        <v>1226</v>
      </c>
      <c r="G1077" t="s">
        <v>1531</v>
      </c>
      <c r="H1077" t="s">
        <v>4666</v>
      </c>
      <c r="U1077" t="s">
        <v>4667</v>
      </c>
      <c r="V1077" t="s">
        <v>1385</v>
      </c>
      <c r="W1077">
        <v>77838146972</v>
      </c>
      <c r="X1077">
        <v>10077838146979</v>
      </c>
      <c r="Y1077" t="s">
        <v>4668</v>
      </c>
      <c r="Z1077" t="s">
        <v>4669</v>
      </c>
      <c r="AA1077" t="s">
        <v>4670</v>
      </c>
      <c r="AB1077" t="s">
        <v>4671</v>
      </c>
      <c r="AC1077" t="s">
        <v>893</v>
      </c>
      <c r="AD1077" t="s">
        <v>235</v>
      </c>
      <c r="AE1077" t="s">
        <v>316</v>
      </c>
      <c r="AF1077" t="s">
        <v>456</v>
      </c>
      <c r="AG1077">
        <v>732690.86880000005</v>
      </c>
      <c r="AH1077">
        <v>100</v>
      </c>
      <c r="AL1077" t="s">
        <v>4672</v>
      </c>
    </row>
    <row r="1078" spans="1:122" x14ac:dyDescent="0.25">
      <c r="A1078" t="s">
        <v>4673</v>
      </c>
      <c r="B1078" t="e">
        <f>_xlfn.XLOOKUP(C1078,'[1]Image URL'!$E:$E,'[1]Image URL'!$A:$A)</f>
        <v>#N/A</v>
      </c>
      <c r="D1078" t="s">
        <v>4675</v>
      </c>
      <c r="E1078" t="s">
        <v>4481</v>
      </c>
      <c r="F1078" t="s">
        <v>932</v>
      </c>
      <c r="G1078" t="s">
        <v>338</v>
      </c>
      <c r="H1078" t="s">
        <v>1650</v>
      </c>
      <c r="I1078" t="s">
        <v>4419</v>
      </c>
      <c r="J1078" t="s">
        <v>4420</v>
      </c>
      <c r="U1078" t="s">
        <v>4421</v>
      </c>
      <c r="V1078" t="s">
        <v>157</v>
      </c>
      <c r="W1078">
        <v>77838073599</v>
      </c>
      <c r="X1078">
        <v>10077838073596</v>
      </c>
      <c r="Y1078" t="s">
        <v>4676</v>
      </c>
      <c r="Z1078" t="s">
        <v>1518</v>
      </c>
      <c r="AA1078" t="s">
        <v>4677</v>
      </c>
      <c r="AB1078" t="s">
        <v>4678</v>
      </c>
      <c r="AC1078" t="s">
        <v>391</v>
      </c>
      <c r="AD1078" t="s">
        <v>555</v>
      </c>
      <c r="AE1078" t="s">
        <v>268</v>
      </c>
      <c r="AF1078" t="s">
        <v>315</v>
      </c>
      <c r="AG1078">
        <v>392410.3</v>
      </c>
      <c r="AH1078">
        <v>65</v>
      </c>
    </row>
    <row r="1079" spans="1:122" x14ac:dyDescent="0.25">
      <c r="A1079" t="s">
        <v>4679</v>
      </c>
      <c r="B1079" t="e">
        <f>_xlfn.XLOOKUP(C1079,'[1]Image URL'!$E:$E,'[1]Image URL'!$A:$A)</f>
        <v>#N/A</v>
      </c>
      <c r="D1079" t="s">
        <v>4444</v>
      </c>
      <c r="E1079" t="s">
        <v>4416</v>
      </c>
      <c r="F1079" t="s">
        <v>4417</v>
      </c>
      <c r="G1079" t="s">
        <v>4418</v>
      </c>
      <c r="H1079" t="s">
        <v>2204</v>
      </c>
      <c r="I1079" t="s">
        <v>4419</v>
      </c>
      <c r="J1079" t="s">
        <v>4420</v>
      </c>
      <c r="U1079" t="s">
        <v>4421</v>
      </c>
      <c r="V1079" t="s">
        <v>157</v>
      </c>
      <c r="W1079">
        <v>77838861349</v>
      </c>
      <c r="X1079">
        <v>10077838861346</v>
      </c>
      <c r="Y1079" t="s">
        <v>1097</v>
      </c>
      <c r="Z1079" t="s">
        <v>1743</v>
      </c>
      <c r="AA1079" t="s">
        <v>4422</v>
      </c>
      <c r="AB1079" t="s">
        <v>519</v>
      </c>
      <c r="AC1079" t="s">
        <v>1136</v>
      </c>
      <c r="AD1079" t="s">
        <v>301</v>
      </c>
      <c r="AE1079" t="s">
        <v>302</v>
      </c>
      <c r="AF1079" t="s">
        <v>303</v>
      </c>
      <c r="AG1079">
        <v>392410.3</v>
      </c>
      <c r="AH1079">
        <v>85</v>
      </c>
      <c r="AL1079" t="s">
        <v>4423</v>
      </c>
    </row>
    <row r="1080" spans="1:122" x14ac:dyDescent="0.25">
      <c r="A1080" t="s">
        <v>4681</v>
      </c>
      <c r="B1080" t="e">
        <f>_xlfn.XLOOKUP(C1080,'[1]Image URL'!$E:$E,'[1]Image URL'!$A:$A)</f>
        <v>#N/A</v>
      </c>
      <c r="D1080" t="s">
        <v>4683</v>
      </c>
      <c r="E1080" t="s">
        <v>4410</v>
      </c>
      <c r="F1080" t="s">
        <v>4411</v>
      </c>
      <c r="G1080" t="s">
        <v>643</v>
      </c>
      <c r="H1080" t="s">
        <v>4412</v>
      </c>
      <c r="I1080" t="s">
        <v>194</v>
      </c>
      <c r="J1080" t="s">
        <v>212</v>
      </c>
      <c r="U1080" t="s">
        <v>217</v>
      </c>
      <c r="V1080" t="s">
        <v>157</v>
      </c>
      <c r="W1080">
        <v>77838504062</v>
      </c>
      <c r="X1080">
        <v>10077838004064</v>
      </c>
      <c r="Y1080" t="s">
        <v>1016</v>
      </c>
      <c r="Z1080" t="s">
        <v>666</v>
      </c>
      <c r="AA1080" t="s">
        <v>807</v>
      </c>
      <c r="AB1080" t="s">
        <v>444</v>
      </c>
      <c r="AC1080" t="s">
        <v>846</v>
      </c>
      <c r="AD1080" t="s">
        <v>555</v>
      </c>
      <c r="AE1080" t="s">
        <v>235</v>
      </c>
      <c r="AF1080" t="s">
        <v>184</v>
      </c>
      <c r="AG1080">
        <v>392410.3</v>
      </c>
      <c r="AH1080">
        <v>70</v>
      </c>
      <c r="DQ1080" t="s">
        <v>771</v>
      </c>
      <c r="DR1080" t="s">
        <v>457</v>
      </c>
    </row>
    <row r="1081" spans="1:122" x14ac:dyDescent="0.25">
      <c r="A1081" t="s">
        <v>4684</v>
      </c>
      <c r="B1081" t="e">
        <f>_xlfn.XLOOKUP(C1081,'[1]Image URL'!$E:$E,'[1]Image URL'!$A:$A)</f>
        <v>#N/A</v>
      </c>
      <c r="D1081" t="s">
        <v>4686</v>
      </c>
      <c r="E1081" t="s">
        <v>4481</v>
      </c>
      <c r="F1081" t="s">
        <v>1169</v>
      </c>
      <c r="G1081" t="s">
        <v>261</v>
      </c>
      <c r="H1081" t="s">
        <v>1641</v>
      </c>
      <c r="I1081" t="s">
        <v>4419</v>
      </c>
      <c r="J1081" t="s">
        <v>4420</v>
      </c>
      <c r="U1081" t="s">
        <v>4421</v>
      </c>
      <c r="V1081" t="s">
        <v>157</v>
      </c>
      <c r="W1081">
        <v>77838275153</v>
      </c>
      <c r="X1081">
        <v>10077838075156</v>
      </c>
      <c r="Y1081" t="s">
        <v>4687</v>
      </c>
      <c r="Z1081" t="s">
        <v>4063</v>
      </c>
      <c r="AA1081" t="s">
        <v>4688</v>
      </c>
      <c r="AB1081" t="s">
        <v>1846</v>
      </c>
      <c r="AC1081" t="s">
        <v>463</v>
      </c>
      <c r="AD1081" t="s">
        <v>1621</v>
      </c>
      <c r="AE1081" t="s">
        <v>235</v>
      </c>
      <c r="AF1081" t="s">
        <v>315</v>
      </c>
      <c r="AG1081">
        <v>392410.3</v>
      </c>
      <c r="AH1081">
        <v>300</v>
      </c>
    </row>
    <row r="1082" spans="1:122" x14ac:dyDescent="0.25">
      <c r="A1082" t="s">
        <v>4689</v>
      </c>
      <c r="B1082" t="e">
        <f>_xlfn.XLOOKUP(C1082,'[1]Image URL'!$E:$E,'[1]Image URL'!$A:$A)</f>
        <v>#N/A</v>
      </c>
      <c r="D1082" t="s">
        <v>4691</v>
      </c>
      <c r="E1082" t="s">
        <v>4481</v>
      </c>
      <c r="F1082" t="s">
        <v>1169</v>
      </c>
      <c r="G1082" t="s">
        <v>261</v>
      </c>
      <c r="H1082" t="s">
        <v>1641</v>
      </c>
      <c r="I1082" t="s">
        <v>4419</v>
      </c>
      <c r="J1082" t="s">
        <v>4420</v>
      </c>
      <c r="U1082" t="s">
        <v>4421</v>
      </c>
      <c r="V1082" t="s">
        <v>157</v>
      </c>
      <c r="W1082">
        <v>77838575109</v>
      </c>
      <c r="X1082">
        <v>10077838075101</v>
      </c>
      <c r="Y1082" t="s">
        <v>4687</v>
      </c>
      <c r="Z1082" t="s">
        <v>4063</v>
      </c>
      <c r="AA1082" t="s">
        <v>4688</v>
      </c>
      <c r="AB1082" t="s">
        <v>1846</v>
      </c>
      <c r="AC1082" t="s">
        <v>463</v>
      </c>
      <c r="AD1082" t="s">
        <v>1621</v>
      </c>
      <c r="AE1082" t="s">
        <v>235</v>
      </c>
      <c r="AF1082" t="s">
        <v>315</v>
      </c>
      <c r="AG1082">
        <v>392410.3</v>
      </c>
      <c r="AH1082">
        <v>300</v>
      </c>
    </row>
    <row r="1083" spans="1:122" x14ac:dyDescent="0.25">
      <c r="A1083" t="s">
        <v>4692</v>
      </c>
      <c r="B1083" t="e">
        <f>_xlfn.XLOOKUP(C1083,'[1]Image URL'!$E:$E,'[1]Image URL'!$A:$A)</f>
        <v>#N/A</v>
      </c>
      <c r="D1083" t="s">
        <v>4694</v>
      </c>
      <c r="E1083" t="s">
        <v>4494</v>
      </c>
      <c r="F1083" t="s">
        <v>4495</v>
      </c>
      <c r="G1083" t="s">
        <v>991</v>
      </c>
      <c r="H1083" t="s">
        <v>4496</v>
      </c>
      <c r="I1083" t="s">
        <v>194</v>
      </c>
      <c r="J1083" t="s">
        <v>212</v>
      </c>
      <c r="U1083" t="s">
        <v>217</v>
      </c>
      <c r="V1083" t="s">
        <v>157</v>
      </c>
      <c r="W1083">
        <v>77838503775</v>
      </c>
      <c r="X1083">
        <v>10077838003777</v>
      </c>
      <c r="Y1083" t="s">
        <v>2968</v>
      </c>
      <c r="Z1083" t="s">
        <v>1835</v>
      </c>
      <c r="AA1083" t="s">
        <v>755</v>
      </c>
      <c r="AB1083" t="s">
        <v>1804</v>
      </c>
      <c r="AC1083" t="s">
        <v>868</v>
      </c>
      <c r="AD1083" t="s">
        <v>402</v>
      </c>
      <c r="AE1083" t="s">
        <v>349</v>
      </c>
      <c r="AF1083" t="s">
        <v>315</v>
      </c>
      <c r="AG1083">
        <v>392410.3</v>
      </c>
      <c r="AH1083">
        <v>70</v>
      </c>
    </row>
    <row r="1084" spans="1:122" x14ac:dyDescent="0.25">
      <c r="A1084" t="s">
        <v>4695</v>
      </c>
      <c r="B1084" t="e">
        <f>_xlfn.XLOOKUP(C1084,'[1]Image URL'!$E:$E,'[1]Image URL'!$A:$A)</f>
        <v>#N/A</v>
      </c>
      <c r="D1084" t="s">
        <v>4697</v>
      </c>
      <c r="E1084" t="s">
        <v>4542</v>
      </c>
      <c r="F1084" t="s">
        <v>1010</v>
      </c>
      <c r="G1084" t="s">
        <v>930</v>
      </c>
      <c r="H1084" t="s">
        <v>193</v>
      </c>
      <c r="J1084" t="s">
        <v>4543</v>
      </c>
      <c r="U1084" t="s">
        <v>4421</v>
      </c>
      <c r="V1084" t="s">
        <v>157</v>
      </c>
      <c r="W1084">
        <v>77838884690</v>
      </c>
      <c r="X1084">
        <v>10077838884697</v>
      </c>
      <c r="Y1084" t="s">
        <v>4698</v>
      </c>
      <c r="Z1084" t="s">
        <v>3416</v>
      </c>
      <c r="AA1084" t="s">
        <v>933</v>
      </c>
      <c r="AB1084" t="s">
        <v>615</v>
      </c>
      <c r="AC1084" t="s">
        <v>340</v>
      </c>
      <c r="AD1084" t="s">
        <v>426</v>
      </c>
      <c r="AE1084" t="s">
        <v>316</v>
      </c>
      <c r="AF1084" t="s">
        <v>507</v>
      </c>
      <c r="AG1084">
        <v>392410.3</v>
      </c>
      <c r="AH1084">
        <v>70</v>
      </c>
      <c r="AL1084" t="s">
        <v>4699</v>
      </c>
      <c r="AY1084" t="s">
        <v>4546</v>
      </c>
    </row>
    <row r="1085" spans="1:122" x14ac:dyDescent="0.25">
      <c r="A1085" t="s">
        <v>4700</v>
      </c>
      <c r="B1085" t="e">
        <f>_xlfn.XLOOKUP(C1085,'[1]Image URL'!$E:$E,'[1]Image URL'!$A:$A)</f>
        <v>#N/A</v>
      </c>
      <c r="D1085" t="s">
        <v>4702</v>
      </c>
      <c r="E1085" t="s">
        <v>4474</v>
      </c>
      <c r="F1085" t="s">
        <v>4428</v>
      </c>
      <c r="G1085" t="s">
        <v>472</v>
      </c>
      <c r="H1085" t="s">
        <v>4460</v>
      </c>
      <c r="U1085" t="s">
        <v>156</v>
      </c>
      <c r="V1085" t="s">
        <v>157</v>
      </c>
      <c r="W1085">
        <v>77838269503</v>
      </c>
      <c r="X1085">
        <v>10077838069506</v>
      </c>
      <c r="Y1085" t="s">
        <v>4475</v>
      </c>
      <c r="Z1085" t="s">
        <v>4476</v>
      </c>
      <c r="AA1085" t="s">
        <v>271</v>
      </c>
      <c r="AB1085" t="s">
        <v>522</v>
      </c>
      <c r="AC1085" t="s">
        <v>882</v>
      </c>
      <c r="AD1085" t="s">
        <v>446</v>
      </c>
      <c r="AE1085" t="s">
        <v>184</v>
      </c>
      <c r="AF1085" t="s">
        <v>302</v>
      </c>
      <c r="AG1085">
        <v>392410.3</v>
      </c>
      <c r="AH1085">
        <v>70</v>
      </c>
      <c r="AL1085" t="s">
        <v>4477</v>
      </c>
      <c r="AT1085" t="s">
        <v>4460</v>
      </c>
    </row>
    <row r="1086" spans="1:122" x14ac:dyDescent="0.25">
      <c r="A1086" t="s">
        <v>4703</v>
      </c>
      <c r="B1086" t="e">
        <f>_xlfn.XLOOKUP(C1086,'[1]Image URL'!$E:$E,'[1]Image URL'!$A:$A)</f>
        <v>#N/A</v>
      </c>
      <c r="D1086" t="s">
        <v>4705</v>
      </c>
      <c r="E1086" t="s">
        <v>4542</v>
      </c>
      <c r="F1086" t="s">
        <v>643</v>
      </c>
      <c r="G1086" t="s">
        <v>643</v>
      </c>
      <c r="H1086" t="s">
        <v>193</v>
      </c>
      <c r="J1086" t="s">
        <v>4543</v>
      </c>
      <c r="U1086" t="s">
        <v>4421</v>
      </c>
      <c r="V1086" t="s">
        <v>157</v>
      </c>
      <c r="W1086">
        <v>77838884430</v>
      </c>
      <c r="X1086">
        <v>10077838884437</v>
      </c>
      <c r="Y1086" t="s">
        <v>4706</v>
      </c>
      <c r="Z1086" t="s">
        <v>1764</v>
      </c>
      <c r="AA1086" t="s">
        <v>646</v>
      </c>
      <c r="AB1086" t="s">
        <v>506</v>
      </c>
      <c r="AC1086" t="s">
        <v>345</v>
      </c>
      <c r="AD1086" t="s">
        <v>301</v>
      </c>
      <c r="AE1086" t="s">
        <v>235</v>
      </c>
      <c r="AF1086" t="s">
        <v>349</v>
      </c>
      <c r="AG1086">
        <v>392410.3</v>
      </c>
      <c r="AH1086">
        <v>65</v>
      </c>
      <c r="AL1086" t="s">
        <v>1754</v>
      </c>
      <c r="AN1086" t="s">
        <v>643</v>
      </c>
      <c r="AY1086" t="s">
        <v>4546</v>
      </c>
    </row>
    <row r="1087" spans="1:122" x14ac:dyDescent="0.25">
      <c r="A1087" t="s">
        <v>4707</v>
      </c>
      <c r="B1087" t="e">
        <f>_xlfn.XLOOKUP(C1087,'[1]Image URL'!$E:$E,'[1]Image URL'!$A:$A)</f>
        <v>#N/A</v>
      </c>
      <c r="D1087" t="s">
        <v>4526</v>
      </c>
      <c r="E1087" t="s">
        <v>4410</v>
      </c>
      <c r="F1087" t="s">
        <v>4411</v>
      </c>
      <c r="G1087" t="s">
        <v>643</v>
      </c>
      <c r="H1087" t="s">
        <v>4412</v>
      </c>
      <c r="I1087" t="s">
        <v>194</v>
      </c>
      <c r="J1087" t="s">
        <v>212</v>
      </c>
      <c r="U1087" t="s">
        <v>217</v>
      </c>
      <c r="V1087" t="s">
        <v>157</v>
      </c>
      <c r="W1087">
        <v>77838503959</v>
      </c>
      <c r="X1087">
        <v>10077838003951</v>
      </c>
      <c r="Y1087" t="s">
        <v>1016</v>
      </c>
      <c r="Z1087" t="s">
        <v>666</v>
      </c>
      <c r="AA1087" t="s">
        <v>807</v>
      </c>
      <c r="AB1087" t="s">
        <v>444</v>
      </c>
      <c r="AC1087" t="s">
        <v>846</v>
      </c>
      <c r="AD1087" t="s">
        <v>555</v>
      </c>
      <c r="AE1087" t="s">
        <v>235</v>
      </c>
      <c r="AF1087" t="s">
        <v>184</v>
      </c>
      <c r="AG1087">
        <v>392410.3</v>
      </c>
      <c r="AH1087">
        <v>70</v>
      </c>
      <c r="DQ1087" t="s">
        <v>771</v>
      </c>
      <c r="DR1087" t="s">
        <v>457</v>
      </c>
    </row>
    <row r="1088" spans="1:122" x14ac:dyDescent="0.25">
      <c r="A1088" t="s">
        <v>4708</v>
      </c>
      <c r="B1088" t="e">
        <f>_xlfn.XLOOKUP(C1088,'[1]Image URL'!$E:$E,'[1]Image URL'!$A:$A)</f>
        <v>#N/A</v>
      </c>
      <c r="D1088" t="s">
        <v>4570</v>
      </c>
      <c r="E1088" t="s">
        <v>4410</v>
      </c>
      <c r="F1088" t="s">
        <v>4411</v>
      </c>
      <c r="G1088" t="s">
        <v>643</v>
      </c>
      <c r="H1088" t="s">
        <v>4412</v>
      </c>
      <c r="I1088" t="s">
        <v>194</v>
      </c>
      <c r="J1088" t="s">
        <v>212</v>
      </c>
      <c r="U1088" t="s">
        <v>217</v>
      </c>
      <c r="V1088" t="s">
        <v>157</v>
      </c>
      <c r="W1088">
        <v>77838504048</v>
      </c>
      <c r="X1088">
        <v>10077838004040</v>
      </c>
      <c r="Y1088" t="s">
        <v>1016</v>
      </c>
      <c r="Z1088" t="s">
        <v>666</v>
      </c>
      <c r="AA1088" t="s">
        <v>807</v>
      </c>
      <c r="AB1088" t="s">
        <v>444</v>
      </c>
      <c r="AC1088" t="s">
        <v>846</v>
      </c>
      <c r="AD1088" t="s">
        <v>555</v>
      </c>
      <c r="AE1088" t="s">
        <v>235</v>
      </c>
      <c r="AF1088" t="s">
        <v>184</v>
      </c>
      <c r="AG1088">
        <v>392410.3</v>
      </c>
      <c r="AH1088">
        <v>70</v>
      </c>
      <c r="DQ1088" t="s">
        <v>771</v>
      </c>
      <c r="DR1088" t="s">
        <v>457</v>
      </c>
    </row>
    <row r="1089" spans="1:122" x14ac:dyDescent="0.25">
      <c r="A1089" t="s">
        <v>4709</v>
      </c>
      <c r="B1089" t="e">
        <f>_xlfn.XLOOKUP(C1089,'[1]Image URL'!$E:$E,'[1]Image URL'!$A:$A)</f>
        <v>#N/A</v>
      </c>
      <c r="D1089" t="s">
        <v>4711</v>
      </c>
      <c r="E1089" t="s">
        <v>4410</v>
      </c>
      <c r="F1089" t="s">
        <v>4411</v>
      </c>
      <c r="G1089" t="s">
        <v>643</v>
      </c>
      <c r="H1089" t="s">
        <v>4412</v>
      </c>
      <c r="I1089" t="s">
        <v>194</v>
      </c>
      <c r="J1089" t="s">
        <v>212</v>
      </c>
      <c r="U1089" t="s">
        <v>217</v>
      </c>
      <c r="V1089" t="s">
        <v>157</v>
      </c>
      <c r="W1089">
        <v>77838503997</v>
      </c>
      <c r="X1089">
        <v>10077838003999</v>
      </c>
      <c r="Y1089" t="s">
        <v>1016</v>
      </c>
      <c r="Z1089" t="s">
        <v>666</v>
      </c>
      <c r="AA1089" t="s">
        <v>807</v>
      </c>
      <c r="AB1089" t="s">
        <v>444</v>
      </c>
      <c r="AC1089" t="s">
        <v>846</v>
      </c>
      <c r="AD1089" t="s">
        <v>555</v>
      </c>
      <c r="AE1089" t="s">
        <v>235</v>
      </c>
      <c r="AF1089" t="s">
        <v>184</v>
      </c>
      <c r="AG1089">
        <v>392410.3</v>
      </c>
      <c r="AH1089">
        <v>70</v>
      </c>
      <c r="DQ1089" t="s">
        <v>771</v>
      </c>
      <c r="DR1089" t="s">
        <v>457</v>
      </c>
    </row>
    <row r="1090" spans="1:122" x14ac:dyDescent="0.25">
      <c r="A1090" t="s">
        <v>4712</v>
      </c>
      <c r="B1090" t="e">
        <f>_xlfn.XLOOKUP(C1090,'[1]Image URL'!$E:$E,'[1]Image URL'!$A:$A)</f>
        <v>#N/A</v>
      </c>
      <c r="D1090" t="s">
        <v>4713</v>
      </c>
      <c r="E1090" t="s">
        <v>4432</v>
      </c>
      <c r="F1090" t="s">
        <v>643</v>
      </c>
      <c r="G1090" t="s">
        <v>472</v>
      </c>
      <c r="J1090" t="s">
        <v>195</v>
      </c>
      <c r="U1090" t="s">
        <v>1459</v>
      </c>
      <c r="V1090" t="s">
        <v>1385</v>
      </c>
      <c r="W1090">
        <v>77838203392</v>
      </c>
      <c r="X1090">
        <v>10077838103392</v>
      </c>
      <c r="Y1090" t="s">
        <v>387</v>
      </c>
      <c r="Z1090" t="s">
        <v>179</v>
      </c>
      <c r="AA1090" t="s">
        <v>266</v>
      </c>
      <c r="AB1090" t="s">
        <v>2518</v>
      </c>
      <c r="AC1090" t="s">
        <v>2238</v>
      </c>
      <c r="AD1090" t="s">
        <v>183</v>
      </c>
      <c r="AE1090" t="s">
        <v>184</v>
      </c>
      <c r="AF1090" t="s">
        <v>185</v>
      </c>
      <c r="AG1090">
        <v>392410.3</v>
      </c>
      <c r="AH1090">
        <v>65</v>
      </c>
      <c r="AT1090" t="s">
        <v>4433</v>
      </c>
    </row>
    <row r="1091" spans="1:122" x14ac:dyDescent="0.25">
      <c r="A1091" t="s">
        <v>4714</v>
      </c>
      <c r="B1091" t="e">
        <f>_xlfn.XLOOKUP(C1091,'[1]Image URL'!$E:$E,'[1]Image URL'!$A:$A)</f>
        <v>#N/A</v>
      </c>
      <c r="D1091" t="s">
        <v>4716</v>
      </c>
      <c r="E1091" t="s">
        <v>4647</v>
      </c>
      <c r="F1091" t="s">
        <v>643</v>
      </c>
      <c r="G1091" t="s">
        <v>472</v>
      </c>
      <c r="I1091" t="s">
        <v>194</v>
      </c>
      <c r="J1091" t="s">
        <v>212</v>
      </c>
      <c r="U1091" t="s">
        <v>217</v>
      </c>
      <c r="V1091" t="s">
        <v>157</v>
      </c>
      <c r="W1091">
        <v>77838500170</v>
      </c>
      <c r="X1091">
        <v>10077838067793</v>
      </c>
      <c r="Y1091" t="s">
        <v>4648</v>
      </c>
      <c r="Z1091" t="s">
        <v>241</v>
      </c>
      <c r="AA1091" t="s">
        <v>695</v>
      </c>
      <c r="AB1091" t="s">
        <v>996</v>
      </c>
      <c r="AC1091" t="s">
        <v>332</v>
      </c>
      <c r="AD1091" t="s">
        <v>4459</v>
      </c>
      <c r="AE1091" t="s">
        <v>403</v>
      </c>
      <c r="AF1091" t="s">
        <v>235</v>
      </c>
      <c r="AG1091">
        <v>392410.3</v>
      </c>
      <c r="AH1091">
        <v>70</v>
      </c>
      <c r="AT1091" t="s">
        <v>4460</v>
      </c>
    </row>
    <row r="1092" spans="1:122" x14ac:dyDescent="0.25">
      <c r="A1092" t="s">
        <v>4717</v>
      </c>
      <c r="B1092" t="e">
        <f>_xlfn.XLOOKUP(C1092,'[1]Image URL'!$E:$E,'[1]Image URL'!$A:$A)</f>
        <v>#N/A</v>
      </c>
      <c r="D1092" t="s">
        <v>4718</v>
      </c>
      <c r="E1092" t="s">
        <v>4719</v>
      </c>
      <c r="F1092" t="s">
        <v>444</v>
      </c>
      <c r="G1092" t="s">
        <v>472</v>
      </c>
      <c r="J1092" t="s">
        <v>195</v>
      </c>
      <c r="U1092" t="s">
        <v>1459</v>
      </c>
      <c r="V1092" t="s">
        <v>1385</v>
      </c>
      <c r="W1092">
        <v>77838677162</v>
      </c>
      <c r="X1092">
        <v>10077838177164</v>
      </c>
      <c r="Y1092" t="s">
        <v>4458</v>
      </c>
      <c r="Z1092" t="s">
        <v>1743</v>
      </c>
      <c r="AA1092" t="s">
        <v>244</v>
      </c>
      <c r="AB1092" t="s">
        <v>1374</v>
      </c>
      <c r="AC1092" t="s">
        <v>211</v>
      </c>
      <c r="AD1092" t="s">
        <v>4459</v>
      </c>
      <c r="AE1092" t="s">
        <v>403</v>
      </c>
      <c r="AF1092" t="s">
        <v>235</v>
      </c>
      <c r="AG1092">
        <v>392410.3</v>
      </c>
      <c r="AH1092">
        <v>70</v>
      </c>
      <c r="AT1092" t="s">
        <v>4460</v>
      </c>
    </row>
    <row r="1093" spans="1:122" x14ac:dyDescent="0.25">
      <c r="A1093" t="s">
        <v>4720</v>
      </c>
      <c r="B1093" t="e">
        <f>_xlfn.XLOOKUP(C1093,'[1]Image URL'!$E:$E,'[1]Image URL'!$A:$A)</f>
        <v>#N/A</v>
      </c>
      <c r="D1093" t="s">
        <v>4722</v>
      </c>
      <c r="E1093" t="s">
        <v>4474</v>
      </c>
      <c r="F1093" t="s">
        <v>4428</v>
      </c>
      <c r="G1093" t="s">
        <v>472</v>
      </c>
      <c r="H1093" t="s">
        <v>4460</v>
      </c>
      <c r="U1093" t="s">
        <v>156</v>
      </c>
      <c r="V1093" t="s">
        <v>157</v>
      </c>
      <c r="W1093">
        <v>77838270073</v>
      </c>
      <c r="X1093">
        <v>10077838070076</v>
      </c>
      <c r="Y1093" t="s">
        <v>4475</v>
      </c>
      <c r="Z1093" t="s">
        <v>4476</v>
      </c>
      <c r="AA1093" t="s">
        <v>271</v>
      </c>
      <c r="AB1093" t="s">
        <v>522</v>
      </c>
      <c r="AC1093" t="s">
        <v>882</v>
      </c>
      <c r="AD1093" t="s">
        <v>446</v>
      </c>
      <c r="AE1093" t="s">
        <v>184</v>
      </c>
      <c r="AF1093" t="s">
        <v>302</v>
      </c>
      <c r="AG1093">
        <v>392410.3</v>
      </c>
      <c r="AH1093">
        <v>70</v>
      </c>
      <c r="AL1093" t="s">
        <v>4477</v>
      </c>
      <c r="AT1093" t="s">
        <v>4460</v>
      </c>
    </row>
    <row r="1094" spans="1:122" x14ac:dyDescent="0.25">
      <c r="A1094" t="s">
        <v>4723</v>
      </c>
      <c r="B1094" t="e">
        <f>_xlfn.XLOOKUP(C1094,'[1]Image URL'!$E:$E,'[1]Image URL'!$A:$A)</f>
        <v>#N/A</v>
      </c>
      <c r="D1094" t="s">
        <v>4725</v>
      </c>
      <c r="E1094" t="s">
        <v>4514</v>
      </c>
      <c r="F1094" t="s">
        <v>4065</v>
      </c>
      <c r="G1094" t="s">
        <v>506</v>
      </c>
      <c r="H1094" t="s">
        <v>1650</v>
      </c>
      <c r="I1094" t="s">
        <v>4419</v>
      </c>
      <c r="J1094" t="s">
        <v>4420</v>
      </c>
      <c r="U1094" t="s">
        <v>4421</v>
      </c>
      <c r="V1094" t="s">
        <v>157</v>
      </c>
      <c r="W1094">
        <v>77838250815</v>
      </c>
      <c r="X1094">
        <v>10077838050818</v>
      </c>
      <c r="Y1094" t="s">
        <v>4515</v>
      </c>
      <c r="Z1094" t="s">
        <v>903</v>
      </c>
      <c r="AA1094" t="s">
        <v>1860</v>
      </c>
      <c r="AB1094" t="s">
        <v>3989</v>
      </c>
      <c r="AC1094" t="s">
        <v>2758</v>
      </c>
      <c r="AD1094" t="s">
        <v>4459</v>
      </c>
      <c r="AE1094" t="s">
        <v>235</v>
      </c>
      <c r="AF1094" t="s">
        <v>403</v>
      </c>
      <c r="AG1094">
        <v>392410.3</v>
      </c>
      <c r="AH1094">
        <v>65</v>
      </c>
      <c r="AL1094" t="s">
        <v>2526</v>
      </c>
    </row>
    <row r="1095" spans="1:122" x14ac:dyDescent="0.25">
      <c r="A1095" t="s">
        <v>4726</v>
      </c>
      <c r="B1095" t="e">
        <f>_xlfn.XLOOKUP(C1095,'[1]Image URL'!$E:$E,'[1]Image URL'!$A:$A)</f>
        <v>#N/A</v>
      </c>
      <c r="D1095" t="s">
        <v>4728</v>
      </c>
      <c r="E1095" t="s">
        <v>4481</v>
      </c>
      <c r="F1095" t="s">
        <v>932</v>
      </c>
      <c r="G1095" t="s">
        <v>563</v>
      </c>
      <c r="H1095" t="s">
        <v>2204</v>
      </c>
      <c r="I1095" t="s">
        <v>4419</v>
      </c>
      <c r="J1095" t="s">
        <v>4420</v>
      </c>
      <c r="U1095" t="s">
        <v>4421</v>
      </c>
      <c r="V1095" t="s">
        <v>157</v>
      </c>
      <c r="W1095">
        <v>77838073780</v>
      </c>
      <c r="X1095">
        <v>10077838073787</v>
      </c>
      <c r="Y1095" t="s">
        <v>4482</v>
      </c>
      <c r="Z1095" t="s">
        <v>3416</v>
      </c>
      <c r="AA1095" t="s">
        <v>4483</v>
      </c>
      <c r="AB1095" t="s">
        <v>311</v>
      </c>
      <c r="AC1095" t="s">
        <v>1267</v>
      </c>
      <c r="AD1095" t="s">
        <v>588</v>
      </c>
      <c r="AE1095" t="s">
        <v>302</v>
      </c>
      <c r="AF1095" t="s">
        <v>349</v>
      </c>
      <c r="AG1095">
        <v>392410.3</v>
      </c>
      <c r="AH1095">
        <v>65</v>
      </c>
    </row>
    <row r="1096" spans="1:122" x14ac:dyDescent="0.25">
      <c r="A1096" t="s">
        <v>4729</v>
      </c>
      <c r="B1096" t="e">
        <f>_xlfn.XLOOKUP(C1096,'[1]Image URL'!$E:$E,'[1]Image URL'!$A:$A)</f>
        <v>#N/A</v>
      </c>
      <c r="D1096" t="s">
        <v>4731</v>
      </c>
      <c r="E1096" t="s">
        <v>4474</v>
      </c>
      <c r="F1096" t="s">
        <v>4428</v>
      </c>
      <c r="G1096" t="s">
        <v>472</v>
      </c>
      <c r="H1096" t="s">
        <v>4460</v>
      </c>
      <c r="U1096" t="s">
        <v>156</v>
      </c>
      <c r="V1096" t="s">
        <v>157</v>
      </c>
      <c r="W1096">
        <v>77838213537</v>
      </c>
      <c r="X1096">
        <v>10077838013530</v>
      </c>
      <c r="Y1096" t="s">
        <v>4475</v>
      </c>
      <c r="Z1096" t="s">
        <v>4476</v>
      </c>
      <c r="AA1096" t="s">
        <v>271</v>
      </c>
      <c r="AB1096" t="s">
        <v>522</v>
      </c>
      <c r="AC1096" t="s">
        <v>882</v>
      </c>
      <c r="AD1096" t="s">
        <v>446</v>
      </c>
      <c r="AE1096" t="s">
        <v>184</v>
      </c>
      <c r="AF1096" t="s">
        <v>302</v>
      </c>
      <c r="AG1096">
        <v>392410.3</v>
      </c>
      <c r="AH1096">
        <v>70</v>
      </c>
      <c r="AL1096" t="s">
        <v>4477</v>
      </c>
      <c r="AT1096" t="s">
        <v>4460</v>
      </c>
    </row>
    <row r="1097" spans="1:122" x14ac:dyDescent="0.25">
      <c r="A1097" t="s">
        <v>4732</v>
      </c>
      <c r="B1097" t="e">
        <f>_xlfn.XLOOKUP(C1097,'[1]Image URL'!$E:$E,'[1]Image URL'!$A:$A)</f>
        <v>#N/A</v>
      </c>
      <c r="D1097" t="s">
        <v>4733</v>
      </c>
      <c r="E1097" t="s">
        <v>4474</v>
      </c>
      <c r="F1097" t="s">
        <v>643</v>
      </c>
      <c r="G1097" t="s">
        <v>472</v>
      </c>
      <c r="H1097" t="s">
        <v>4460</v>
      </c>
      <c r="U1097" t="s">
        <v>156</v>
      </c>
      <c r="V1097" t="s">
        <v>157</v>
      </c>
      <c r="W1097">
        <v>77838570067</v>
      </c>
      <c r="X1097">
        <v>10077838070069</v>
      </c>
      <c r="Y1097" t="s">
        <v>556</v>
      </c>
      <c r="Z1097" t="s">
        <v>179</v>
      </c>
      <c r="AA1097" t="s">
        <v>643</v>
      </c>
      <c r="AB1097" t="s">
        <v>2405</v>
      </c>
      <c r="AC1097" t="s">
        <v>329</v>
      </c>
      <c r="AD1097" t="s">
        <v>4490</v>
      </c>
      <c r="AE1097" t="s">
        <v>246</v>
      </c>
      <c r="AF1097" t="s">
        <v>185</v>
      </c>
      <c r="AG1097">
        <v>392410.3</v>
      </c>
      <c r="AH1097">
        <v>65</v>
      </c>
      <c r="AL1097" t="s">
        <v>4477</v>
      </c>
      <c r="AT1097" t="s">
        <v>4460</v>
      </c>
    </row>
    <row r="1098" spans="1:122" x14ac:dyDescent="0.25">
      <c r="A1098" t="s">
        <v>4734</v>
      </c>
      <c r="B1098" t="e">
        <f>_xlfn.XLOOKUP(C1098,'[1]Image URL'!$E:$E,'[1]Image URL'!$A:$A)</f>
        <v>#N/A</v>
      </c>
      <c r="D1098" t="s">
        <v>4409</v>
      </c>
      <c r="E1098" t="s">
        <v>4410</v>
      </c>
      <c r="F1098" t="s">
        <v>4411</v>
      </c>
      <c r="G1098" t="s">
        <v>643</v>
      </c>
      <c r="H1098" t="s">
        <v>4412</v>
      </c>
      <c r="I1098" t="s">
        <v>194</v>
      </c>
      <c r="J1098" t="s">
        <v>212</v>
      </c>
      <c r="U1098" t="s">
        <v>217</v>
      </c>
      <c r="V1098" t="s">
        <v>157</v>
      </c>
      <c r="W1098">
        <v>77838503973</v>
      </c>
      <c r="X1098">
        <v>10077838003975</v>
      </c>
      <c r="Y1098" t="s">
        <v>1016</v>
      </c>
      <c r="Z1098" t="s">
        <v>666</v>
      </c>
      <c r="AA1098" t="s">
        <v>807</v>
      </c>
      <c r="AB1098" t="s">
        <v>444</v>
      </c>
      <c r="AC1098" t="s">
        <v>846</v>
      </c>
      <c r="AD1098" t="s">
        <v>555</v>
      </c>
      <c r="AE1098" t="s">
        <v>235</v>
      </c>
      <c r="AF1098" t="s">
        <v>184</v>
      </c>
      <c r="AG1098">
        <v>392410.3</v>
      </c>
      <c r="AH1098">
        <v>70</v>
      </c>
      <c r="DQ1098" t="s">
        <v>771</v>
      </c>
      <c r="DR1098" t="s">
        <v>457</v>
      </c>
    </row>
    <row r="1099" spans="1:122" x14ac:dyDescent="0.25">
      <c r="A1099" t="s">
        <v>4735</v>
      </c>
      <c r="B1099" t="e">
        <f>_xlfn.XLOOKUP(C1099,'[1]Image URL'!$E:$E,'[1]Image URL'!$A:$A)</f>
        <v>#N/A</v>
      </c>
      <c r="D1099" t="s">
        <v>4737</v>
      </c>
      <c r="E1099" t="s">
        <v>4500</v>
      </c>
      <c r="F1099" t="s">
        <v>3617</v>
      </c>
      <c r="G1099" t="s">
        <v>2075</v>
      </c>
      <c r="H1099" t="s">
        <v>1650</v>
      </c>
      <c r="I1099" t="s">
        <v>4419</v>
      </c>
      <c r="J1099" t="s">
        <v>4420</v>
      </c>
      <c r="U1099" t="s">
        <v>4421</v>
      </c>
      <c r="V1099" t="s">
        <v>157</v>
      </c>
      <c r="W1099">
        <v>77838042922</v>
      </c>
      <c r="X1099">
        <v>10077838042929</v>
      </c>
      <c r="Y1099" t="s">
        <v>304</v>
      </c>
      <c r="Z1099" t="s">
        <v>884</v>
      </c>
      <c r="AA1099" t="s">
        <v>4501</v>
      </c>
      <c r="AB1099" t="s">
        <v>1531</v>
      </c>
      <c r="AC1099" t="s">
        <v>2096</v>
      </c>
      <c r="AD1099" t="s">
        <v>1142</v>
      </c>
      <c r="AE1099" t="s">
        <v>184</v>
      </c>
      <c r="AF1099" t="s">
        <v>349</v>
      </c>
      <c r="AG1099">
        <v>392410.3</v>
      </c>
      <c r="AH1099">
        <v>65</v>
      </c>
      <c r="AL1099" t="s">
        <v>3222</v>
      </c>
    </row>
    <row r="1100" spans="1:122" x14ac:dyDescent="0.25">
      <c r="A1100" t="s">
        <v>4738</v>
      </c>
      <c r="B1100" t="e">
        <f>_xlfn.XLOOKUP(C1100,'[1]Image URL'!$E:$E,'[1]Image URL'!$A:$A)</f>
        <v>#N/A</v>
      </c>
      <c r="D1100" t="s">
        <v>4740</v>
      </c>
      <c r="E1100" t="s">
        <v>4474</v>
      </c>
      <c r="F1100" t="s">
        <v>4428</v>
      </c>
      <c r="G1100" t="s">
        <v>472</v>
      </c>
      <c r="H1100" t="s">
        <v>4460</v>
      </c>
      <c r="U1100" t="s">
        <v>156</v>
      </c>
      <c r="V1100" t="s">
        <v>157</v>
      </c>
      <c r="W1100">
        <v>77838213513</v>
      </c>
      <c r="X1100">
        <v>10077838013516</v>
      </c>
      <c r="Y1100" t="s">
        <v>4475</v>
      </c>
      <c r="Z1100" t="s">
        <v>4476</v>
      </c>
      <c r="AA1100" t="s">
        <v>271</v>
      </c>
      <c r="AB1100" t="s">
        <v>522</v>
      </c>
      <c r="AC1100" t="s">
        <v>882</v>
      </c>
      <c r="AD1100" t="s">
        <v>446</v>
      </c>
      <c r="AE1100" t="s">
        <v>184</v>
      </c>
      <c r="AF1100" t="s">
        <v>302</v>
      </c>
      <c r="AG1100">
        <v>392410.3</v>
      </c>
      <c r="AH1100">
        <v>70</v>
      </c>
      <c r="AL1100" t="s">
        <v>4477</v>
      </c>
      <c r="AT1100" t="s">
        <v>4460</v>
      </c>
    </row>
    <row r="1101" spans="1:122" x14ac:dyDescent="0.25">
      <c r="A1101" t="s">
        <v>4741</v>
      </c>
      <c r="B1101" t="e">
        <f>_xlfn.XLOOKUP(C1101,'[1]Image URL'!$E:$E,'[1]Image URL'!$A:$A)</f>
        <v>#N/A</v>
      </c>
      <c r="D1101" t="s">
        <v>4743</v>
      </c>
      <c r="E1101" t="s">
        <v>4542</v>
      </c>
      <c r="F1101" t="s">
        <v>1226</v>
      </c>
      <c r="G1101" t="s">
        <v>911</v>
      </c>
      <c r="H1101" t="s">
        <v>193</v>
      </c>
      <c r="J1101" t="s">
        <v>4543</v>
      </c>
      <c r="U1101" t="s">
        <v>4421</v>
      </c>
      <c r="V1101" t="s">
        <v>157</v>
      </c>
      <c r="W1101">
        <v>77838884638</v>
      </c>
      <c r="X1101">
        <v>10077838884635</v>
      </c>
      <c r="Y1101" t="s">
        <v>1255</v>
      </c>
      <c r="Z1101" t="s">
        <v>297</v>
      </c>
      <c r="AA1101" t="s">
        <v>911</v>
      </c>
      <c r="AB1101" t="s">
        <v>488</v>
      </c>
      <c r="AC1101" t="s">
        <v>2450</v>
      </c>
      <c r="AD1101" t="s">
        <v>446</v>
      </c>
      <c r="AE1101" t="s">
        <v>302</v>
      </c>
      <c r="AF1101" t="s">
        <v>184</v>
      </c>
      <c r="AG1101">
        <v>392410.3</v>
      </c>
      <c r="AH1101">
        <v>65</v>
      </c>
      <c r="AL1101" t="s">
        <v>4554</v>
      </c>
      <c r="AY1101" t="s">
        <v>4546</v>
      </c>
    </row>
    <row r="1102" spans="1:122" x14ac:dyDescent="0.25">
      <c r="A1102" t="s">
        <v>4744</v>
      </c>
      <c r="B1102" t="e">
        <f>_xlfn.XLOOKUP(C1102,'[1]Image URL'!$E:$E,'[1]Image URL'!$A:$A)</f>
        <v>#N/A</v>
      </c>
      <c r="D1102" t="s">
        <v>4745</v>
      </c>
      <c r="E1102" t="s">
        <v>4457</v>
      </c>
      <c r="F1102" t="s">
        <v>444</v>
      </c>
      <c r="G1102" t="s">
        <v>472</v>
      </c>
      <c r="J1102" t="s">
        <v>195</v>
      </c>
      <c r="U1102" t="s">
        <v>1459</v>
      </c>
      <c r="V1102" t="s">
        <v>1385</v>
      </c>
      <c r="W1102">
        <v>77838230749</v>
      </c>
      <c r="X1102">
        <v>10077838130749</v>
      </c>
      <c r="Y1102" t="s">
        <v>4458</v>
      </c>
      <c r="Z1102" t="s">
        <v>1743</v>
      </c>
      <c r="AA1102" t="s">
        <v>244</v>
      </c>
      <c r="AB1102" t="s">
        <v>1374</v>
      </c>
      <c r="AC1102" t="s">
        <v>211</v>
      </c>
      <c r="AD1102" t="s">
        <v>4459</v>
      </c>
      <c r="AE1102" t="s">
        <v>403</v>
      </c>
      <c r="AF1102" t="s">
        <v>235</v>
      </c>
      <c r="AG1102">
        <v>392410.3</v>
      </c>
      <c r="AH1102">
        <v>70</v>
      </c>
      <c r="AT1102" t="s">
        <v>4460</v>
      </c>
    </row>
    <row r="1103" spans="1:122" x14ac:dyDescent="0.25">
      <c r="A1103" t="s">
        <v>4746</v>
      </c>
      <c r="B1103" t="e">
        <f>_xlfn.XLOOKUP(C1103,'[1]Image URL'!$E:$E,'[1]Image URL'!$A:$A)</f>
        <v>#N/A</v>
      </c>
      <c r="D1103" t="s">
        <v>4748</v>
      </c>
      <c r="E1103" t="s">
        <v>4749</v>
      </c>
      <c r="F1103" t="s">
        <v>2479</v>
      </c>
      <c r="G1103" t="s">
        <v>4750</v>
      </c>
      <c r="H1103" t="s">
        <v>4751</v>
      </c>
      <c r="J1103" t="s">
        <v>195</v>
      </c>
      <c r="U1103" t="s">
        <v>1459</v>
      </c>
      <c r="V1103" t="s">
        <v>1385</v>
      </c>
      <c r="W1103">
        <v>77838677261</v>
      </c>
      <c r="X1103">
        <v>10077838177263</v>
      </c>
      <c r="Y1103" t="s">
        <v>1850</v>
      </c>
      <c r="Z1103" t="s">
        <v>1866</v>
      </c>
      <c r="AA1103" t="s">
        <v>752</v>
      </c>
      <c r="AB1103" t="s">
        <v>462</v>
      </c>
      <c r="AC1103" t="s">
        <v>254</v>
      </c>
      <c r="AD1103" t="s">
        <v>2153</v>
      </c>
      <c r="AE1103" t="s">
        <v>303</v>
      </c>
      <c r="AF1103" t="s">
        <v>315</v>
      </c>
      <c r="AG1103">
        <v>392410.3</v>
      </c>
      <c r="AH1103">
        <v>70</v>
      </c>
      <c r="AT1103" t="s">
        <v>4751</v>
      </c>
    </row>
    <row r="1104" spans="1:122" x14ac:dyDescent="0.25">
      <c r="A1104" t="s">
        <v>4752</v>
      </c>
      <c r="B1104" t="e">
        <f>_xlfn.XLOOKUP(C1104,'[1]Image URL'!$E:$E,'[1]Image URL'!$A:$A)</f>
        <v>#N/A</v>
      </c>
      <c r="D1104" t="s">
        <v>4754</v>
      </c>
      <c r="E1104" t="s">
        <v>4542</v>
      </c>
      <c r="F1104" t="s">
        <v>1531</v>
      </c>
      <c r="G1104" t="s">
        <v>1531</v>
      </c>
      <c r="H1104" t="s">
        <v>193</v>
      </c>
      <c r="J1104" t="s">
        <v>4543</v>
      </c>
      <c r="U1104" t="s">
        <v>4421</v>
      </c>
      <c r="V1104" t="s">
        <v>157</v>
      </c>
      <c r="W1104">
        <v>77838884508</v>
      </c>
      <c r="X1104">
        <v>10077838884505</v>
      </c>
      <c r="Y1104" t="s">
        <v>4544</v>
      </c>
      <c r="Z1104" t="s">
        <v>1743</v>
      </c>
      <c r="AA1104" t="s">
        <v>706</v>
      </c>
      <c r="AB1104" t="s">
        <v>2970</v>
      </c>
      <c r="AC1104" t="s">
        <v>757</v>
      </c>
      <c r="AD1104" t="s">
        <v>4459</v>
      </c>
      <c r="AE1104" t="s">
        <v>235</v>
      </c>
      <c r="AF1104" t="s">
        <v>403</v>
      </c>
      <c r="AG1104">
        <v>392410.3</v>
      </c>
      <c r="AH1104">
        <v>65</v>
      </c>
      <c r="AL1104" t="s">
        <v>4545</v>
      </c>
      <c r="AN1104" t="s">
        <v>1531</v>
      </c>
      <c r="AY1104" t="s">
        <v>4546</v>
      </c>
    </row>
    <row r="1105" spans="1:122" x14ac:dyDescent="0.25">
      <c r="A1105" t="s">
        <v>4755</v>
      </c>
      <c r="B1105" t="e">
        <f>_xlfn.XLOOKUP(C1105,'[1]Image URL'!$E:$E,'[1]Image URL'!$A:$A)</f>
        <v>#N/A</v>
      </c>
      <c r="D1105" t="s">
        <v>4756</v>
      </c>
      <c r="E1105" t="s">
        <v>4537</v>
      </c>
      <c r="F1105" t="s">
        <v>643</v>
      </c>
      <c r="G1105" t="s">
        <v>472</v>
      </c>
      <c r="J1105" t="s">
        <v>195</v>
      </c>
      <c r="U1105" t="s">
        <v>1459</v>
      </c>
      <c r="V1105" t="s">
        <v>1385</v>
      </c>
      <c r="W1105">
        <v>77838298305</v>
      </c>
      <c r="X1105">
        <v>10077838098308</v>
      </c>
      <c r="Y1105" t="s">
        <v>4538</v>
      </c>
      <c r="Z1105" t="s">
        <v>1764</v>
      </c>
      <c r="AA1105" t="s">
        <v>2238</v>
      </c>
      <c r="AB1105" t="s">
        <v>1374</v>
      </c>
      <c r="AC1105" t="s">
        <v>266</v>
      </c>
      <c r="AD1105" t="s">
        <v>183</v>
      </c>
      <c r="AE1105" t="s">
        <v>184</v>
      </c>
      <c r="AF1105" t="s">
        <v>185</v>
      </c>
      <c r="AG1105">
        <v>392410.3</v>
      </c>
      <c r="AH1105">
        <v>65</v>
      </c>
      <c r="AT1105" t="s">
        <v>4433</v>
      </c>
    </row>
    <row r="1106" spans="1:122" x14ac:dyDescent="0.25">
      <c r="A1106" t="s">
        <v>4757</v>
      </c>
      <c r="B1106" t="e">
        <f>_xlfn.XLOOKUP(C1106,'[1]Image URL'!$E:$E,'[1]Image URL'!$A:$A)</f>
        <v>#N/A</v>
      </c>
      <c r="D1106" t="s">
        <v>4759</v>
      </c>
      <c r="E1106" t="s">
        <v>4561</v>
      </c>
      <c r="F1106" t="s">
        <v>523</v>
      </c>
      <c r="G1106" t="s">
        <v>523</v>
      </c>
      <c r="H1106" t="s">
        <v>193</v>
      </c>
      <c r="I1106" t="s">
        <v>194</v>
      </c>
      <c r="J1106" t="s">
        <v>212</v>
      </c>
      <c r="U1106" t="s">
        <v>217</v>
      </c>
      <c r="V1106" t="s">
        <v>1385</v>
      </c>
      <c r="W1106">
        <v>77838664995</v>
      </c>
      <c r="X1106">
        <v>10077838164997</v>
      </c>
      <c r="Y1106" t="s">
        <v>3126</v>
      </c>
      <c r="Z1106" t="s">
        <v>1957</v>
      </c>
      <c r="AA1106" t="s">
        <v>994</v>
      </c>
      <c r="AB1106" t="s">
        <v>1753</v>
      </c>
      <c r="AC1106" t="s">
        <v>386</v>
      </c>
      <c r="AD1106" t="s">
        <v>1668</v>
      </c>
      <c r="AE1106" t="s">
        <v>184</v>
      </c>
      <c r="AF1106" t="s">
        <v>403</v>
      </c>
      <c r="AG1106">
        <v>392410.3</v>
      </c>
      <c r="AH1106">
        <v>65</v>
      </c>
      <c r="AL1106" t="s">
        <v>2659</v>
      </c>
      <c r="AN1106" t="s">
        <v>523</v>
      </c>
    </row>
    <row r="1107" spans="1:122" x14ac:dyDescent="0.25">
      <c r="A1107" t="s">
        <v>4760</v>
      </c>
      <c r="B1107" t="e">
        <f>_xlfn.XLOOKUP(C1107,'[1]Image URL'!$E:$E,'[1]Image URL'!$A:$A)</f>
        <v>#N/A</v>
      </c>
      <c r="D1107" t="s">
        <v>4762</v>
      </c>
      <c r="E1107" t="s">
        <v>4542</v>
      </c>
      <c r="F1107" t="s">
        <v>643</v>
      </c>
      <c r="G1107" t="s">
        <v>643</v>
      </c>
      <c r="H1107" t="s">
        <v>193</v>
      </c>
      <c r="J1107" t="s">
        <v>4543</v>
      </c>
      <c r="U1107" t="s">
        <v>4421</v>
      </c>
      <c r="V1107" t="s">
        <v>157</v>
      </c>
      <c r="W1107">
        <v>77838884447</v>
      </c>
      <c r="X1107">
        <v>10077838884444</v>
      </c>
      <c r="Y1107" t="s">
        <v>4706</v>
      </c>
      <c r="Z1107" t="s">
        <v>1764</v>
      </c>
      <c r="AA1107" t="s">
        <v>646</v>
      </c>
      <c r="AB1107" t="s">
        <v>506</v>
      </c>
      <c r="AC1107" t="s">
        <v>345</v>
      </c>
      <c r="AD1107" t="s">
        <v>301</v>
      </c>
      <c r="AE1107" t="s">
        <v>235</v>
      </c>
      <c r="AF1107" t="s">
        <v>349</v>
      </c>
      <c r="AG1107">
        <v>392410.3</v>
      </c>
      <c r="AH1107">
        <v>65</v>
      </c>
      <c r="AL1107" t="s">
        <v>1754</v>
      </c>
      <c r="AN1107" t="s">
        <v>643</v>
      </c>
      <c r="AY1107" t="s">
        <v>4546</v>
      </c>
    </row>
    <row r="1108" spans="1:122" x14ac:dyDescent="0.25">
      <c r="A1108" t="s">
        <v>4763</v>
      </c>
      <c r="B1108" t="e">
        <f>_xlfn.XLOOKUP(C1108,'[1]Image URL'!$E:$E,'[1]Image URL'!$A:$A)</f>
        <v>#N/A</v>
      </c>
      <c r="D1108" t="s">
        <v>4711</v>
      </c>
      <c r="E1108" t="s">
        <v>4410</v>
      </c>
      <c r="F1108" t="s">
        <v>4411</v>
      </c>
      <c r="G1108" t="s">
        <v>643</v>
      </c>
      <c r="H1108" t="s">
        <v>4412</v>
      </c>
      <c r="I1108" t="s">
        <v>194</v>
      </c>
      <c r="J1108" t="s">
        <v>212</v>
      </c>
      <c r="U1108" t="s">
        <v>217</v>
      </c>
      <c r="V1108" t="s">
        <v>157</v>
      </c>
      <c r="W1108">
        <v>77838503997</v>
      </c>
      <c r="X1108">
        <v>10077838003999</v>
      </c>
      <c r="Y1108" t="s">
        <v>1016</v>
      </c>
      <c r="Z1108" t="s">
        <v>666</v>
      </c>
      <c r="AA1108" t="s">
        <v>807</v>
      </c>
      <c r="AB1108" t="s">
        <v>444</v>
      </c>
      <c r="AC1108" t="s">
        <v>846</v>
      </c>
      <c r="AD1108" t="s">
        <v>555</v>
      </c>
      <c r="AE1108" t="s">
        <v>235</v>
      </c>
      <c r="AF1108" t="s">
        <v>184</v>
      </c>
      <c r="AG1108">
        <v>392410.3</v>
      </c>
      <c r="AH1108">
        <v>70</v>
      </c>
      <c r="DQ1108" t="s">
        <v>771</v>
      </c>
      <c r="DR1108" t="s">
        <v>457</v>
      </c>
    </row>
    <row r="1109" spans="1:122" x14ac:dyDescent="0.25">
      <c r="A1109" t="s">
        <v>4764</v>
      </c>
      <c r="B1109" t="e">
        <f>_xlfn.XLOOKUP(C1109,'[1]Image URL'!$E:$E,'[1]Image URL'!$A:$A)</f>
        <v>#N/A</v>
      </c>
      <c r="D1109" t="s">
        <v>4765</v>
      </c>
      <c r="E1109" t="s">
        <v>4457</v>
      </c>
      <c r="F1109" t="s">
        <v>444</v>
      </c>
      <c r="G1109" t="s">
        <v>472</v>
      </c>
      <c r="J1109" t="s">
        <v>195</v>
      </c>
      <c r="U1109" t="s">
        <v>1459</v>
      </c>
      <c r="V1109" t="s">
        <v>1385</v>
      </c>
      <c r="W1109">
        <v>77838677155</v>
      </c>
      <c r="X1109">
        <v>10077838177157</v>
      </c>
      <c r="Y1109" t="s">
        <v>4458</v>
      </c>
      <c r="Z1109" t="s">
        <v>1743</v>
      </c>
      <c r="AA1109" t="s">
        <v>244</v>
      </c>
      <c r="AB1109" t="s">
        <v>1374</v>
      </c>
      <c r="AC1109" t="s">
        <v>211</v>
      </c>
      <c r="AD1109" t="s">
        <v>4459</v>
      </c>
      <c r="AE1109" t="s">
        <v>403</v>
      </c>
      <c r="AF1109" t="s">
        <v>235</v>
      </c>
      <c r="AG1109">
        <v>392410.3</v>
      </c>
      <c r="AH1109">
        <v>70</v>
      </c>
      <c r="AT1109" t="s">
        <v>4460</v>
      </c>
    </row>
    <row r="1110" spans="1:122" x14ac:dyDescent="0.25">
      <c r="A1110" t="s">
        <v>4766</v>
      </c>
      <c r="B1110" t="e">
        <f>_xlfn.XLOOKUP(C1110,'[1]Image URL'!$E:$E,'[1]Image URL'!$A:$A)</f>
        <v>#N/A</v>
      </c>
      <c r="D1110" t="s">
        <v>4768</v>
      </c>
      <c r="E1110" t="s">
        <v>4769</v>
      </c>
      <c r="F1110" t="s">
        <v>4770</v>
      </c>
      <c r="G1110" t="s">
        <v>4771</v>
      </c>
      <c r="H1110" t="s">
        <v>4772</v>
      </c>
      <c r="I1110" t="s">
        <v>194</v>
      </c>
      <c r="J1110" t="s">
        <v>212</v>
      </c>
      <c r="U1110" t="s">
        <v>217</v>
      </c>
      <c r="V1110" t="s">
        <v>157</v>
      </c>
      <c r="W1110">
        <v>77838209707</v>
      </c>
      <c r="X1110">
        <v>10077838009700</v>
      </c>
      <c r="Y1110" t="s">
        <v>4773</v>
      </c>
      <c r="Z1110" t="s">
        <v>4774</v>
      </c>
      <c r="AA1110" t="s">
        <v>4775</v>
      </c>
      <c r="AB1110" t="s">
        <v>597</v>
      </c>
      <c r="AC1110" t="s">
        <v>312</v>
      </c>
      <c r="AD1110" t="s">
        <v>235</v>
      </c>
      <c r="AE1110" t="s">
        <v>316</v>
      </c>
      <c r="AF1110" t="s">
        <v>456</v>
      </c>
      <c r="AG1110">
        <v>940370.80310000002</v>
      </c>
      <c r="AH1110">
        <v>125</v>
      </c>
      <c r="AL1110" t="s">
        <v>4776</v>
      </c>
    </row>
    <row r="1111" spans="1:122" x14ac:dyDescent="0.25">
      <c r="A1111" t="s">
        <v>4777</v>
      </c>
      <c r="B1111" t="e">
        <f>_xlfn.XLOOKUP(C1111,'[1]Image URL'!$E:$E,'[1]Image URL'!$A:$A)</f>
        <v>#N/A</v>
      </c>
      <c r="D1111" t="s">
        <v>4779</v>
      </c>
      <c r="E1111" t="s">
        <v>4427</v>
      </c>
      <c r="F1111" t="s">
        <v>4428</v>
      </c>
      <c r="G1111" t="s">
        <v>472</v>
      </c>
      <c r="I1111" t="s">
        <v>194</v>
      </c>
      <c r="J1111" t="s">
        <v>212</v>
      </c>
      <c r="U1111" t="s">
        <v>217</v>
      </c>
      <c r="V1111" t="s">
        <v>157</v>
      </c>
      <c r="W1111">
        <v>77838218792</v>
      </c>
      <c r="X1111">
        <v>10077838018795</v>
      </c>
      <c r="Y1111" t="s">
        <v>4429</v>
      </c>
      <c r="Z1111" t="s">
        <v>4169</v>
      </c>
      <c r="AA1111" t="s">
        <v>1860</v>
      </c>
      <c r="AB1111" t="s">
        <v>882</v>
      </c>
      <c r="AC1111" t="s">
        <v>523</v>
      </c>
      <c r="AD1111" t="s">
        <v>446</v>
      </c>
      <c r="AE1111" t="s">
        <v>184</v>
      </c>
      <c r="AF1111" t="s">
        <v>302</v>
      </c>
      <c r="AG1111">
        <v>392410.3</v>
      </c>
      <c r="AH1111">
        <v>70</v>
      </c>
      <c r="AT1111" t="s">
        <v>1650</v>
      </c>
    </row>
    <row r="1112" spans="1:122" x14ac:dyDescent="0.25">
      <c r="A1112" t="s">
        <v>4780</v>
      </c>
      <c r="B1112" t="e">
        <f>_xlfn.XLOOKUP(C1112,'[1]Image URL'!$E:$E,'[1]Image URL'!$A:$A)</f>
        <v>#N/A</v>
      </c>
      <c r="D1112" t="s">
        <v>4782</v>
      </c>
      <c r="E1112" t="s">
        <v>4749</v>
      </c>
      <c r="F1112" t="s">
        <v>2479</v>
      </c>
      <c r="G1112" t="s">
        <v>4750</v>
      </c>
      <c r="H1112" t="s">
        <v>4751</v>
      </c>
      <c r="J1112" t="s">
        <v>195</v>
      </c>
      <c r="U1112" t="s">
        <v>1459</v>
      </c>
      <c r="V1112" t="s">
        <v>1385</v>
      </c>
      <c r="W1112">
        <v>77838677285</v>
      </c>
      <c r="X1112">
        <v>10077838177287</v>
      </c>
      <c r="Y1112" t="s">
        <v>1850</v>
      </c>
      <c r="Z1112" t="s">
        <v>1866</v>
      </c>
      <c r="AA1112" t="s">
        <v>752</v>
      </c>
      <c r="AB1112" t="s">
        <v>462</v>
      </c>
      <c r="AC1112" t="s">
        <v>254</v>
      </c>
      <c r="AD1112" t="s">
        <v>2153</v>
      </c>
      <c r="AE1112" t="s">
        <v>303</v>
      </c>
      <c r="AF1112" t="s">
        <v>315</v>
      </c>
      <c r="AG1112">
        <v>392410.3</v>
      </c>
      <c r="AH1112">
        <v>70</v>
      </c>
      <c r="AT1112" t="s">
        <v>4751</v>
      </c>
    </row>
    <row r="1113" spans="1:122" x14ac:dyDescent="0.25">
      <c r="A1113" t="s">
        <v>4783</v>
      </c>
      <c r="B1113" t="e">
        <f>_xlfn.XLOOKUP(C1113,'[1]Image URL'!$E:$E,'[1]Image URL'!$A:$A)</f>
        <v>#N/A</v>
      </c>
      <c r="D1113" t="s">
        <v>4785</v>
      </c>
      <c r="E1113" t="s">
        <v>4416</v>
      </c>
      <c r="F1113" t="s">
        <v>379</v>
      </c>
      <c r="G1113" t="s">
        <v>643</v>
      </c>
      <c r="H1113" t="s">
        <v>1650</v>
      </c>
      <c r="I1113" t="s">
        <v>4419</v>
      </c>
      <c r="J1113" t="s">
        <v>4420</v>
      </c>
      <c r="U1113" t="s">
        <v>4421</v>
      </c>
      <c r="V1113" t="s">
        <v>157</v>
      </c>
      <c r="W1113">
        <v>77838048269</v>
      </c>
      <c r="X1113">
        <v>10077838048266</v>
      </c>
      <c r="Y1113" t="s">
        <v>4505</v>
      </c>
      <c r="Z1113" t="s">
        <v>2505</v>
      </c>
      <c r="AA1113" t="s">
        <v>2412</v>
      </c>
      <c r="AB1113" t="s">
        <v>271</v>
      </c>
      <c r="AC1113" t="s">
        <v>766</v>
      </c>
      <c r="AD1113" t="s">
        <v>301</v>
      </c>
      <c r="AE1113" t="s">
        <v>235</v>
      </c>
      <c r="AF1113" t="s">
        <v>349</v>
      </c>
      <c r="AG1113">
        <v>392410.3</v>
      </c>
      <c r="AH1113">
        <v>60</v>
      </c>
      <c r="AL1113" t="s">
        <v>4423</v>
      </c>
    </row>
    <row r="1114" spans="1:122" x14ac:dyDescent="0.25">
      <c r="A1114" t="s">
        <v>4786</v>
      </c>
      <c r="B1114" t="e">
        <f>_xlfn.XLOOKUP(C1114,'[1]Image URL'!$E:$E,'[1]Image URL'!$A:$A)</f>
        <v>#N/A</v>
      </c>
      <c r="D1114" t="s">
        <v>4788</v>
      </c>
      <c r="E1114" t="s">
        <v>4416</v>
      </c>
      <c r="F1114" t="s">
        <v>4417</v>
      </c>
      <c r="G1114" t="s">
        <v>4418</v>
      </c>
      <c r="H1114" t="s">
        <v>2204</v>
      </c>
      <c r="I1114" t="s">
        <v>4419</v>
      </c>
      <c r="J1114" t="s">
        <v>4420</v>
      </c>
      <c r="U1114" t="s">
        <v>4421</v>
      </c>
      <c r="V1114" t="s">
        <v>157</v>
      </c>
      <c r="W1114">
        <v>77838861318</v>
      </c>
      <c r="X1114">
        <v>10077838861315</v>
      </c>
      <c r="Y1114" t="s">
        <v>1097</v>
      </c>
      <c r="Z1114" t="s">
        <v>1743</v>
      </c>
      <c r="AA1114" t="s">
        <v>4422</v>
      </c>
      <c r="AB1114" t="s">
        <v>519</v>
      </c>
      <c r="AC1114" t="s">
        <v>1136</v>
      </c>
      <c r="AD1114" t="s">
        <v>301</v>
      </c>
      <c r="AE1114" t="s">
        <v>302</v>
      </c>
      <c r="AF1114" t="s">
        <v>303</v>
      </c>
      <c r="AG1114">
        <v>392410.3</v>
      </c>
      <c r="AH1114">
        <v>85</v>
      </c>
      <c r="AL1114" t="s">
        <v>4423</v>
      </c>
    </row>
    <row r="1115" spans="1:122" x14ac:dyDescent="0.25">
      <c r="A1115" t="s">
        <v>4789</v>
      </c>
      <c r="B1115" t="e">
        <f>_xlfn.XLOOKUP(C1115,'[1]Image URL'!$E:$E,'[1]Image URL'!$A:$A)</f>
        <v>#N/A</v>
      </c>
      <c r="D1115" t="s">
        <v>4791</v>
      </c>
      <c r="E1115" t="s">
        <v>4587</v>
      </c>
      <c r="F1115" t="s">
        <v>4588</v>
      </c>
      <c r="G1115" t="s">
        <v>457</v>
      </c>
      <c r="H1115" t="s">
        <v>1650</v>
      </c>
      <c r="I1115" t="s">
        <v>4419</v>
      </c>
      <c r="J1115" t="s">
        <v>4420</v>
      </c>
      <c r="U1115" t="s">
        <v>4421</v>
      </c>
      <c r="V1115" t="s">
        <v>157</v>
      </c>
      <c r="W1115">
        <v>77838045770</v>
      </c>
      <c r="X1115">
        <v>10077838045777</v>
      </c>
      <c r="Y1115" t="s">
        <v>4589</v>
      </c>
      <c r="Z1115" t="s">
        <v>1866</v>
      </c>
      <c r="AA1115" t="s">
        <v>472</v>
      </c>
      <c r="AB1115" t="s">
        <v>311</v>
      </c>
      <c r="AC1115" t="s">
        <v>1267</v>
      </c>
      <c r="AD1115" t="s">
        <v>3315</v>
      </c>
      <c r="AE1115" t="s">
        <v>268</v>
      </c>
      <c r="AF1115" t="s">
        <v>403</v>
      </c>
      <c r="AG1115">
        <v>392410.3</v>
      </c>
      <c r="AH1115">
        <v>65</v>
      </c>
      <c r="AL1115" t="s">
        <v>4590</v>
      </c>
    </row>
    <row r="1116" spans="1:122" x14ac:dyDescent="0.25">
      <c r="A1116" t="s">
        <v>4792</v>
      </c>
      <c r="B1116" t="e">
        <f>_xlfn.XLOOKUP(C1116,'[1]Image URL'!$E:$E,'[1]Image URL'!$A:$A)</f>
        <v>#N/A</v>
      </c>
      <c r="D1116" t="s">
        <v>4794</v>
      </c>
      <c r="E1116" t="s">
        <v>4542</v>
      </c>
      <c r="F1116" t="s">
        <v>911</v>
      </c>
      <c r="G1116" t="s">
        <v>4483</v>
      </c>
      <c r="H1116" t="s">
        <v>193</v>
      </c>
      <c r="J1116" t="s">
        <v>4543</v>
      </c>
      <c r="U1116" t="s">
        <v>4421</v>
      </c>
      <c r="V1116" t="s">
        <v>157</v>
      </c>
      <c r="W1116">
        <v>77838884720</v>
      </c>
      <c r="X1116">
        <v>10077838884727</v>
      </c>
      <c r="Y1116" t="s">
        <v>4795</v>
      </c>
      <c r="Z1116" t="s">
        <v>2988</v>
      </c>
      <c r="AA1116" t="s">
        <v>4796</v>
      </c>
      <c r="AB1116" t="s">
        <v>911</v>
      </c>
      <c r="AC1116" t="s">
        <v>340</v>
      </c>
      <c r="AD1116" t="s">
        <v>426</v>
      </c>
      <c r="AE1116" t="s">
        <v>316</v>
      </c>
      <c r="AF1116" t="s">
        <v>507</v>
      </c>
      <c r="AG1116">
        <v>392410.3</v>
      </c>
      <c r="AH1116">
        <v>65</v>
      </c>
      <c r="AL1116" t="s">
        <v>1250</v>
      </c>
      <c r="AY1116" t="s">
        <v>4546</v>
      </c>
    </row>
    <row r="1117" spans="1:122" x14ac:dyDescent="0.25">
      <c r="A1117" t="s">
        <v>4797</v>
      </c>
      <c r="B1117" t="e">
        <f>_xlfn.XLOOKUP(C1117,'[1]Image URL'!$E:$E,'[1]Image URL'!$A:$A)</f>
        <v>#N/A</v>
      </c>
      <c r="D1117" t="s">
        <v>4799</v>
      </c>
      <c r="E1117" t="s">
        <v>4494</v>
      </c>
      <c r="F1117" t="s">
        <v>4495</v>
      </c>
      <c r="G1117" t="s">
        <v>991</v>
      </c>
      <c r="H1117" t="s">
        <v>4496</v>
      </c>
      <c r="I1117" t="s">
        <v>194</v>
      </c>
      <c r="J1117" t="s">
        <v>212</v>
      </c>
      <c r="U1117" t="s">
        <v>217</v>
      </c>
      <c r="V1117" t="s">
        <v>157</v>
      </c>
      <c r="W1117">
        <v>77838503720</v>
      </c>
      <c r="X1117">
        <v>10077838003722</v>
      </c>
      <c r="Y1117" t="s">
        <v>2968</v>
      </c>
      <c r="Z1117" t="s">
        <v>1835</v>
      </c>
      <c r="AA1117" t="s">
        <v>755</v>
      </c>
      <c r="AB1117" t="s">
        <v>1804</v>
      </c>
      <c r="AC1117" t="s">
        <v>868</v>
      </c>
      <c r="AD1117" t="s">
        <v>402</v>
      </c>
      <c r="AE1117" t="s">
        <v>349</v>
      </c>
      <c r="AF1117" t="s">
        <v>315</v>
      </c>
      <c r="AG1117">
        <v>392410.3</v>
      </c>
      <c r="AH1117">
        <v>70</v>
      </c>
    </row>
    <row r="1118" spans="1:122" x14ac:dyDescent="0.25">
      <c r="A1118" t="s">
        <v>4800</v>
      </c>
      <c r="B1118" t="e">
        <f>_xlfn.XLOOKUP(C1118,'[1]Image URL'!$E:$E,'[1]Image URL'!$A:$A)</f>
        <v>#N/A</v>
      </c>
      <c r="D1118" t="s">
        <v>4802</v>
      </c>
      <c r="E1118" t="s">
        <v>4410</v>
      </c>
      <c r="F1118" t="s">
        <v>4411</v>
      </c>
      <c r="G1118" t="s">
        <v>643</v>
      </c>
      <c r="H1118" t="s">
        <v>4412</v>
      </c>
      <c r="I1118" t="s">
        <v>194</v>
      </c>
      <c r="J1118" t="s">
        <v>212</v>
      </c>
      <c r="U1118" t="s">
        <v>217</v>
      </c>
      <c r="V1118" t="s">
        <v>157</v>
      </c>
      <c r="W1118">
        <v>77838504024</v>
      </c>
      <c r="X1118">
        <v>10077838004026</v>
      </c>
      <c r="Y1118" t="s">
        <v>1016</v>
      </c>
      <c r="Z1118" t="s">
        <v>666</v>
      </c>
      <c r="AA1118" t="s">
        <v>807</v>
      </c>
      <c r="AB1118" t="s">
        <v>444</v>
      </c>
      <c r="AC1118" t="s">
        <v>846</v>
      </c>
      <c r="AD1118" t="s">
        <v>555</v>
      </c>
      <c r="AE1118" t="s">
        <v>235</v>
      </c>
      <c r="AF1118" t="s">
        <v>184</v>
      </c>
      <c r="AG1118">
        <v>392410.3</v>
      </c>
      <c r="AH1118">
        <v>70</v>
      </c>
      <c r="DQ1118" t="s">
        <v>771</v>
      </c>
      <c r="DR1118" t="s">
        <v>457</v>
      </c>
    </row>
    <row r="1119" spans="1:122" x14ac:dyDescent="0.25">
      <c r="A1119" t="s">
        <v>4803</v>
      </c>
      <c r="B1119" t="e">
        <f>_xlfn.XLOOKUP(C1119,'[1]Image URL'!$E:$E,'[1]Image URL'!$A:$A)</f>
        <v>#N/A</v>
      </c>
      <c r="D1119" t="s">
        <v>4683</v>
      </c>
      <c r="E1119" t="s">
        <v>4410</v>
      </c>
      <c r="F1119" t="s">
        <v>4411</v>
      </c>
      <c r="G1119" t="s">
        <v>643</v>
      </c>
      <c r="H1119" t="s">
        <v>4412</v>
      </c>
      <c r="I1119" t="s">
        <v>194</v>
      </c>
      <c r="J1119" t="s">
        <v>212</v>
      </c>
      <c r="U1119" t="s">
        <v>217</v>
      </c>
      <c r="V1119" t="s">
        <v>157</v>
      </c>
      <c r="W1119">
        <v>77838504062</v>
      </c>
      <c r="X1119">
        <v>10077838004064</v>
      </c>
      <c r="Y1119" t="s">
        <v>1016</v>
      </c>
      <c r="Z1119" t="s">
        <v>666</v>
      </c>
      <c r="AA1119" t="s">
        <v>807</v>
      </c>
      <c r="AB1119" t="s">
        <v>444</v>
      </c>
      <c r="AC1119" t="s">
        <v>846</v>
      </c>
      <c r="AD1119" t="s">
        <v>555</v>
      </c>
      <c r="AE1119" t="s">
        <v>235</v>
      </c>
      <c r="AF1119" t="s">
        <v>184</v>
      </c>
      <c r="AG1119">
        <v>392410.3</v>
      </c>
      <c r="AH1119">
        <v>70</v>
      </c>
      <c r="DQ1119" t="s">
        <v>771</v>
      </c>
      <c r="DR1119" t="s">
        <v>457</v>
      </c>
    </row>
    <row r="1120" spans="1:122" x14ac:dyDescent="0.25">
      <c r="A1120" t="s">
        <v>4804</v>
      </c>
      <c r="B1120" t="e">
        <f>_xlfn.XLOOKUP(C1120,'[1]Image URL'!$E:$E,'[1]Image URL'!$A:$A)</f>
        <v>#N/A</v>
      </c>
      <c r="D1120" t="s">
        <v>4806</v>
      </c>
      <c r="E1120" t="s">
        <v>4410</v>
      </c>
      <c r="F1120" t="s">
        <v>4411</v>
      </c>
      <c r="G1120" t="s">
        <v>643</v>
      </c>
      <c r="H1120" t="s">
        <v>4412</v>
      </c>
      <c r="I1120" t="s">
        <v>194</v>
      </c>
      <c r="J1120" t="s">
        <v>212</v>
      </c>
      <c r="U1120" t="s">
        <v>217</v>
      </c>
      <c r="V1120" t="s">
        <v>157</v>
      </c>
      <c r="W1120">
        <v>77838504031</v>
      </c>
      <c r="X1120">
        <v>10077838004033</v>
      </c>
      <c r="Y1120" t="s">
        <v>1016</v>
      </c>
      <c r="Z1120" t="s">
        <v>666</v>
      </c>
      <c r="AA1120" t="s">
        <v>807</v>
      </c>
      <c r="AB1120" t="s">
        <v>444</v>
      </c>
      <c r="AC1120" t="s">
        <v>846</v>
      </c>
      <c r="AD1120" t="s">
        <v>555</v>
      </c>
      <c r="AE1120" t="s">
        <v>235</v>
      </c>
      <c r="AF1120" t="s">
        <v>184</v>
      </c>
      <c r="AG1120">
        <v>392410.3</v>
      </c>
      <c r="AH1120">
        <v>70</v>
      </c>
      <c r="DQ1120" t="s">
        <v>771</v>
      </c>
      <c r="DR1120" t="s">
        <v>457</v>
      </c>
    </row>
    <row r="1121" spans="1:122" x14ac:dyDescent="0.25">
      <c r="A1121" t="s">
        <v>4807</v>
      </c>
      <c r="B1121" t="e">
        <f>_xlfn.XLOOKUP(C1121,'[1]Image URL'!$E:$E,'[1]Image URL'!$A:$A)</f>
        <v>#N/A</v>
      </c>
      <c r="D1121" t="s">
        <v>4809</v>
      </c>
      <c r="E1121" t="s">
        <v>4810</v>
      </c>
      <c r="F1121" t="s">
        <v>506</v>
      </c>
      <c r="G1121" t="s">
        <v>313</v>
      </c>
      <c r="H1121" t="s">
        <v>4811</v>
      </c>
      <c r="I1121" t="s">
        <v>194</v>
      </c>
      <c r="J1121" t="s">
        <v>195</v>
      </c>
      <c r="U1121" t="s">
        <v>196</v>
      </c>
      <c r="V1121" t="s">
        <v>157</v>
      </c>
      <c r="W1121">
        <v>77838859179</v>
      </c>
      <c r="X1121">
        <v>10077838859176</v>
      </c>
      <c r="Y1121" t="s">
        <v>4812</v>
      </c>
      <c r="Z1121" t="s">
        <v>552</v>
      </c>
      <c r="AA1121" t="s">
        <v>4813</v>
      </c>
      <c r="AB1121" t="s">
        <v>1990</v>
      </c>
      <c r="AC1121" t="s">
        <v>1674</v>
      </c>
      <c r="AD1121" t="s">
        <v>479</v>
      </c>
      <c r="AE1121" t="s">
        <v>164</v>
      </c>
      <c r="AF1121" t="s">
        <v>185</v>
      </c>
      <c r="AG1121">
        <v>392410.3</v>
      </c>
      <c r="AH1121">
        <v>100</v>
      </c>
      <c r="AL1121" t="s">
        <v>4814</v>
      </c>
    </row>
    <row r="1122" spans="1:122" x14ac:dyDescent="0.25">
      <c r="A1122" t="s">
        <v>4815</v>
      </c>
      <c r="B1122" t="e">
        <f>_xlfn.XLOOKUP(C1122,'[1]Image URL'!$E:$E,'[1]Image URL'!$A:$A)</f>
        <v>#N/A</v>
      </c>
      <c r="D1122" t="s">
        <v>4817</v>
      </c>
      <c r="V1122" t="s">
        <v>1385</v>
      </c>
      <c r="W1122">
        <v>77838889893</v>
      </c>
      <c r="X1122">
        <v>10077838889890</v>
      </c>
      <c r="Y1122" t="s">
        <v>4818</v>
      </c>
      <c r="Z1122" t="s">
        <v>1483</v>
      </c>
      <c r="AA1122" t="s">
        <v>916</v>
      </c>
      <c r="AB1122" t="s">
        <v>4819</v>
      </c>
      <c r="AC1122" t="s">
        <v>2815</v>
      </c>
      <c r="AD1122" t="s">
        <v>426</v>
      </c>
      <c r="AE1122" t="s">
        <v>316</v>
      </c>
      <c r="AF1122" t="s">
        <v>507</v>
      </c>
      <c r="AG1122">
        <v>392410.3</v>
      </c>
      <c r="AH1122">
        <v>92.5</v>
      </c>
    </row>
    <row r="1123" spans="1:122" x14ac:dyDescent="0.25">
      <c r="A1123" t="s">
        <v>4820</v>
      </c>
      <c r="B1123" t="e">
        <f>_xlfn.XLOOKUP(C1123,'[1]Image URL'!$E:$E,'[1]Image URL'!$A:$A)</f>
        <v>#N/A</v>
      </c>
      <c r="D1123" t="s">
        <v>4822</v>
      </c>
      <c r="E1123" t="s">
        <v>4416</v>
      </c>
      <c r="F1123" t="s">
        <v>379</v>
      </c>
      <c r="G1123" t="s">
        <v>643</v>
      </c>
      <c r="H1123" t="s">
        <v>1650</v>
      </c>
      <c r="I1123" t="s">
        <v>4419</v>
      </c>
      <c r="J1123" t="s">
        <v>4420</v>
      </c>
      <c r="U1123" t="s">
        <v>4421</v>
      </c>
      <c r="V1123" t="s">
        <v>157</v>
      </c>
      <c r="W1123">
        <v>77838248485</v>
      </c>
      <c r="X1123">
        <v>10077838048488</v>
      </c>
      <c r="Y1123" t="s">
        <v>4505</v>
      </c>
      <c r="Z1123" t="s">
        <v>2505</v>
      </c>
      <c r="AA1123" t="s">
        <v>2412</v>
      </c>
      <c r="AB1123" t="s">
        <v>271</v>
      </c>
      <c r="AC1123" t="s">
        <v>766</v>
      </c>
      <c r="AD1123" t="s">
        <v>301</v>
      </c>
      <c r="AE1123" t="s">
        <v>235</v>
      </c>
      <c r="AF1123" t="s">
        <v>349</v>
      </c>
      <c r="AG1123">
        <v>392410.3</v>
      </c>
      <c r="AH1123">
        <v>60</v>
      </c>
      <c r="AL1123" t="s">
        <v>4423</v>
      </c>
    </row>
    <row r="1124" spans="1:122" x14ac:dyDescent="0.25">
      <c r="A1124" t="s">
        <v>4823</v>
      </c>
      <c r="B1124" t="e">
        <f>_xlfn.XLOOKUP(C1124,'[1]Image URL'!$E:$E,'[1]Image URL'!$A:$A)</f>
        <v>#N/A</v>
      </c>
      <c r="D1124" t="s">
        <v>4824</v>
      </c>
      <c r="E1124" t="s">
        <v>4474</v>
      </c>
      <c r="F1124" t="s">
        <v>643</v>
      </c>
      <c r="G1124" t="s">
        <v>472</v>
      </c>
      <c r="H1124" t="s">
        <v>4460</v>
      </c>
      <c r="U1124" t="s">
        <v>156</v>
      </c>
      <c r="V1124" t="s">
        <v>157</v>
      </c>
      <c r="W1124">
        <v>77838512647</v>
      </c>
      <c r="X1124">
        <v>10077838013479</v>
      </c>
      <c r="Y1124" t="s">
        <v>556</v>
      </c>
      <c r="Z1124" t="s">
        <v>179</v>
      </c>
      <c r="AA1124" t="s">
        <v>643</v>
      </c>
      <c r="AB1124" t="s">
        <v>2405</v>
      </c>
      <c r="AC1124" t="s">
        <v>329</v>
      </c>
      <c r="AD1124" t="s">
        <v>4490</v>
      </c>
      <c r="AE1124" t="s">
        <v>246</v>
      </c>
      <c r="AF1124" t="s">
        <v>185</v>
      </c>
      <c r="AG1124">
        <v>392410.3</v>
      </c>
      <c r="AH1124">
        <v>65</v>
      </c>
      <c r="AL1124" t="s">
        <v>4477</v>
      </c>
      <c r="AT1124" t="s">
        <v>4460</v>
      </c>
    </row>
    <row r="1125" spans="1:122" x14ac:dyDescent="0.25">
      <c r="A1125" t="s">
        <v>4825</v>
      </c>
      <c r="B1125" t="e">
        <f>_xlfn.XLOOKUP(C1125,'[1]Image URL'!$E:$E,'[1]Image URL'!$A:$A)</f>
        <v>#N/A</v>
      </c>
      <c r="D1125" t="s">
        <v>4827</v>
      </c>
      <c r="E1125" t="s">
        <v>4828</v>
      </c>
      <c r="F1125" t="s">
        <v>643</v>
      </c>
      <c r="G1125" t="s">
        <v>472</v>
      </c>
      <c r="H1125" t="s">
        <v>4460</v>
      </c>
      <c r="I1125" t="s">
        <v>194</v>
      </c>
      <c r="J1125" t="s">
        <v>195</v>
      </c>
      <c r="U1125" t="s">
        <v>196</v>
      </c>
      <c r="V1125" t="s">
        <v>157</v>
      </c>
      <c r="W1125">
        <v>77838570753</v>
      </c>
      <c r="X1125">
        <v>10077838070755</v>
      </c>
      <c r="Y1125" t="s">
        <v>4829</v>
      </c>
      <c r="Z1125" t="s">
        <v>892</v>
      </c>
      <c r="AA1125" t="s">
        <v>4830</v>
      </c>
      <c r="AB1125" t="s">
        <v>578</v>
      </c>
      <c r="AC1125" t="s">
        <v>503</v>
      </c>
      <c r="AD1125" t="s">
        <v>4490</v>
      </c>
      <c r="AE1125" t="s">
        <v>246</v>
      </c>
      <c r="AF1125" t="s">
        <v>185</v>
      </c>
      <c r="AG1125">
        <v>392410.3</v>
      </c>
      <c r="AH1125">
        <v>70</v>
      </c>
      <c r="AL1125" t="s">
        <v>4477</v>
      </c>
      <c r="AT1125" t="s">
        <v>4460</v>
      </c>
    </row>
    <row r="1126" spans="1:122" x14ac:dyDescent="0.25">
      <c r="A1126" t="s">
        <v>4831</v>
      </c>
      <c r="B1126" t="e">
        <f>_xlfn.XLOOKUP(C1126,'[1]Image URL'!$E:$E,'[1]Image URL'!$A:$A)</f>
        <v>#N/A</v>
      </c>
      <c r="D1126" t="s">
        <v>4833</v>
      </c>
      <c r="E1126" t="s">
        <v>4416</v>
      </c>
      <c r="F1126" t="s">
        <v>4417</v>
      </c>
      <c r="G1126" t="s">
        <v>4418</v>
      </c>
      <c r="H1126" t="s">
        <v>2204</v>
      </c>
      <c r="I1126" t="s">
        <v>4419</v>
      </c>
      <c r="J1126" t="s">
        <v>4420</v>
      </c>
      <c r="U1126" t="s">
        <v>4421</v>
      </c>
      <c r="V1126" t="s">
        <v>157</v>
      </c>
      <c r="W1126">
        <v>77838861479</v>
      </c>
      <c r="X1126">
        <v>10077838861476</v>
      </c>
      <c r="Y1126" t="s">
        <v>1097</v>
      </c>
      <c r="Z1126" t="s">
        <v>1743</v>
      </c>
      <c r="AA1126" t="s">
        <v>4422</v>
      </c>
      <c r="AB1126" t="s">
        <v>519</v>
      </c>
      <c r="AC1126" t="s">
        <v>1136</v>
      </c>
      <c r="AD1126" t="s">
        <v>301</v>
      </c>
      <c r="AE1126" t="s">
        <v>302</v>
      </c>
      <c r="AF1126" t="s">
        <v>303</v>
      </c>
      <c r="AG1126">
        <v>392410.3</v>
      </c>
      <c r="AH1126">
        <v>85</v>
      </c>
      <c r="AL1126" t="s">
        <v>4423</v>
      </c>
    </row>
    <row r="1127" spans="1:122" x14ac:dyDescent="0.25">
      <c r="A1127" t="s">
        <v>4834</v>
      </c>
      <c r="B1127" t="e">
        <f>_xlfn.XLOOKUP(C1127,'[1]Image URL'!$E:$E,'[1]Image URL'!$A:$A)</f>
        <v>#N/A</v>
      </c>
      <c r="D1127" t="s">
        <v>4836</v>
      </c>
      <c r="E1127" t="s">
        <v>4494</v>
      </c>
      <c r="F1127" t="s">
        <v>4495</v>
      </c>
      <c r="G1127" t="s">
        <v>991</v>
      </c>
      <c r="H1127" t="s">
        <v>4496</v>
      </c>
      <c r="I1127" t="s">
        <v>194</v>
      </c>
      <c r="J1127" t="s">
        <v>212</v>
      </c>
      <c r="U1127" t="s">
        <v>217</v>
      </c>
      <c r="V1127" t="s">
        <v>157</v>
      </c>
      <c r="W1127">
        <v>77838503676</v>
      </c>
      <c r="X1127">
        <v>10077838003678</v>
      </c>
      <c r="Y1127" t="s">
        <v>2968</v>
      </c>
      <c r="Z1127" t="s">
        <v>1835</v>
      </c>
      <c r="AA1127" t="s">
        <v>755</v>
      </c>
      <c r="AB1127" t="s">
        <v>1804</v>
      </c>
      <c r="AC1127" t="s">
        <v>868</v>
      </c>
      <c r="AD1127" t="s">
        <v>402</v>
      </c>
      <c r="AE1127" t="s">
        <v>349</v>
      </c>
      <c r="AF1127" t="s">
        <v>315</v>
      </c>
      <c r="AG1127">
        <v>392410.3</v>
      </c>
      <c r="AH1127">
        <v>70</v>
      </c>
    </row>
    <row r="1128" spans="1:122" x14ac:dyDescent="0.25">
      <c r="A1128" t="s">
        <v>4837</v>
      </c>
      <c r="B1128" t="e">
        <f>_xlfn.XLOOKUP(C1128,'[1]Image URL'!$E:$E,'[1]Image URL'!$A:$A)</f>
        <v>#N/A</v>
      </c>
      <c r="D1128" t="s">
        <v>4839</v>
      </c>
      <c r="E1128" t="s">
        <v>4494</v>
      </c>
      <c r="F1128" t="s">
        <v>4495</v>
      </c>
      <c r="G1128" t="s">
        <v>991</v>
      </c>
      <c r="H1128" t="s">
        <v>4496</v>
      </c>
      <c r="I1128" t="s">
        <v>194</v>
      </c>
      <c r="J1128" t="s">
        <v>212</v>
      </c>
      <c r="U1128" t="s">
        <v>217</v>
      </c>
      <c r="V1128" t="s">
        <v>157</v>
      </c>
      <c r="W1128">
        <v>77838503782</v>
      </c>
      <c r="X1128">
        <v>10077838003784</v>
      </c>
      <c r="Y1128" t="s">
        <v>2968</v>
      </c>
      <c r="Z1128" t="s">
        <v>1835</v>
      </c>
      <c r="AA1128" t="s">
        <v>755</v>
      </c>
      <c r="AB1128" t="s">
        <v>1804</v>
      </c>
      <c r="AC1128" t="s">
        <v>868</v>
      </c>
      <c r="AD1128" t="s">
        <v>402</v>
      </c>
      <c r="AE1128" t="s">
        <v>349</v>
      </c>
      <c r="AF1128" t="s">
        <v>315</v>
      </c>
      <c r="AG1128">
        <v>392410.3</v>
      </c>
      <c r="AH1128">
        <v>70</v>
      </c>
    </row>
    <row r="1129" spans="1:122" x14ac:dyDescent="0.25">
      <c r="A1129" t="s">
        <v>4840</v>
      </c>
      <c r="B1129" t="e">
        <f>_xlfn.XLOOKUP(C1129,'[1]Image URL'!$E:$E,'[1]Image URL'!$A:$A)</f>
        <v>#N/A</v>
      </c>
      <c r="D1129" t="s">
        <v>4842</v>
      </c>
      <c r="E1129" t="s">
        <v>4416</v>
      </c>
      <c r="F1129" t="s">
        <v>379</v>
      </c>
      <c r="G1129" t="s">
        <v>643</v>
      </c>
      <c r="H1129" t="s">
        <v>1650</v>
      </c>
      <c r="I1129" t="s">
        <v>4419</v>
      </c>
      <c r="J1129" t="s">
        <v>4420</v>
      </c>
      <c r="U1129" t="s">
        <v>4421</v>
      </c>
      <c r="V1129" t="s">
        <v>157</v>
      </c>
      <c r="W1129">
        <v>77838048160</v>
      </c>
      <c r="X1129">
        <v>10077838048167</v>
      </c>
      <c r="Y1129" t="s">
        <v>4505</v>
      </c>
      <c r="Z1129" t="s">
        <v>2505</v>
      </c>
      <c r="AA1129" t="s">
        <v>2412</v>
      </c>
      <c r="AB1129" t="s">
        <v>271</v>
      </c>
      <c r="AC1129" t="s">
        <v>766</v>
      </c>
      <c r="AD1129" t="s">
        <v>301</v>
      </c>
      <c r="AE1129" t="s">
        <v>235</v>
      </c>
      <c r="AF1129" t="s">
        <v>349</v>
      </c>
      <c r="AG1129">
        <v>392410.3</v>
      </c>
      <c r="AH1129">
        <v>60</v>
      </c>
      <c r="AL1129" t="s">
        <v>4423</v>
      </c>
    </row>
    <row r="1130" spans="1:122" x14ac:dyDescent="0.25">
      <c r="A1130" t="s">
        <v>4843</v>
      </c>
      <c r="B1130" t="e">
        <f>_xlfn.XLOOKUP(C1130,'[1]Image URL'!$E:$E,'[1]Image URL'!$A:$A)</f>
        <v>#N/A</v>
      </c>
      <c r="D1130" t="s">
        <v>4822</v>
      </c>
      <c r="E1130" t="s">
        <v>4514</v>
      </c>
      <c r="F1130" t="s">
        <v>4065</v>
      </c>
      <c r="G1130" t="s">
        <v>506</v>
      </c>
      <c r="H1130" t="s">
        <v>1650</v>
      </c>
      <c r="I1130" t="s">
        <v>4419</v>
      </c>
      <c r="J1130" t="s">
        <v>4420</v>
      </c>
      <c r="U1130" t="s">
        <v>4421</v>
      </c>
      <c r="V1130" t="s">
        <v>157</v>
      </c>
      <c r="W1130">
        <v>77838051177</v>
      </c>
      <c r="X1130">
        <v>10077838051174</v>
      </c>
      <c r="Y1130" t="s">
        <v>4515</v>
      </c>
      <c r="Z1130" t="s">
        <v>903</v>
      </c>
      <c r="AA1130" t="s">
        <v>1860</v>
      </c>
      <c r="AB1130" t="s">
        <v>3989</v>
      </c>
      <c r="AC1130" t="s">
        <v>2758</v>
      </c>
      <c r="AD1130" t="s">
        <v>4459</v>
      </c>
      <c r="AE1130" t="s">
        <v>235</v>
      </c>
      <c r="AF1130" t="s">
        <v>403</v>
      </c>
      <c r="AG1130">
        <v>392410.3</v>
      </c>
      <c r="AH1130">
        <v>65</v>
      </c>
      <c r="AL1130" t="s">
        <v>2526</v>
      </c>
    </row>
    <row r="1131" spans="1:122" x14ac:dyDescent="0.25">
      <c r="A1131" t="s">
        <v>4845</v>
      </c>
      <c r="B1131" t="e">
        <f>_xlfn.XLOOKUP(C1131,'[1]Image URL'!$E:$E,'[1]Image URL'!$A:$A)</f>
        <v>#N/A</v>
      </c>
      <c r="D1131" t="s">
        <v>4847</v>
      </c>
      <c r="E1131" t="s">
        <v>4587</v>
      </c>
      <c r="F1131" t="s">
        <v>4588</v>
      </c>
      <c r="G1131" t="s">
        <v>457</v>
      </c>
      <c r="H1131" t="s">
        <v>1650</v>
      </c>
      <c r="I1131" t="s">
        <v>4419</v>
      </c>
      <c r="J1131" t="s">
        <v>4420</v>
      </c>
      <c r="U1131" t="s">
        <v>4421</v>
      </c>
      <c r="V1131" t="s">
        <v>157</v>
      </c>
      <c r="W1131">
        <v>77838045794</v>
      </c>
      <c r="X1131">
        <v>10077838045791</v>
      </c>
      <c r="Y1131" t="s">
        <v>4589</v>
      </c>
      <c r="Z1131" t="s">
        <v>1866</v>
      </c>
      <c r="AA1131" t="s">
        <v>472</v>
      </c>
      <c r="AB1131" t="s">
        <v>311</v>
      </c>
      <c r="AC1131" t="s">
        <v>1267</v>
      </c>
      <c r="AD1131" t="s">
        <v>3315</v>
      </c>
      <c r="AE1131" t="s">
        <v>268</v>
      </c>
      <c r="AF1131" t="s">
        <v>403</v>
      </c>
      <c r="AG1131">
        <v>392410.3</v>
      </c>
      <c r="AH1131">
        <v>65</v>
      </c>
      <c r="AL1131" t="s">
        <v>4590</v>
      </c>
    </row>
    <row r="1132" spans="1:122" x14ac:dyDescent="0.25">
      <c r="A1132" t="s">
        <v>4848</v>
      </c>
      <c r="B1132" t="e">
        <f>_xlfn.XLOOKUP(C1132,'[1]Image URL'!$E:$E,'[1]Image URL'!$A:$A)</f>
        <v>#N/A</v>
      </c>
      <c r="D1132" t="s">
        <v>4850</v>
      </c>
      <c r="E1132" t="s">
        <v>4605</v>
      </c>
      <c r="F1132" t="s">
        <v>4606</v>
      </c>
      <c r="G1132" t="s">
        <v>4607</v>
      </c>
      <c r="H1132" t="s">
        <v>413</v>
      </c>
      <c r="I1132" t="s">
        <v>4419</v>
      </c>
      <c r="J1132" t="s">
        <v>4420</v>
      </c>
      <c r="U1132" t="s">
        <v>4421</v>
      </c>
      <c r="V1132" t="s">
        <v>157</v>
      </c>
      <c r="W1132">
        <v>77838860939</v>
      </c>
      <c r="X1132">
        <v>10077838860936</v>
      </c>
      <c r="Y1132" t="s">
        <v>4608</v>
      </c>
      <c r="Z1132" t="s">
        <v>4609</v>
      </c>
      <c r="AA1132" t="s">
        <v>916</v>
      </c>
      <c r="AB1132" t="s">
        <v>1845</v>
      </c>
      <c r="AC1132" t="s">
        <v>340</v>
      </c>
      <c r="AD1132" t="s">
        <v>446</v>
      </c>
      <c r="AE1132" t="s">
        <v>456</v>
      </c>
      <c r="AF1132" t="s">
        <v>507</v>
      </c>
      <c r="AG1132">
        <v>392410.3</v>
      </c>
      <c r="AH1132">
        <v>65</v>
      </c>
    </row>
    <row r="1133" spans="1:122" x14ac:dyDescent="0.25">
      <c r="A1133" t="s">
        <v>4851</v>
      </c>
      <c r="B1133" t="e">
        <f>_xlfn.XLOOKUP(C1133,'[1]Image URL'!$E:$E,'[1]Image URL'!$A:$A)</f>
        <v>#N/A</v>
      </c>
      <c r="D1133" t="s">
        <v>4853</v>
      </c>
      <c r="E1133" t="s">
        <v>4416</v>
      </c>
      <c r="F1133" t="s">
        <v>379</v>
      </c>
      <c r="G1133" t="s">
        <v>643</v>
      </c>
      <c r="H1133" t="s">
        <v>1650</v>
      </c>
      <c r="I1133" t="s">
        <v>4419</v>
      </c>
      <c r="J1133" t="s">
        <v>4420</v>
      </c>
      <c r="U1133" t="s">
        <v>4421</v>
      </c>
      <c r="V1133" t="s">
        <v>157</v>
      </c>
      <c r="W1133">
        <v>77838048177</v>
      </c>
      <c r="X1133">
        <v>10077838048174</v>
      </c>
      <c r="Y1133" t="s">
        <v>4505</v>
      </c>
      <c r="Z1133" t="s">
        <v>2505</v>
      </c>
      <c r="AA1133" t="s">
        <v>2412</v>
      </c>
      <c r="AB1133" t="s">
        <v>271</v>
      </c>
      <c r="AC1133" t="s">
        <v>766</v>
      </c>
      <c r="AD1133" t="s">
        <v>301</v>
      </c>
      <c r="AE1133" t="s">
        <v>235</v>
      </c>
      <c r="AF1133" t="s">
        <v>349</v>
      </c>
      <c r="AG1133">
        <v>392410.3</v>
      </c>
      <c r="AH1133">
        <v>60</v>
      </c>
      <c r="AL1133" t="s">
        <v>4423</v>
      </c>
    </row>
    <row r="1134" spans="1:122" x14ac:dyDescent="0.25">
      <c r="A1134" t="s">
        <v>4854</v>
      </c>
      <c r="B1134" t="e">
        <f>_xlfn.XLOOKUP(C1134,'[1]Image URL'!$E:$E,'[1]Image URL'!$A:$A)</f>
        <v>#N/A</v>
      </c>
      <c r="D1134" t="s">
        <v>4444</v>
      </c>
      <c r="E1134" t="s">
        <v>4416</v>
      </c>
      <c r="F1134" t="s">
        <v>4417</v>
      </c>
      <c r="G1134" t="s">
        <v>4418</v>
      </c>
      <c r="H1134" t="s">
        <v>2204</v>
      </c>
      <c r="I1134" t="s">
        <v>4419</v>
      </c>
      <c r="J1134" t="s">
        <v>4420</v>
      </c>
      <c r="U1134" t="s">
        <v>4421</v>
      </c>
      <c r="V1134" t="s">
        <v>157</v>
      </c>
      <c r="W1134">
        <v>77838861394</v>
      </c>
      <c r="X1134">
        <v>10077838861391</v>
      </c>
      <c r="Y1134" t="s">
        <v>1097</v>
      </c>
      <c r="Z1134" t="s">
        <v>1743</v>
      </c>
      <c r="AA1134" t="s">
        <v>4422</v>
      </c>
      <c r="AB1134" t="s">
        <v>519</v>
      </c>
      <c r="AC1134" t="s">
        <v>1136</v>
      </c>
      <c r="AD1134" t="s">
        <v>301</v>
      </c>
      <c r="AE1134" t="s">
        <v>302</v>
      </c>
      <c r="AF1134" t="s">
        <v>303</v>
      </c>
      <c r="AG1134">
        <v>392410.3</v>
      </c>
      <c r="AH1134">
        <v>85</v>
      </c>
      <c r="AL1134" t="s">
        <v>4423</v>
      </c>
    </row>
    <row r="1135" spans="1:122" x14ac:dyDescent="0.25">
      <c r="A1135" t="s">
        <v>4856</v>
      </c>
      <c r="B1135" t="e">
        <f>_xlfn.XLOOKUP(C1135,'[1]Image URL'!$E:$E,'[1]Image URL'!$A:$A)</f>
        <v>#N/A</v>
      </c>
      <c r="D1135" t="s">
        <v>4858</v>
      </c>
      <c r="E1135" t="s">
        <v>4437</v>
      </c>
      <c r="F1135" t="s">
        <v>1476</v>
      </c>
      <c r="G1135" t="s">
        <v>3931</v>
      </c>
      <c r="H1135" t="s">
        <v>1600</v>
      </c>
      <c r="I1135" t="s">
        <v>194</v>
      </c>
      <c r="J1135" t="s">
        <v>212</v>
      </c>
      <c r="U1135" t="s">
        <v>217</v>
      </c>
      <c r="V1135" t="s">
        <v>157</v>
      </c>
      <c r="W1135">
        <v>77838503874</v>
      </c>
      <c r="X1135">
        <v>10077838003876</v>
      </c>
      <c r="Y1135" t="s">
        <v>4438</v>
      </c>
      <c r="Z1135" t="s">
        <v>297</v>
      </c>
      <c r="AA1135" t="s">
        <v>827</v>
      </c>
      <c r="AB1135" t="s">
        <v>893</v>
      </c>
      <c r="AC1135" t="s">
        <v>836</v>
      </c>
      <c r="AD1135" t="s">
        <v>3144</v>
      </c>
      <c r="AE1135" t="s">
        <v>268</v>
      </c>
      <c r="AF1135" t="s">
        <v>185</v>
      </c>
      <c r="AG1135">
        <v>392410.3</v>
      </c>
      <c r="AH1135">
        <v>65</v>
      </c>
      <c r="DQ1135" t="s">
        <v>444</v>
      </c>
      <c r="DR1135" t="s">
        <v>578</v>
      </c>
    </row>
    <row r="1136" spans="1:122" x14ac:dyDescent="0.25">
      <c r="A1136" t="s">
        <v>4859</v>
      </c>
      <c r="B1136" t="e">
        <f>_xlfn.XLOOKUP(C1136,'[1]Image URL'!$E:$E,'[1]Image URL'!$A:$A)</f>
        <v>#N/A</v>
      </c>
      <c r="D1136" t="s">
        <v>4802</v>
      </c>
      <c r="E1136" t="s">
        <v>4410</v>
      </c>
      <c r="F1136" t="s">
        <v>4411</v>
      </c>
      <c r="G1136" t="s">
        <v>643</v>
      </c>
      <c r="H1136" t="s">
        <v>4412</v>
      </c>
      <c r="I1136" t="s">
        <v>194</v>
      </c>
      <c r="J1136" t="s">
        <v>212</v>
      </c>
      <c r="U1136" t="s">
        <v>217</v>
      </c>
      <c r="V1136" t="s">
        <v>157</v>
      </c>
      <c r="W1136">
        <v>77838504024</v>
      </c>
      <c r="X1136">
        <v>10077838004026</v>
      </c>
      <c r="Y1136" t="s">
        <v>1016</v>
      </c>
      <c r="Z1136" t="s">
        <v>666</v>
      </c>
      <c r="AA1136" t="s">
        <v>807</v>
      </c>
      <c r="AB1136" t="s">
        <v>444</v>
      </c>
      <c r="AC1136" t="s">
        <v>846</v>
      </c>
      <c r="AD1136" t="s">
        <v>555</v>
      </c>
      <c r="AE1136" t="s">
        <v>235</v>
      </c>
      <c r="AF1136" t="s">
        <v>184</v>
      </c>
      <c r="AG1136">
        <v>392410.3</v>
      </c>
      <c r="AH1136">
        <v>70</v>
      </c>
      <c r="DQ1136" t="s">
        <v>771</v>
      </c>
      <c r="DR1136" t="s">
        <v>457</v>
      </c>
    </row>
    <row r="1137" spans="1:134" x14ac:dyDescent="0.25">
      <c r="A1137" t="s">
        <v>4860</v>
      </c>
      <c r="B1137" t="e">
        <f>_xlfn.XLOOKUP(C1137,'[1]Image URL'!$E:$E,'[1]Image URL'!$A:$A)</f>
        <v>#N/A</v>
      </c>
      <c r="D1137" t="s">
        <v>4862</v>
      </c>
      <c r="E1137" t="s">
        <v>4437</v>
      </c>
      <c r="F1137" t="s">
        <v>1476</v>
      </c>
      <c r="G1137" t="s">
        <v>3931</v>
      </c>
      <c r="H1137" t="s">
        <v>1600</v>
      </c>
      <c r="I1137" t="s">
        <v>194</v>
      </c>
      <c r="J1137" t="s">
        <v>212</v>
      </c>
      <c r="U1137" t="s">
        <v>217</v>
      </c>
      <c r="V1137" t="s">
        <v>157</v>
      </c>
      <c r="W1137">
        <v>77838503850</v>
      </c>
      <c r="X1137">
        <v>10077838003852</v>
      </c>
      <c r="Y1137" t="s">
        <v>4438</v>
      </c>
      <c r="Z1137" t="s">
        <v>297</v>
      </c>
      <c r="AA1137" t="s">
        <v>827</v>
      </c>
      <c r="AB1137" t="s">
        <v>893</v>
      </c>
      <c r="AC1137" t="s">
        <v>836</v>
      </c>
      <c r="AD1137" t="s">
        <v>3144</v>
      </c>
      <c r="AE1137" t="s">
        <v>268</v>
      </c>
      <c r="AF1137" t="s">
        <v>185</v>
      </c>
      <c r="AG1137">
        <v>392410.3</v>
      </c>
      <c r="AH1137">
        <v>65</v>
      </c>
      <c r="DQ1137" t="s">
        <v>444</v>
      </c>
      <c r="DR1137" t="s">
        <v>578</v>
      </c>
    </row>
    <row r="1138" spans="1:134" x14ac:dyDescent="0.25">
      <c r="A1138" t="s">
        <v>4863</v>
      </c>
      <c r="B1138" t="e">
        <f>_xlfn.XLOOKUP(C1138,'[1]Image URL'!$E:$E,'[1]Image URL'!$A:$A)</f>
        <v>#N/A</v>
      </c>
      <c r="D1138" t="s">
        <v>4865</v>
      </c>
      <c r="E1138" t="s">
        <v>4542</v>
      </c>
      <c r="F1138" t="s">
        <v>911</v>
      </c>
      <c r="G1138" t="s">
        <v>4483</v>
      </c>
      <c r="H1138" t="s">
        <v>193</v>
      </c>
      <c r="J1138" t="s">
        <v>4543</v>
      </c>
      <c r="U1138" t="s">
        <v>4421</v>
      </c>
      <c r="V1138" t="s">
        <v>157</v>
      </c>
      <c r="W1138">
        <v>77838884713</v>
      </c>
      <c r="X1138">
        <v>10077838884710</v>
      </c>
      <c r="Y1138" t="s">
        <v>4795</v>
      </c>
      <c r="Z1138" t="s">
        <v>2988</v>
      </c>
      <c r="AA1138" t="s">
        <v>4796</v>
      </c>
      <c r="AB1138" t="s">
        <v>911</v>
      </c>
      <c r="AC1138" t="s">
        <v>340</v>
      </c>
      <c r="AD1138" t="s">
        <v>426</v>
      </c>
      <c r="AE1138" t="s">
        <v>316</v>
      </c>
      <c r="AF1138" t="s">
        <v>507</v>
      </c>
      <c r="AG1138">
        <v>392410.3</v>
      </c>
      <c r="AH1138">
        <v>65</v>
      </c>
      <c r="AL1138" t="s">
        <v>1250</v>
      </c>
      <c r="AY1138" t="s">
        <v>4546</v>
      </c>
    </row>
    <row r="1139" spans="1:134" x14ac:dyDescent="0.25">
      <c r="A1139" t="s">
        <v>4866</v>
      </c>
      <c r="B1139" t="e">
        <f>_xlfn.XLOOKUP(C1139,'[1]Image URL'!$E:$E,'[1]Image URL'!$A:$A)</f>
        <v>#N/A</v>
      </c>
      <c r="D1139" t="s">
        <v>4868</v>
      </c>
      <c r="E1139" t="s">
        <v>4481</v>
      </c>
      <c r="F1139" t="s">
        <v>932</v>
      </c>
      <c r="G1139" t="s">
        <v>549</v>
      </c>
      <c r="H1139" t="s">
        <v>1650</v>
      </c>
      <c r="I1139" t="s">
        <v>4419</v>
      </c>
      <c r="J1139" t="s">
        <v>4420</v>
      </c>
      <c r="U1139" t="s">
        <v>4421</v>
      </c>
      <c r="V1139" t="s">
        <v>157</v>
      </c>
      <c r="W1139">
        <v>77838273654</v>
      </c>
      <c r="X1139">
        <v>10077838073657</v>
      </c>
      <c r="Y1139" t="s">
        <v>4544</v>
      </c>
      <c r="Z1139" t="s">
        <v>903</v>
      </c>
      <c r="AA1139" t="s">
        <v>4869</v>
      </c>
      <c r="AB1139" t="s">
        <v>4678</v>
      </c>
      <c r="AC1139" t="s">
        <v>391</v>
      </c>
      <c r="AD1139" t="s">
        <v>647</v>
      </c>
      <c r="AE1139" t="s">
        <v>185</v>
      </c>
      <c r="AF1139" t="s">
        <v>315</v>
      </c>
      <c r="AG1139">
        <v>392410.3</v>
      </c>
      <c r="AH1139">
        <v>65</v>
      </c>
    </row>
    <row r="1140" spans="1:134" x14ac:dyDescent="0.25">
      <c r="A1140" t="s">
        <v>4870</v>
      </c>
      <c r="B1140" t="e">
        <f>_xlfn.XLOOKUP(C1140,'[1]Image URL'!$E:$E,'[1]Image URL'!$A:$A)</f>
        <v>#N/A</v>
      </c>
      <c r="D1140" t="s">
        <v>4872</v>
      </c>
      <c r="E1140" t="s">
        <v>4542</v>
      </c>
      <c r="F1140" t="s">
        <v>1010</v>
      </c>
      <c r="G1140" t="s">
        <v>930</v>
      </c>
      <c r="H1140" t="s">
        <v>193</v>
      </c>
      <c r="J1140" t="s">
        <v>4543</v>
      </c>
      <c r="U1140" t="s">
        <v>4421</v>
      </c>
      <c r="V1140" t="s">
        <v>157</v>
      </c>
      <c r="W1140">
        <v>77838884706</v>
      </c>
      <c r="X1140">
        <v>10077838884703</v>
      </c>
      <c r="Y1140" t="s">
        <v>4698</v>
      </c>
      <c r="Z1140" t="s">
        <v>3416</v>
      </c>
      <c r="AA1140" t="s">
        <v>933</v>
      </c>
      <c r="AB1140" t="s">
        <v>615</v>
      </c>
      <c r="AC1140" t="s">
        <v>340</v>
      </c>
      <c r="AD1140" t="s">
        <v>426</v>
      </c>
      <c r="AE1140" t="s">
        <v>316</v>
      </c>
      <c r="AF1140" t="s">
        <v>507</v>
      </c>
      <c r="AG1140">
        <v>392410.3</v>
      </c>
      <c r="AH1140">
        <v>70</v>
      </c>
      <c r="AL1140" t="s">
        <v>4699</v>
      </c>
      <c r="AY1140" t="s">
        <v>4546</v>
      </c>
    </row>
    <row r="1141" spans="1:134" x14ac:dyDescent="0.25">
      <c r="A1141" t="s">
        <v>4873</v>
      </c>
      <c r="B1141" t="e">
        <f>_xlfn.XLOOKUP(C1141,'[1]Image URL'!$E:$E,'[1]Image URL'!$A:$A)</f>
        <v>#N/A</v>
      </c>
      <c r="D1141" t="s">
        <v>4875</v>
      </c>
      <c r="E1141" t="s">
        <v>4500</v>
      </c>
      <c r="F1141" t="s">
        <v>3617</v>
      </c>
      <c r="G1141" t="s">
        <v>2075</v>
      </c>
      <c r="H1141" t="s">
        <v>1650</v>
      </c>
      <c r="I1141" t="s">
        <v>4419</v>
      </c>
      <c r="J1141" t="s">
        <v>4420</v>
      </c>
      <c r="U1141" t="s">
        <v>4421</v>
      </c>
      <c r="V1141" t="s">
        <v>157</v>
      </c>
      <c r="W1141">
        <v>77838242797</v>
      </c>
      <c r="X1141">
        <v>10077838042790</v>
      </c>
      <c r="Y1141" t="s">
        <v>304</v>
      </c>
      <c r="Z1141" t="s">
        <v>884</v>
      </c>
      <c r="AA1141" t="s">
        <v>4501</v>
      </c>
      <c r="AB1141" t="s">
        <v>1531</v>
      </c>
      <c r="AC1141" t="s">
        <v>2096</v>
      </c>
      <c r="AD1141" t="s">
        <v>1142</v>
      </c>
      <c r="AE1141" t="s">
        <v>184</v>
      </c>
      <c r="AF1141" t="s">
        <v>349</v>
      </c>
      <c r="AG1141">
        <v>392410.3</v>
      </c>
      <c r="AH1141">
        <v>65</v>
      </c>
      <c r="AL1141" t="s">
        <v>3222</v>
      </c>
    </row>
    <row r="1142" spans="1:134" x14ac:dyDescent="0.25">
      <c r="A1142" t="s">
        <v>4876</v>
      </c>
      <c r="B1142" t="e">
        <f>_xlfn.XLOOKUP(C1142,'[1]Image URL'!$E:$E,'[1]Image URL'!$A:$A)</f>
        <v>#N/A</v>
      </c>
      <c r="D1142" t="s">
        <v>4806</v>
      </c>
      <c r="E1142" t="s">
        <v>4410</v>
      </c>
      <c r="F1142" t="s">
        <v>4411</v>
      </c>
      <c r="G1142" t="s">
        <v>643</v>
      </c>
      <c r="H1142" t="s">
        <v>4412</v>
      </c>
      <c r="I1142" t="s">
        <v>194</v>
      </c>
      <c r="J1142" t="s">
        <v>212</v>
      </c>
      <c r="U1142" t="s">
        <v>217</v>
      </c>
      <c r="V1142" t="s">
        <v>157</v>
      </c>
      <c r="W1142">
        <v>77838504031</v>
      </c>
      <c r="X1142">
        <v>10077838004033</v>
      </c>
      <c r="Y1142" t="s">
        <v>1016</v>
      </c>
      <c r="Z1142" t="s">
        <v>666</v>
      </c>
      <c r="AA1142" t="s">
        <v>807</v>
      </c>
      <c r="AB1142" t="s">
        <v>444</v>
      </c>
      <c r="AC1142" t="s">
        <v>846</v>
      </c>
      <c r="AD1142" t="s">
        <v>555</v>
      </c>
      <c r="AE1142" t="s">
        <v>235</v>
      </c>
      <c r="AF1142" t="s">
        <v>184</v>
      </c>
      <c r="AG1142">
        <v>392410.3</v>
      </c>
      <c r="AH1142">
        <v>70</v>
      </c>
      <c r="DQ1142" t="s">
        <v>771</v>
      </c>
      <c r="DR1142" t="s">
        <v>457</v>
      </c>
    </row>
    <row r="1143" spans="1:134" x14ac:dyDescent="0.25">
      <c r="A1143" t="s">
        <v>4877</v>
      </c>
      <c r="B1143" t="e">
        <f>_xlfn.XLOOKUP(C1143,'[1]Image URL'!$E:$E,'[1]Image URL'!$A:$A)</f>
        <v>#N/A</v>
      </c>
      <c r="D1143" t="s">
        <v>4879</v>
      </c>
      <c r="E1143" t="s">
        <v>4437</v>
      </c>
      <c r="F1143" t="s">
        <v>1476</v>
      </c>
      <c r="G1143" t="s">
        <v>3931</v>
      </c>
      <c r="H1143" t="s">
        <v>1600</v>
      </c>
      <c r="I1143" t="s">
        <v>194</v>
      </c>
      <c r="J1143" t="s">
        <v>212</v>
      </c>
      <c r="U1143" t="s">
        <v>217</v>
      </c>
      <c r="V1143" t="s">
        <v>157</v>
      </c>
      <c r="W1143">
        <v>77838503867</v>
      </c>
      <c r="X1143">
        <v>10077838003869</v>
      </c>
      <c r="Y1143" t="s">
        <v>4438</v>
      </c>
      <c r="Z1143" t="s">
        <v>297</v>
      </c>
      <c r="AA1143" t="s">
        <v>827</v>
      </c>
      <c r="AB1143" t="s">
        <v>893</v>
      </c>
      <c r="AC1143" t="s">
        <v>836</v>
      </c>
      <c r="AD1143" t="s">
        <v>3144</v>
      </c>
      <c r="AE1143" t="s">
        <v>268</v>
      </c>
      <c r="AF1143" t="s">
        <v>185</v>
      </c>
      <c r="AG1143">
        <v>392410.3</v>
      </c>
      <c r="AH1143">
        <v>65</v>
      </c>
      <c r="DQ1143" t="s">
        <v>444</v>
      </c>
      <c r="DR1143" t="s">
        <v>578</v>
      </c>
    </row>
    <row r="1144" spans="1:134" x14ac:dyDescent="0.25">
      <c r="A1144" t="s">
        <v>4880</v>
      </c>
      <c r="B1144" t="e">
        <f>_xlfn.XLOOKUP(C1144,'[1]Image URL'!$E:$E,'[1]Image URL'!$A:$A)</f>
        <v>#N/A</v>
      </c>
      <c r="D1144" t="s">
        <v>4622</v>
      </c>
      <c r="E1144" t="s">
        <v>4410</v>
      </c>
      <c r="F1144" t="s">
        <v>4411</v>
      </c>
      <c r="G1144" t="s">
        <v>643</v>
      </c>
      <c r="H1144" t="s">
        <v>4412</v>
      </c>
      <c r="I1144" t="s">
        <v>194</v>
      </c>
      <c r="J1144" t="s">
        <v>212</v>
      </c>
      <c r="U1144" t="s">
        <v>217</v>
      </c>
      <c r="V1144" t="s">
        <v>157</v>
      </c>
      <c r="W1144">
        <v>77838521915</v>
      </c>
      <c r="X1144">
        <v>10077838021917</v>
      </c>
      <c r="Y1144" t="s">
        <v>1016</v>
      </c>
      <c r="Z1144" t="s">
        <v>666</v>
      </c>
      <c r="AA1144" t="s">
        <v>807</v>
      </c>
      <c r="AB1144" t="s">
        <v>444</v>
      </c>
      <c r="AC1144" t="s">
        <v>846</v>
      </c>
      <c r="AD1144" t="s">
        <v>555</v>
      </c>
      <c r="AE1144" t="s">
        <v>235</v>
      </c>
      <c r="AF1144" t="s">
        <v>184</v>
      </c>
      <c r="AG1144">
        <v>392410.3</v>
      </c>
      <c r="AH1144">
        <v>70</v>
      </c>
      <c r="DQ1144" t="s">
        <v>771</v>
      </c>
      <c r="DR1144" t="s">
        <v>457</v>
      </c>
    </row>
    <row r="1145" spans="1:134" x14ac:dyDescent="0.25">
      <c r="A1145" t="s">
        <v>4881</v>
      </c>
      <c r="B1145" t="e">
        <f>_xlfn.XLOOKUP(C1145,'[1]Image URL'!$E:$E,'[1]Image URL'!$A:$A)</f>
        <v>#N/A</v>
      </c>
      <c r="D1145" t="s">
        <v>4883</v>
      </c>
      <c r="E1145" t="s">
        <v>4884</v>
      </c>
      <c r="F1145" t="s">
        <v>4885</v>
      </c>
      <c r="G1145" t="s">
        <v>4886</v>
      </c>
      <c r="H1145" t="s">
        <v>4887</v>
      </c>
      <c r="U1145" t="s">
        <v>4888</v>
      </c>
      <c r="V1145" t="s">
        <v>282</v>
      </c>
      <c r="W1145">
        <v>77838665466</v>
      </c>
      <c r="X1145">
        <v>10077838665463</v>
      </c>
      <c r="Y1145" t="s">
        <v>4889</v>
      </c>
      <c r="Z1145" t="s">
        <v>4890</v>
      </c>
      <c r="AA1145" t="s">
        <v>1216</v>
      </c>
      <c r="AB1145" t="s">
        <v>4891</v>
      </c>
      <c r="AC1145" t="s">
        <v>4892</v>
      </c>
      <c r="AD1145" t="s">
        <v>268</v>
      </c>
      <c r="AE1145" t="s">
        <v>302</v>
      </c>
      <c r="AF1145" t="s">
        <v>316</v>
      </c>
      <c r="AG1145">
        <v>392310</v>
      </c>
      <c r="AH1145">
        <v>175</v>
      </c>
      <c r="DP1145" t="s">
        <v>281</v>
      </c>
      <c r="DS1145" t="s">
        <v>2658</v>
      </c>
      <c r="DT1145" t="s">
        <v>3617</v>
      </c>
      <c r="DU1145" t="s">
        <v>900</v>
      </c>
    </row>
    <row r="1146" spans="1:134" x14ac:dyDescent="0.25">
      <c r="A1146" t="s">
        <v>4893</v>
      </c>
      <c r="B1146" t="e">
        <f>_xlfn.XLOOKUP(C1146,'[1]Image URL'!$E:$E,'[1]Image URL'!$A:$A)</f>
        <v>#N/A</v>
      </c>
      <c r="D1146" t="s">
        <v>4895</v>
      </c>
      <c r="E1146" t="s">
        <v>4896</v>
      </c>
      <c r="F1146" t="s">
        <v>742</v>
      </c>
      <c r="G1146" t="s">
        <v>1374</v>
      </c>
      <c r="H1146" t="s">
        <v>1845</v>
      </c>
      <c r="I1146" t="s">
        <v>194</v>
      </c>
      <c r="J1146" t="s">
        <v>212</v>
      </c>
      <c r="U1146" t="s">
        <v>4888</v>
      </c>
      <c r="V1146" t="s">
        <v>282</v>
      </c>
      <c r="W1146">
        <v>77838150597</v>
      </c>
      <c r="X1146">
        <v>10077838150594</v>
      </c>
      <c r="Y1146" t="s">
        <v>4897</v>
      </c>
      <c r="Z1146" t="s">
        <v>4898</v>
      </c>
      <c r="AA1146" t="s">
        <v>1179</v>
      </c>
      <c r="AB1146" t="s">
        <v>425</v>
      </c>
      <c r="AC1146" t="s">
        <v>313</v>
      </c>
      <c r="AD1146" t="s">
        <v>163</v>
      </c>
      <c r="AE1146" t="s">
        <v>235</v>
      </c>
      <c r="AF1146" t="s">
        <v>164</v>
      </c>
      <c r="AG1146">
        <v>392410.4</v>
      </c>
      <c r="AH1146">
        <v>250</v>
      </c>
      <c r="AM1146" t="s">
        <v>4899</v>
      </c>
      <c r="DP1146" t="s">
        <v>281</v>
      </c>
      <c r="DV1146" t="s">
        <v>463</v>
      </c>
    </row>
    <row r="1147" spans="1:134" x14ac:dyDescent="0.25">
      <c r="A1147" t="s">
        <v>4900</v>
      </c>
      <c r="B1147" t="e">
        <f>_xlfn.XLOOKUP(C1147,'[1]Image URL'!$E:$E,'[1]Image URL'!$A:$A)</f>
        <v>#N/A</v>
      </c>
      <c r="D1147" t="s">
        <v>4902</v>
      </c>
      <c r="E1147" t="s">
        <v>4896</v>
      </c>
      <c r="F1147" t="s">
        <v>742</v>
      </c>
      <c r="G1147" t="s">
        <v>1374</v>
      </c>
      <c r="H1147" t="s">
        <v>360</v>
      </c>
      <c r="I1147" t="s">
        <v>194</v>
      </c>
      <c r="J1147" t="s">
        <v>212</v>
      </c>
      <c r="U1147" t="s">
        <v>4888</v>
      </c>
      <c r="V1147" t="s">
        <v>282</v>
      </c>
      <c r="W1147">
        <v>77838150542</v>
      </c>
      <c r="X1147">
        <v>10077838150549</v>
      </c>
      <c r="Y1147" t="s">
        <v>1843</v>
      </c>
      <c r="Z1147" t="s">
        <v>656</v>
      </c>
      <c r="AA1147" t="s">
        <v>633</v>
      </c>
      <c r="AB1147" t="s">
        <v>475</v>
      </c>
      <c r="AC1147" t="s">
        <v>4903</v>
      </c>
      <c r="AD1147" t="s">
        <v>496</v>
      </c>
      <c r="AE1147" t="s">
        <v>164</v>
      </c>
      <c r="AF1147" t="s">
        <v>164</v>
      </c>
      <c r="AG1147">
        <v>392410.4</v>
      </c>
      <c r="AH1147">
        <v>250</v>
      </c>
      <c r="AL1147" t="s">
        <v>4544</v>
      </c>
      <c r="AM1147" t="s">
        <v>317</v>
      </c>
      <c r="BG1147" t="s">
        <v>463</v>
      </c>
      <c r="DP1147" t="s">
        <v>281</v>
      </c>
    </row>
    <row r="1148" spans="1:134" x14ac:dyDescent="0.25">
      <c r="A1148" t="s">
        <v>4904</v>
      </c>
      <c r="B1148" t="e">
        <f>_xlfn.XLOOKUP(C1148,'[1]Image URL'!$E:$E,'[1]Image URL'!$A:$A)</f>
        <v>#N/A</v>
      </c>
      <c r="D1148" t="s">
        <v>4906</v>
      </c>
      <c r="E1148" t="s">
        <v>4907</v>
      </c>
      <c r="I1148" t="s">
        <v>194</v>
      </c>
      <c r="J1148" t="s">
        <v>834</v>
      </c>
      <c r="U1148" t="s">
        <v>273</v>
      </c>
      <c r="V1148" t="s">
        <v>157</v>
      </c>
      <c r="W1148">
        <v>77838085516</v>
      </c>
      <c r="X1148">
        <v>10077838085513</v>
      </c>
      <c r="Y1148" t="s">
        <v>4908</v>
      </c>
      <c r="Z1148" t="s">
        <v>4909</v>
      </c>
      <c r="AA1148" t="s">
        <v>916</v>
      </c>
      <c r="AB1148" t="s">
        <v>1226</v>
      </c>
      <c r="AC1148" t="s">
        <v>2969</v>
      </c>
      <c r="AD1148" t="s">
        <v>303</v>
      </c>
      <c r="AE1148" t="s">
        <v>456</v>
      </c>
      <c r="AF1148" t="s">
        <v>164</v>
      </c>
      <c r="AG1148">
        <v>871680.50899999996</v>
      </c>
      <c r="AH1148">
        <v>175</v>
      </c>
      <c r="BE1148" t="s">
        <v>152</v>
      </c>
      <c r="CW1148" t="s">
        <v>849</v>
      </c>
      <c r="DW1148" t="s">
        <v>1102</v>
      </c>
      <c r="DX1148" t="s">
        <v>4910</v>
      </c>
      <c r="DY1148" t="s">
        <v>4911</v>
      </c>
      <c r="DZ1148" t="s">
        <v>4912</v>
      </c>
      <c r="EA1148" t="s">
        <v>271</v>
      </c>
      <c r="EB1148" t="s">
        <v>462</v>
      </c>
      <c r="EC1148" t="s">
        <v>288</v>
      </c>
    </row>
    <row r="1149" spans="1:134" x14ac:dyDescent="0.25">
      <c r="A1149" t="s">
        <v>4913</v>
      </c>
      <c r="B1149" t="e">
        <f>_xlfn.XLOOKUP(C1149,'[1]Image URL'!$E:$E,'[1]Image URL'!$A:$A)</f>
        <v>#N/A</v>
      </c>
      <c r="D1149" t="s">
        <v>4915</v>
      </c>
      <c r="E1149" t="s">
        <v>4916</v>
      </c>
      <c r="H1149" t="s">
        <v>4917</v>
      </c>
      <c r="V1149" t="s">
        <v>282</v>
      </c>
      <c r="W1149">
        <v>77838121979</v>
      </c>
      <c r="X1149">
        <v>10077838121976</v>
      </c>
      <c r="Y1149" t="s">
        <v>4918</v>
      </c>
      <c r="Z1149" t="s">
        <v>4919</v>
      </c>
      <c r="AA1149" t="s">
        <v>286</v>
      </c>
      <c r="AB1149" t="s">
        <v>379</v>
      </c>
      <c r="AC1149" t="s">
        <v>4920</v>
      </c>
      <c r="AD1149" t="s">
        <v>302</v>
      </c>
      <c r="AE1149" t="s">
        <v>316</v>
      </c>
      <c r="AF1149" t="s">
        <v>316</v>
      </c>
      <c r="AG1149">
        <v>392310</v>
      </c>
      <c r="AH1149">
        <v>175</v>
      </c>
      <c r="DP1149" t="s">
        <v>281</v>
      </c>
      <c r="DS1149" t="s">
        <v>2658</v>
      </c>
      <c r="DT1149" t="s">
        <v>3617</v>
      </c>
      <c r="DU1149" t="s">
        <v>742</v>
      </c>
      <c r="DW1149" t="s">
        <v>494</v>
      </c>
      <c r="DX1149" t="s">
        <v>742</v>
      </c>
      <c r="ED1149" t="s">
        <v>4888</v>
      </c>
    </row>
    <row r="1150" spans="1:134" x14ac:dyDescent="0.25">
      <c r="A1150" t="s">
        <v>4921</v>
      </c>
      <c r="B1150" t="e">
        <f>_xlfn.XLOOKUP(C1150,'[1]Image URL'!$E:$E,'[1]Image URL'!$A:$A)</f>
        <v>#N/A</v>
      </c>
      <c r="D1150" t="s">
        <v>4923</v>
      </c>
      <c r="E1150" t="s">
        <v>4924</v>
      </c>
      <c r="F1150" t="s">
        <v>4887</v>
      </c>
      <c r="G1150" t="s">
        <v>4925</v>
      </c>
      <c r="H1150" t="s">
        <v>990</v>
      </c>
      <c r="I1150" t="s">
        <v>4926</v>
      </c>
      <c r="J1150" t="s">
        <v>4927</v>
      </c>
      <c r="U1150" t="s">
        <v>4928</v>
      </c>
      <c r="V1150" t="s">
        <v>282</v>
      </c>
      <c r="W1150">
        <v>77838862117</v>
      </c>
      <c r="X1150">
        <v>10077838862114</v>
      </c>
      <c r="Y1150" t="s">
        <v>1586</v>
      </c>
      <c r="Z1150" t="s">
        <v>4929</v>
      </c>
      <c r="AA1150" t="s">
        <v>930</v>
      </c>
      <c r="AB1150" t="s">
        <v>3191</v>
      </c>
      <c r="AC1150" t="s">
        <v>425</v>
      </c>
      <c r="AD1150" t="s">
        <v>303</v>
      </c>
      <c r="AE1150" t="s">
        <v>456</v>
      </c>
      <c r="AF1150" t="s">
        <v>164</v>
      </c>
      <c r="AG1150">
        <v>392310.9</v>
      </c>
      <c r="AH1150">
        <v>175</v>
      </c>
    </row>
    <row r="1151" spans="1:134" x14ac:dyDescent="0.25">
      <c r="A1151" t="s">
        <v>4930</v>
      </c>
      <c r="B1151" t="e">
        <f>_xlfn.XLOOKUP(C1151,'[1]Image URL'!$E:$E,'[1]Image URL'!$A:$A)</f>
        <v>#N/A</v>
      </c>
      <c r="D1151" t="s">
        <v>4932</v>
      </c>
      <c r="E1151" t="s">
        <v>4933</v>
      </c>
      <c r="F1151" t="s">
        <v>261</v>
      </c>
      <c r="G1151" t="s">
        <v>4934</v>
      </c>
      <c r="H1151" t="s">
        <v>4935</v>
      </c>
      <c r="V1151" t="s">
        <v>282</v>
      </c>
      <c r="W1151">
        <v>77838662717</v>
      </c>
      <c r="X1151">
        <v>10077838662714</v>
      </c>
      <c r="Y1151" t="s">
        <v>4936</v>
      </c>
      <c r="Z1151" t="s">
        <v>4937</v>
      </c>
      <c r="AA1151" t="s">
        <v>379</v>
      </c>
      <c r="AB1151" t="s">
        <v>181</v>
      </c>
      <c r="AC1151" t="s">
        <v>954</v>
      </c>
      <c r="AD1151" t="s">
        <v>507</v>
      </c>
      <c r="AE1151" t="s">
        <v>302</v>
      </c>
      <c r="AF1151" t="s">
        <v>302</v>
      </c>
      <c r="AG1151">
        <v>392310</v>
      </c>
      <c r="AH1151">
        <v>125</v>
      </c>
      <c r="AM1151" t="s">
        <v>4938</v>
      </c>
      <c r="BU1151" t="s">
        <v>200</v>
      </c>
      <c r="DP1151" t="s">
        <v>281</v>
      </c>
      <c r="DS1151" t="s">
        <v>531</v>
      </c>
      <c r="DT1151" t="s">
        <v>4939</v>
      </c>
      <c r="ED1151" t="s">
        <v>4888</v>
      </c>
    </row>
    <row r="1152" spans="1:134" x14ac:dyDescent="0.25">
      <c r="A1152" t="s">
        <v>4940</v>
      </c>
      <c r="B1152" t="e">
        <f>_xlfn.XLOOKUP(C1152,'[1]Image URL'!$E:$E,'[1]Image URL'!$A:$A)</f>
        <v>#N/A</v>
      </c>
      <c r="D1152" t="s">
        <v>4942</v>
      </c>
      <c r="E1152" t="s">
        <v>4943</v>
      </c>
      <c r="F1152" t="s">
        <v>2658</v>
      </c>
      <c r="G1152" t="s">
        <v>1420</v>
      </c>
      <c r="H1152" t="s">
        <v>334</v>
      </c>
      <c r="I1152" t="s">
        <v>147</v>
      </c>
      <c r="J1152" t="s">
        <v>280</v>
      </c>
      <c r="U1152" t="s">
        <v>281</v>
      </c>
      <c r="V1152" t="s">
        <v>157</v>
      </c>
      <c r="W1152">
        <v>77838085585</v>
      </c>
      <c r="X1152">
        <v>10077838085582</v>
      </c>
      <c r="Y1152" t="s">
        <v>387</v>
      </c>
      <c r="Z1152" t="s">
        <v>1551</v>
      </c>
      <c r="AA1152" t="s">
        <v>1691</v>
      </c>
      <c r="AB1152" t="s">
        <v>400</v>
      </c>
      <c r="AC1152" t="s">
        <v>4944</v>
      </c>
      <c r="AD1152" t="s">
        <v>3054</v>
      </c>
      <c r="AE1152" t="s">
        <v>164</v>
      </c>
      <c r="AF1152" t="s">
        <v>403</v>
      </c>
      <c r="AG1152">
        <v>392410.4</v>
      </c>
      <c r="AH1152">
        <v>65</v>
      </c>
    </row>
    <row r="1153" spans="1:139" x14ac:dyDescent="0.25">
      <c r="A1153" t="s">
        <v>4945</v>
      </c>
      <c r="B1153" t="e">
        <f>_xlfn.XLOOKUP(C1153,'[1]Image URL'!$E:$E,'[1]Image URL'!$A:$A)</f>
        <v>#N/A</v>
      </c>
      <c r="D1153" t="s">
        <v>4947</v>
      </c>
      <c r="E1153" t="s">
        <v>4948</v>
      </c>
      <c r="F1153" t="s">
        <v>4588</v>
      </c>
      <c r="G1153" t="s">
        <v>192</v>
      </c>
      <c r="H1153" t="s">
        <v>443</v>
      </c>
      <c r="V1153" t="s">
        <v>282</v>
      </c>
      <c r="W1153">
        <v>77838117330</v>
      </c>
      <c r="X1153">
        <v>10077838117337</v>
      </c>
      <c r="Y1153" t="s">
        <v>1859</v>
      </c>
      <c r="Z1153" t="s">
        <v>3097</v>
      </c>
      <c r="AA1153" t="s">
        <v>633</v>
      </c>
      <c r="AB1153" t="s">
        <v>1374</v>
      </c>
      <c r="AC1153" t="s">
        <v>4949</v>
      </c>
      <c r="AD1153" t="s">
        <v>496</v>
      </c>
      <c r="AE1153" t="s">
        <v>164</v>
      </c>
      <c r="AF1153" t="s">
        <v>164</v>
      </c>
      <c r="AG1153">
        <v>392310</v>
      </c>
      <c r="AH1153">
        <v>250</v>
      </c>
      <c r="AL1153" t="s">
        <v>1093</v>
      </c>
      <c r="AM1153" t="s">
        <v>317</v>
      </c>
      <c r="AT1153" t="s">
        <v>4950</v>
      </c>
      <c r="DP1153" t="s">
        <v>281</v>
      </c>
      <c r="ED1153" t="s">
        <v>4888</v>
      </c>
    </row>
    <row r="1154" spans="1:139" x14ac:dyDescent="0.25">
      <c r="A1154" t="s">
        <v>4951</v>
      </c>
      <c r="B1154" t="e">
        <f>_xlfn.XLOOKUP(C1154,'[1]Image URL'!$E:$E,'[1]Image URL'!$A:$A)</f>
        <v>#N/A</v>
      </c>
      <c r="D1154" t="s">
        <v>4953</v>
      </c>
      <c r="E1154" t="s">
        <v>4896</v>
      </c>
      <c r="F1154" t="s">
        <v>742</v>
      </c>
      <c r="G1154" t="s">
        <v>1374</v>
      </c>
      <c r="H1154" t="s">
        <v>1845</v>
      </c>
      <c r="I1154" t="s">
        <v>194</v>
      </c>
      <c r="J1154" t="s">
        <v>212</v>
      </c>
      <c r="U1154" t="s">
        <v>4888</v>
      </c>
      <c r="V1154" t="s">
        <v>282</v>
      </c>
      <c r="W1154">
        <v>77838150603</v>
      </c>
      <c r="X1154">
        <v>10077838150600</v>
      </c>
      <c r="Y1154" t="s">
        <v>4897</v>
      </c>
      <c r="Z1154" t="s">
        <v>4898</v>
      </c>
      <c r="AA1154" t="s">
        <v>1179</v>
      </c>
      <c r="AB1154" t="s">
        <v>425</v>
      </c>
      <c r="AC1154" t="s">
        <v>313</v>
      </c>
      <c r="AD1154" t="s">
        <v>163</v>
      </c>
      <c r="AE1154" t="s">
        <v>235</v>
      </c>
      <c r="AF1154" t="s">
        <v>164</v>
      </c>
      <c r="AG1154">
        <v>392310</v>
      </c>
      <c r="AH1154">
        <v>250</v>
      </c>
      <c r="AM1154" t="s">
        <v>4899</v>
      </c>
      <c r="DP1154" t="s">
        <v>281</v>
      </c>
      <c r="DV1154" t="s">
        <v>463</v>
      </c>
    </row>
    <row r="1155" spans="1:139" x14ac:dyDescent="0.25">
      <c r="A1155" t="s">
        <v>4954</v>
      </c>
      <c r="B1155" t="e">
        <f>_xlfn.XLOOKUP(C1155,'[1]Image URL'!$E:$E,'[1]Image URL'!$A:$A)</f>
        <v>#N/A</v>
      </c>
      <c r="D1155" t="s">
        <v>4956</v>
      </c>
      <c r="E1155" t="s">
        <v>4957</v>
      </c>
      <c r="F1155" t="s">
        <v>4958</v>
      </c>
      <c r="G1155" t="s">
        <v>2688</v>
      </c>
      <c r="H1155" t="s">
        <v>4959</v>
      </c>
      <c r="U1155" t="s">
        <v>281</v>
      </c>
      <c r="V1155" t="s">
        <v>282</v>
      </c>
      <c r="W1155">
        <v>77838121610</v>
      </c>
      <c r="X1155">
        <v>10077838121617</v>
      </c>
      <c r="Y1155" t="s">
        <v>2601</v>
      </c>
      <c r="Z1155" t="s">
        <v>4960</v>
      </c>
      <c r="AA1155" t="s">
        <v>932</v>
      </c>
      <c r="AB1155" t="s">
        <v>4911</v>
      </c>
      <c r="AC1155" t="s">
        <v>1010</v>
      </c>
      <c r="AD1155" t="s">
        <v>302</v>
      </c>
      <c r="AE1155" t="s">
        <v>316</v>
      </c>
      <c r="AF1155" t="s">
        <v>316</v>
      </c>
      <c r="AG1155">
        <v>392310</v>
      </c>
      <c r="AH1155">
        <v>175</v>
      </c>
      <c r="AL1155" t="s">
        <v>4961</v>
      </c>
      <c r="DS1155" t="s">
        <v>4962</v>
      </c>
      <c r="DT1155" t="s">
        <v>4963</v>
      </c>
      <c r="DU1155" t="s">
        <v>4964</v>
      </c>
      <c r="ED1155" t="s">
        <v>4888</v>
      </c>
    </row>
    <row r="1156" spans="1:139" x14ac:dyDescent="0.25">
      <c r="A1156" t="s">
        <v>4965</v>
      </c>
      <c r="B1156" t="e">
        <f>_xlfn.XLOOKUP(C1156,'[1]Image URL'!$E:$E,'[1]Image URL'!$A:$A)</f>
        <v>#N/A</v>
      </c>
      <c r="D1156" t="s">
        <v>4967</v>
      </c>
      <c r="E1156" t="s">
        <v>4896</v>
      </c>
      <c r="F1156" t="s">
        <v>4968</v>
      </c>
      <c r="G1156" t="s">
        <v>652</v>
      </c>
      <c r="H1156" t="s">
        <v>463</v>
      </c>
      <c r="V1156" t="s">
        <v>282</v>
      </c>
      <c r="W1156">
        <v>77838156285</v>
      </c>
      <c r="X1156">
        <v>10077838156282</v>
      </c>
      <c r="Y1156" t="s">
        <v>4969</v>
      </c>
      <c r="Z1156" t="s">
        <v>4970</v>
      </c>
      <c r="AA1156" t="s">
        <v>4971</v>
      </c>
      <c r="AB1156" t="s">
        <v>1258</v>
      </c>
      <c r="AC1156" t="s">
        <v>4972</v>
      </c>
      <c r="AD1156" t="s">
        <v>184</v>
      </c>
      <c r="AE1156" t="s">
        <v>235</v>
      </c>
      <c r="AF1156" t="s">
        <v>316</v>
      </c>
      <c r="AG1156">
        <v>392310</v>
      </c>
      <c r="AH1156">
        <v>250</v>
      </c>
      <c r="AL1156" t="s">
        <v>4973</v>
      </c>
      <c r="AM1156" t="s">
        <v>4974</v>
      </c>
      <c r="DP1156" t="s">
        <v>281</v>
      </c>
      <c r="ED1156" t="s">
        <v>4888</v>
      </c>
    </row>
    <row r="1157" spans="1:139" x14ac:dyDescent="0.25">
      <c r="A1157" t="s">
        <v>4975</v>
      </c>
      <c r="B1157" t="e">
        <f>_xlfn.XLOOKUP(C1157,'[1]Image URL'!$E:$E,'[1]Image URL'!$A:$A)</f>
        <v>#N/A</v>
      </c>
      <c r="D1157" t="s">
        <v>4977</v>
      </c>
      <c r="E1157" t="s">
        <v>4948</v>
      </c>
      <c r="F1157" t="s">
        <v>4588</v>
      </c>
      <c r="G1157" t="s">
        <v>192</v>
      </c>
      <c r="H1157" t="s">
        <v>443</v>
      </c>
      <c r="V1157" t="s">
        <v>282</v>
      </c>
      <c r="W1157">
        <v>77838117347</v>
      </c>
      <c r="X1157">
        <v>10077838117344</v>
      </c>
      <c r="Y1157" t="s">
        <v>1859</v>
      </c>
      <c r="Z1157" t="s">
        <v>3097</v>
      </c>
      <c r="AA1157" t="s">
        <v>633</v>
      </c>
      <c r="AB1157" t="s">
        <v>1374</v>
      </c>
      <c r="AC1157" t="s">
        <v>4949</v>
      </c>
      <c r="AD1157" t="s">
        <v>496</v>
      </c>
      <c r="AE1157" t="s">
        <v>164</v>
      </c>
      <c r="AF1157" t="s">
        <v>164</v>
      </c>
      <c r="AG1157">
        <v>392310</v>
      </c>
      <c r="AH1157">
        <v>250</v>
      </c>
      <c r="AL1157" t="s">
        <v>1093</v>
      </c>
      <c r="AM1157" t="s">
        <v>317</v>
      </c>
      <c r="AT1157" t="s">
        <v>4950</v>
      </c>
      <c r="DP1157" t="s">
        <v>281</v>
      </c>
      <c r="ED1157" t="s">
        <v>4888</v>
      </c>
    </row>
    <row r="1158" spans="1:139" x14ac:dyDescent="0.25">
      <c r="A1158" t="s">
        <v>4978</v>
      </c>
      <c r="B1158" t="e">
        <f>_xlfn.XLOOKUP(C1158,'[1]Image URL'!$E:$E,'[1]Image URL'!$A:$A)</f>
        <v>#N/A</v>
      </c>
      <c r="D1158" t="s">
        <v>4980</v>
      </c>
      <c r="E1158" t="s">
        <v>4981</v>
      </c>
      <c r="V1158" t="s">
        <v>282</v>
      </c>
      <c r="W1158">
        <v>77838072790</v>
      </c>
      <c r="X1158">
        <v>10077838072797</v>
      </c>
      <c r="Y1158" t="s">
        <v>1154</v>
      </c>
      <c r="Z1158" t="s">
        <v>4982</v>
      </c>
      <c r="AA1158" t="s">
        <v>4983</v>
      </c>
      <c r="AB1158" t="s">
        <v>4984</v>
      </c>
      <c r="AC1158" t="s">
        <v>4775</v>
      </c>
      <c r="AD1158" t="s">
        <v>316</v>
      </c>
      <c r="AE1158" t="s">
        <v>316</v>
      </c>
      <c r="AF1158" t="s">
        <v>269</v>
      </c>
      <c r="AG1158">
        <v>392310</v>
      </c>
      <c r="AH1158">
        <v>175</v>
      </c>
      <c r="AL1158" t="s">
        <v>4985</v>
      </c>
      <c r="AT1158" t="s">
        <v>286</v>
      </c>
      <c r="DP1158" t="s">
        <v>281</v>
      </c>
      <c r="DS1158" t="s">
        <v>1226</v>
      </c>
      <c r="DT1158" t="s">
        <v>1431</v>
      </c>
      <c r="EC1158" t="s">
        <v>4775</v>
      </c>
      <c r="ED1158" t="s">
        <v>4888</v>
      </c>
      <c r="EE1158" t="s">
        <v>4986</v>
      </c>
      <c r="EF1158" t="s">
        <v>1010</v>
      </c>
    </row>
    <row r="1159" spans="1:139" x14ac:dyDescent="0.25">
      <c r="A1159" t="s">
        <v>4987</v>
      </c>
      <c r="B1159" t="e">
        <f>_xlfn.XLOOKUP(C1159,'[1]Image URL'!$E:$E,'[1]Image URL'!$A:$A)</f>
        <v>#N/A</v>
      </c>
      <c r="D1159" t="s">
        <v>4989</v>
      </c>
      <c r="E1159" t="s">
        <v>4990</v>
      </c>
      <c r="V1159" t="s">
        <v>282</v>
      </c>
      <c r="W1159">
        <v>77838119228</v>
      </c>
      <c r="X1159">
        <v>10077838119225</v>
      </c>
      <c r="Y1159" t="s">
        <v>4991</v>
      </c>
      <c r="Z1159" t="s">
        <v>4992</v>
      </c>
      <c r="AA1159" t="s">
        <v>4993</v>
      </c>
      <c r="AB1159" t="s">
        <v>808</v>
      </c>
      <c r="AC1159" t="s">
        <v>278</v>
      </c>
      <c r="AD1159" t="s">
        <v>316</v>
      </c>
      <c r="AE1159" t="s">
        <v>316</v>
      </c>
      <c r="AF1159" t="s">
        <v>269</v>
      </c>
      <c r="AG1159">
        <v>392310</v>
      </c>
      <c r="AH1159">
        <v>250</v>
      </c>
      <c r="AL1159" t="s">
        <v>4994</v>
      </c>
      <c r="AT1159" t="s">
        <v>1189</v>
      </c>
      <c r="DP1159" t="s">
        <v>281</v>
      </c>
      <c r="DS1159" t="s">
        <v>3891</v>
      </c>
      <c r="DT1159" t="s">
        <v>3891</v>
      </c>
      <c r="EC1159" t="s">
        <v>4775</v>
      </c>
      <c r="ED1159" t="s">
        <v>4888</v>
      </c>
      <c r="EE1159" t="s">
        <v>933</v>
      </c>
      <c r="EF1159" t="s">
        <v>734</v>
      </c>
      <c r="EG1159" t="s">
        <v>536</v>
      </c>
    </row>
    <row r="1160" spans="1:139" x14ac:dyDescent="0.25">
      <c r="A1160" t="s">
        <v>4995</v>
      </c>
      <c r="B1160" t="e">
        <f>_xlfn.XLOOKUP(C1160,'[1]Image URL'!$E:$E,'[1]Image URL'!$A:$A)</f>
        <v>#N/A</v>
      </c>
      <c r="D1160" t="s">
        <v>4997</v>
      </c>
      <c r="E1160" t="s">
        <v>4998</v>
      </c>
      <c r="F1160" t="s">
        <v>261</v>
      </c>
      <c r="G1160" t="s">
        <v>4934</v>
      </c>
      <c r="H1160" t="s">
        <v>4999</v>
      </c>
      <c r="V1160" t="s">
        <v>282</v>
      </c>
      <c r="W1160">
        <v>77838663462</v>
      </c>
      <c r="X1160">
        <v>10077838663469</v>
      </c>
      <c r="Y1160" t="s">
        <v>5000</v>
      </c>
      <c r="Z1160" t="s">
        <v>5001</v>
      </c>
      <c r="AA1160" t="s">
        <v>5002</v>
      </c>
      <c r="AB1160" t="s">
        <v>1845</v>
      </c>
      <c r="AC1160" t="s">
        <v>2893</v>
      </c>
      <c r="AD1160" t="s">
        <v>507</v>
      </c>
      <c r="AE1160" t="s">
        <v>302</v>
      </c>
      <c r="AF1160" t="s">
        <v>302</v>
      </c>
      <c r="AG1160">
        <v>392310</v>
      </c>
      <c r="AH1160">
        <v>175</v>
      </c>
      <c r="AM1160" t="s">
        <v>5003</v>
      </c>
      <c r="BU1160" t="s">
        <v>1457</v>
      </c>
      <c r="DP1160" t="s">
        <v>281</v>
      </c>
      <c r="DS1160" t="s">
        <v>531</v>
      </c>
      <c r="DT1160" t="s">
        <v>4939</v>
      </c>
      <c r="ED1160" t="s">
        <v>4888</v>
      </c>
    </row>
    <row r="1161" spans="1:139" x14ac:dyDescent="0.25">
      <c r="A1161" t="s">
        <v>5004</v>
      </c>
      <c r="B1161" t="e">
        <f>_xlfn.XLOOKUP(C1161,'[1]Image URL'!$E:$E,'[1]Image URL'!$A:$A)</f>
        <v>#N/A</v>
      </c>
      <c r="D1161" t="s">
        <v>5006</v>
      </c>
      <c r="E1161" t="s">
        <v>5007</v>
      </c>
      <c r="V1161" t="s">
        <v>282</v>
      </c>
      <c r="W1161">
        <v>77838121658</v>
      </c>
      <c r="X1161">
        <v>10077838121655</v>
      </c>
      <c r="Y1161" t="s">
        <v>5008</v>
      </c>
      <c r="Z1161" t="s">
        <v>3895</v>
      </c>
      <c r="AA1161" t="s">
        <v>286</v>
      </c>
      <c r="AB1161" t="s">
        <v>5009</v>
      </c>
      <c r="AC1161" t="s">
        <v>5010</v>
      </c>
      <c r="AD1161" t="s">
        <v>1113</v>
      </c>
      <c r="AE1161" t="s">
        <v>302</v>
      </c>
      <c r="AF1161" t="s">
        <v>235</v>
      </c>
      <c r="AG1161">
        <v>392410.4</v>
      </c>
      <c r="AH1161">
        <v>125</v>
      </c>
      <c r="AL1161" t="s">
        <v>5008</v>
      </c>
      <c r="BU1161" t="s">
        <v>200</v>
      </c>
      <c r="BV1161" t="s">
        <v>324</v>
      </c>
      <c r="DJ1161" t="s">
        <v>385</v>
      </c>
      <c r="DK1161" t="s">
        <v>542</v>
      </c>
      <c r="DP1161" t="s">
        <v>281</v>
      </c>
      <c r="DS1161" t="s">
        <v>531</v>
      </c>
      <c r="DT1161" t="s">
        <v>4939</v>
      </c>
      <c r="DW1161" t="s">
        <v>354</v>
      </c>
      <c r="DX1161" t="s">
        <v>4588</v>
      </c>
      <c r="ED1161" t="s">
        <v>4888</v>
      </c>
    </row>
    <row r="1162" spans="1:139" x14ac:dyDescent="0.25">
      <c r="A1162" t="s">
        <v>5011</v>
      </c>
      <c r="B1162" t="e">
        <f>_xlfn.XLOOKUP(C1162,'[1]Image URL'!$E:$E,'[1]Image URL'!$A:$A)</f>
        <v>#N/A</v>
      </c>
      <c r="D1162" t="s">
        <v>5013</v>
      </c>
      <c r="E1162" t="s">
        <v>4981</v>
      </c>
      <c r="V1162" t="s">
        <v>282</v>
      </c>
      <c r="W1162">
        <v>77838072806</v>
      </c>
      <c r="X1162">
        <v>10077838072803</v>
      </c>
      <c r="Y1162" t="s">
        <v>1154</v>
      </c>
      <c r="Z1162" t="s">
        <v>4982</v>
      </c>
      <c r="AA1162" t="s">
        <v>4983</v>
      </c>
      <c r="AB1162" t="s">
        <v>4984</v>
      </c>
      <c r="AC1162" t="s">
        <v>4775</v>
      </c>
      <c r="AD1162" t="s">
        <v>316</v>
      </c>
      <c r="AE1162" t="s">
        <v>316</v>
      </c>
      <c r="AF1162" t="s">
        <v>269</v>
      </c>
      <c r="AG1162">
        <v>392310</v>
      </c>
      <c r="AH1162">
        <v>175</v>
      </c>
      <c r="AL1162" t="s">
        <v>4985</v>
      </c>
      <c r="AT1162" t="s">
        <v>286</v>
      </c>
      <c r="DP1162" t="s">
        <v>281</v>
      </c>
      <c r="DS1162" t="s">
        <v>1226</v>
      </c>
      <c r="DT1162" t="s">
        <v>1431</v>
      </c>
      <c r="EC1162" t="s">
        <v>4775</v>
      </c>
      <c r="ED1162" t="s">
        <v>4888</v>
      </c>
      <c r="EE1162" t="s">
        <v>4986</v>
      </c>
      <c r="EF1162" t="s">
        <v>1010</v>
      </c>
    </row>
    <row r="1163" spans="1:139" x14ac:dyDescent="0.25">
      <c r="A1163" t="s">
        <v>5014</v>
      </c>
      <c r="B1163" t="e">
        <f>_xlfn.XLOOKUP(C1163,'[1]Image URL'!$E:$E,'[1]Image URL'!$A:$A)</f>
        <v>#N/A</v>
      </c>
      <c r="D1163" t="s">
        <v>5016</v>
      </c>
      <c r="E1163" t="s">
        <v>5017</v>
      </c>
      <c r="F1163" t="s">
        <v>2970</v>
      </c>
      <c r="G1163" t="s">
        <v>192</v>
      </c>
      <c r="H1163" t="s">
        <v>379</v>
      </c>
      <c r="V1163" t="s">
        <v>282</v>
      </c>
      <c r="W1163">
        <v>77838117262</v>
      </c>
      <c r="X1163">
        <v>10077838117269</v>
      </c>
      <c r="Y1163" t="s">
        <v>5018</v>
      </c>
      <c r="Z1163" t="s">
        <v>3569</v>
      </c>
      <c r="AA1163" t="s">
        <v>1127</v>
      </c>
      <c r="AB1163" t="s">
        <v>996</v>
      </c>
      <c r="AC1163" t="s">
        <v>5019</v>
      </c>
      <c r="AD1163" t="s">
        <v>163</v>
      </c>
      <c r="AE1163" t="s">
        <v>235</v>
      </c>
      <c r="AF1163" t="s">
        <v>164</v>
      </c>
      <c r="AG1163">
        <v>392310</v>
      </c>
      <c r="AH1163">
        <v>250</v>
      </c>
      <c r="AL1163" t="s">
        <v>5020</v>
      </c>
      <c r="AM1163" t="s">
        <v>4899</v>
      </c>
      <c r="DP1163" t="s">
        <v>281</v>
      </c>
      <c r="ED1163" t="s">
        <v>4888</v>
      </c>
    </row>
    <row r="1164" spans="1:139" x14ac:dyDescent="0.25">
      <c r="A1164" t="s">
        <v>5021</v>
      </c>
      <c r="B1164" t="e">
        <f>_xlfn.XLOOKUP(C1164,'[1]Image URL'!$E:$E,'[1]Image URL'!$A:$A)</f>
        <v>#N/A</v>
      </c>
      <c r="D1164" t="s">
        <v>5023</v>
      </c>
      <c r="E1164" t="s">
        <v>4981</v>
      </c>
      <c r="V1164" t="s">
        <v>282</v>
      </c>
      <c r="W1164">
        <v>77838080290</v>
      </c>
      <c r="X1164">
        <v>10077838080297</v>
      </c>
      <c r="Y1164" t="s">
        <v>1154</v>
      </c>
      <c r="Z1164" t="s">
        <v>4982</v>
      </c>
      <c r="AA1164" t="s">
        <v>4983</v>
      </c>
      <c r="AB1164" t="s">
        <v>4984</v>
      </c>
      <c r="AC1164" t="s">
        <v>4775</v>
      </c>
      <c r="AD1164" t="s">
        <v>316</v>
      </c>
      <c r="AE1164" t="s">
        <v>316</v>
      </c>
      <c r="AF1164" t="s">
        <v>269</v>
      </c>
      <c r="AG1164">
        <v>392310</v>
      </c>
      <c r="AH1164">
        <v>175</v>
      </c>
      <c r="AL1164" t="s">
        <v>4985</v>
      </c>
      <c r="AT1164" t="s">
        <v>286</v>
      </c>
      <c r="DP1164" t="s">
        <v>281</v>
      </c>
      <c r="DS1164" t="s">
        <v>1226</v>
      </c>
      <c r="DT1164" t="s">
        <v>1431</v>
      </c>
      <c r="EC1164" t="s">
        <v>4775</v>
      </c>
      <c r="ED1164" t="s">
        <v>4888</v>
      </c>
      <c r="EE1164" t="s">
        <v>4986</v>
      </c>
      <c r="EF1164" t="s">
        <v>1010</v>
      </c>
    </row>
    <row r="1165" spans="1:139" x14ac:dyDescent="0.25">
      <c r="A1165" t="s">
        <v>5024</v>
      </c>
      <c r="B1165" t="e">
        <f>_xlfn.XLOOKUP(C1165,'[1]Image URL'!$E:$E,'[1]Image URL'!$A:$A)</f>
        <v>#N/A</v>
      </c>
      <c r="D1165" t="s">
        <v>5026</v>
      </c>
      <c r="E1165" t="s">
        <v>4998</v>
      </c>
      <c r="F1165" t="s">
        <v>261</v>
      </c>
      <c r="G1165" t="s">
        <v>4934</v>
      </c>
      <c r="H1165" t="s">
        <v>5027</v>
      </c>
      <c r="V1165" t="s">
        <v>282</v>
      </c>
      <c r="W1165">
        <v>77838663431</v>
      </c>
      <c r="X1165">
        <v>10077838663438</v>
      </c>
      <c r="Y1165" t="s">
        <v>5028</v>
      </c>
      <c r="Z1165" t="s">
        <v>5029</v>
      </c>
      <c r="AA1165" t="s">
        <v>1161</v>
      </c>
      <c r="AB1165" t="s">
        <v>3019</v>
      </c>
      <c r="AC1165" t="s">
        <v>893</v>
      </c>
      <c r="AD1165" t="s">
        <v>507</v>
      </c>
      <c r="AE1165" t="s">
        <v>302</v>
      </c>
      <c r="AF1165" t="s">
        <v>302</v>
      </c>
      <c r="AG1165">
        <v>392310</v>
      </c>
      <c r="AH1165">
        <v>125</v>
      </c>
      <c r="AM1165" t="s">
        <v>3893</v>
      </c>
      <c r="BU1165" t="s">
        <v>145</v>
      </c>
      <c r="DP1165" t="s">
        <v>281</v>
      </c>
      <c r="DS1165" t="s">
        <v>531</v>
      </c>
      <c r="DT1165" t="s">
        <v>4939</v>
      </c>
      <c r="ED1165" t="s">
        <v>4888</v>
      </c>
    </row>
    <row r="1166" spans="1:139" x14ac:dyDescent="0.25">
      <c r="A1166" t="s">
        <v>5030</v>
      </c>
      <c r="B1166" t="e">
        <f>_xlfn.XLOOKUP(C1166,'[1]Image URL'!$E:$E,'[1]Image URL'!$A:$A)</f>
        <v>#N/A</v>
      </c>
      <c r="E1166" t="s">
        <v>5032</v>
      </c>
      <c r="V1166" t="s">
        <v>282</v>
      </c>
      <c r="W1166">
        <v>77838895658</v>
      </c>
      <c r="X1166">
        <v>10077838895655</v>
      </c>
      <c r="Y1166" t="s">
        <v>5033</v>
      </c>
      <c r="Z1166" t="s">
        <v>5034</v>
      </c>
      <c r="AA1166" t="s">
        <v>360</v>
      </c>
      <c r="AB1166" t="s">
        <v>3114</v>
      </c>
      <c r="AC1166" t="s">
        <v>1194</v>
      </c>
      <c r="AD1166" t="s">
        <v>268</v>
      </c>
      <c r="AE1166" t="s">
        <v>302</v>
      </c>
      <c r="AF1166" t="s">
        <v>316</v>
      </c>
      <c r="AG1166">
        <v>392310</v>
      </c>
      <c r="AH1166">
        <v>175</v>
      </c>
      <c r="DP1166" t="s">
        <v>281</v>
      </c>
      <c r="DS1166" t="s">
        <v>2658</v>
      </c>
      <c r="DT1166" t="s">
        <v>3617</v>
      </c>
      <c r="DU1166" t="s">
        <v>742</v>
      </c>
      <c r="DW1166" t="s">
        <v>494</v>
      </c>
      <c r="DX1166" t="s">
        <v>742</v>
      </c>
      <c r="ED1166" t="s">
        <v>4888</v>
      </c>
      <c r="EH1166" t="s">
        <v>611</v>
      </c>
    </row>
    <row r="1167" spans="1:139" x14ac:dyDescent="0.25">
      <c r="A1167" t="s">
        <v>5035</v>
      </c>
      <c r="B1167" t="e">
        <f>_xlfn.XLOOKUP(C1167,'[1]Image URL'!$E:$E,'[1]Image URL'!$A:$A)</f>
        <v>#N/A</v>
      </c>
      <c r="D1167" t="s">
        <v>5037</v>
      </c>
      <c r="E1167" t="s">
        <v>5038</v>
      </c>
      <c r="F1167" t="s">
        <v>4887</v>
      </c>
      <c r="G1167" t="s">
        <v>5039</v>
      </c>
      <c r="H1167" t="s">
        <v>5040</v>
      </c>
      <c r="I1167" t="s">
        <v>194</v>
      </c>
      <c r="J1167" t="s">
        <v>212</v>
      </c>
      <c r="N1167" t="s">
        <v>531</v>
      </c>
      <c r="U1167" t="s">
        <v>4928</v>
      </c>
      <c r="V1167" t="s">
        <v>282</v>
      </c>
      <c r="W1167">
        <v>77838859582</v>
      </c>
      <c r="X1167">
        <v>10077838859589</v>
      </c>
      <c r="Y1167" t="s">
        <v>5041</v>
      </c>
      <c r="Z1167" t="s">
        <v>5042</v>
      </c>
      <c r="AA1167" t="s">
        <v>5043</v>
      </c>
      <c r="AB1167" t="s">
        <v>5044</v>
      </c>
      <c r="AC1167" t="s">
        <v>5045</v>
      </c>
      <c r="AD1167" t="s">
        <v>456</v>
      </c>
      <c r="AE1167" t="s">
        <v>456</v>
      </c>
      <c r="AF1167" t="s">
        <v>269</v>
      </c>
      <c r="AG1167">
        <v>392310</v>
      </c>
      <c r="AH1167">
        <v>175</v>
      </c>
      <c r="DS1167" t="s">
        <v>2658</v>
      </c>
      <c r="DT1167" t="s">
        <v>3617</v>
      </c>
      <c r="ED1167" t="s">
        <v>4888</v>
      </c>
    </row>
    <row r="1168" spans="1:139" x14ac:dyDescent="0.25">
      <c r="A1168" t="s">
        <v>5046</v>
      </c>
      <c r="B1168" t="e">
        <f>_xlfn.XLOOKUP(C1168,'[1]Image URL'!$E:$E,'[1]Image URL'!$A:$A)</f>
        <v>#N/A</v>
      </c>
      <c r="D1168" t="s">
        <v>5048</v>
      </c>
      <c r="E1168" t="s">
        <v>5049</v>
      </c>
      <c r="I1168" t="s">
        <v>147</v>
      </c>
      <c r="J1168" t="s">
        <v>280</v>
      </c>
      <c r="O1168" t="s">
        <v>5050</v>
      </c>
      <c r="P1168" t="s">
        <v>531</v>
      </c>
      <c r="R1168" t="s">
        <v>4958</v>
      </c>
      <c r="S1168" t="s">
        <v>5051</v>
      </c>
      <c r="U1168" t="s">
        <v>281</v>
      </c>
      <c r="V1168" t="s">
        <v>282</v>
      </c>
      <c r="W1168">
        <v>77838168295</v>
      </c>
      <c r="X1168">
        <v>10077838168292</v>
      </c>
      <c r="Y1168" t="s">
        <v>5052</v>
      </c>
      <c r="Z1168" t="s">
        <v>5053</v>
      </c>
      <c r="AA1168" t="s">
        <v>952</v>
      </c>
      <c r="AB1168" t="s">
        <v>587</v>
      </c>
      <c r="AC1168" t="s">
        <v>5054</v>
      </c>
      <c r="AD1168" t="s">
        <v>268</v>
      </c>
      <c r="AE1168" t="s">
        <v>316</v>
      </c>
      <c r="AF1168" t="s">
        <v>302</v>
      </c>
      <c r="AG1168">
        <v>871680.50899999996</v>
      </c>
      <c r="AH1168">
        <v>125</v>
      </c>
      <c r="EC1168" t="s">
        <v>990</v>
      </c>
      <c r="EE1168" t="s">
        <v>5055</v>
      </c>
      <c r="EI1168" t="s">
        <v>463</v>
      </c>
    </row>
    <row r="1169" spans="1:139" x14ac:dyDescent="0.25">
      <c r="A1169" t="s">
        <v>5056</v>
      </c>
      <c r="B1169" t="e">
        <f>_xlfn.XLOOKUP(C1169,'[1]Image URL'!$E:$E,'[1]Image URL'!$A:$A)</f>
        <v>#N/A</v>
      </c>
      <c r="D1169" t="s">
        <v>5058</v>
      </c>
      <c r="E1169" t="s">
        <v>5059</v>
      </c>
      <c r="V1169" t="s">
        <v>282</v>
      </c>
      <c r="W1169">
        <v>77838130537</v>
      </c>
      <c r="X1169">
        <v>10077838130534</v>
      </c>
      <c r="Y1169" t="s">
        <v>3484</v>
      </c>
      <c r="Z1169" t="s">
        <v>5060</v>
      </c>
      <c r="AA1169" t="s">
        <v>5061</v>
      </c>
      <c r="AB1169" t="s">
        <v>615</v>
      </c>
      <c r="AC1169" t="s">
        <v>5062</v>
      </c>
      <c r="AD1169" t="s">
        <v>302</v>
      </c>
      <c r="AE1169" t="s">
        <v>316</v>
      </c>
      <c r="AF1169" t="s">
        <v>316</v>
      </c>
      <c r="AG1169">
        <v>392310</v>
      </c>
      <c r="AH1169">
        <v>175</v>
      </c>
      <c r="AL1169" t="s">
        <v>5063</v>
      </c>
      <c r="AT1169" t="s">
        <v>1189</v>
      </c>
      <c r="DP1169" t="s">
        <v>281</v>
      </c>
      <c r="DS1169" t="s">
        <v>3891</v>
      </c>
      <c r="DT1169" t="s">
        <v>3891</v>
      </c>
      <c r="EC1169" t="s">
        <v>4958</v>
      </c>
      <c r="ED1169" t="s">
        <v>4888</v>
      </c>
      <c r="EE1169" t="s">
        <v>933</v>
      </c>
      <c r="EF1169" t="s">
        <v>734</v>
      </c>
      <c r="EG1169" t="s">
        <v>536</v>
      </c>
    </row>
    <row r="1170" spans="1:139" x14ac:dyDescent="0.25">
      <c r="A1170" t="s">
        <v>5064</v>
      </c>
      <c r="B1170" t="e">
        <f>_xlfn.XLOOKUP(C1170,'[1]Image URL'!$E:$E,'[1]Image URL'!$A:$A)</f>
        <v>#N/A</v>
      </c>
      <c r="D1170" t="s">
        <v>5066</v>
      </c>
      <c r="E1170" t="s">
        <v>5067</v>
      </c>
      <c r="V1170" t="s">
        <v>282</v>
      </c>
      <c r="W1170">
        <v>77838121948</v>
      </c>
      <c r="X1170">
        <v>10077838121945</v>
      </c>
      <c r="Y1170" t="s">
        <v>5033</v>
      </c>
      <c r="Z1170" t="s">
        <v>5034</v>
      </c>
      <c r="AA1170" t="s">
        <v>360</v>
      </c>
      <c r="AB1170" t="s">
        <v>3114</v>
      </c>
      <c r="AC1170" t="s">
        <v>1194</v>
      </c>
      <c r="AD1170" t="s">
        <v>268</v>
      </c>
      <c r="AE1170" t="s">
        <v>302</v>
      </c>
      <c r="AF1170" t="s">
        <v>316</v>
      </c>
      <c r="AG1170">
        <v>392310</v>
      </c>
      <c r="AH1170">
        <v>175</v>
      </c>
      <c r="DP1170" t="s">
        <v>281</v>
      </c>
      <c r="DS1170" t="s">
        <v>2658</v>
      </c>
      <c r="DT1170" t="s">
        <v>3617</v>
      </c>
      <c r="DU1170" t="s">
        <v>742</v>
      </c>
      <c r="DW1170" t="s">
        <v>494</v>
      </c>
      <c r="DX1170" t="s">
        <v>742</v>
      </c>
      <c r="ED1170" t="s">
        <v>4888</v>
      </c>
      <c r="EH1170" t="s">
        <v>611</v>
      </c>
    </row>
    <row r="1171" spans="1:139" x14ac:dyDescent="0.25">
      <c r="A1171" t="s">
        <v>5068</v>
      </c>
      <c r="B1171" t="e">
        <f>_xlfn.XLOOKUP(C1171,'[1]Image URL'!$E:$E,'[1]Image URL'!$A:$A)</f>
        <v>#N/A</v>
      </c>
      <c r="D1171" t="s">
        <v>5070</v>
      </c>
      <c r="E1171" t="s">
        <v>5071</v>
      </c>
      <c r="V1171" t="s">
        <v>282</v>
      </c>
      <c r="W1171">
        <v>77838071298</v>
      </c>
      <c r="X1171">
        <v>10077838071295</v>
      </c>
      <c r="Y1171" t="s">
        <v>5072</v>
      </c>
      <c r="Z1171" t="s">
        <v>5073</v>
      </c>
      <c r="AA1171" t="s">
        <v>5074</v>
      </c>
      <c r="AB1171" t="s">
        <v>615</v>
      </c>
      <c r="AC1171" t="s">
        <v>5075</v>
      </c>
      <c r="AD1171" t="s">
        <v>316</v>
      </c>
      <c r="AE1171" t="s">
        <v>316</v>
      </c>
      <c r="AF1171" t="s">
        <v>269</v>
      </c>
      <c r="AG1171">
        <v>392410.4</v>
      </c>
      <c r="AH1171">
        <v>175</v>
      </c>
      <c r="AL1171" t="s">
        <v>5076</v>
      </c>
      <c r="AT1171" t="s">
        <v>1189</v>
      </c>
      <c r="DP1171" t="s">
        <v>281</v>
      </c>
      <c r="DS1171" t="s">
        <v>3891</v>
      </c>
      <c r="DT1171" t="s">
        <v>3891</v>
      </c>
      <c r="EC1171" t="s">
        <v>4958</v>
      </c>
      <c r="ED1171" t="s">
        <v>4888</v>
      </c>
      <c r="EE1171" t="s">
        <v>933</v>
      </c>
      <c r="EF1171" t="s">
        <v>734</v>
      </c>
      <c r="EG1171" t="s">
        <v>536</v>
      </c>
    </row>
    <row r="1172" spans="1:139" x14ac:dyDescent="0.25">
      <c r="A1172" t="s">
        <v>5077</v>
      </c>
      <c r="B1172" t="e">
        <f>_xlfn.XLOOKUP(C1172,'[1]Image URL'!$E:$E,'[1]Image URL'!$A:$A)</f>
        <v>#N/A</v>
      </c>
      <c r="D1172" t="s">
        <v>5079</v>
      </c>
      <c r="E1172" t="s">
        <v>5080</v>
      </c>
      <c r="F1172" t="s">
        <v>5081</v>
      </c>
      <c r="G1172" t="s">
        <v>1010</v>
      </c>
      <c r="H1172" t="s">
        <v>145</v>
      </c>
      <c r="I1172" t="s">
        <v>194</v>
      </c>
      <c r="J1172" t="s">
        <v>834</v>
      </c>
      <c r="U1172" t="s">
        <v>273</v>
      </c>
      <c r="V1172" t="s">
        <v>157</v>
      </c>
      <c r="W1172">
        <v>77838085523</v>
      </c>
      <c r="X1172">
        <v>10077838085520</v>
      </c>
      <c r="Y1172" t="s">
        <v>1595</v>
      </c>
      <c r="Z1172" t="s">
        <v>4909</v>
      </c>
      <c r="AA1172" t="s">
        <v>828</v>
      </c>
      <c r="AB1172" t="s">
        <v>329</v>
      </c>
      <c r="AC1172" t="s">
        <v>5074</v>
      </c>
      <c r="AD1172" t="s">
        <v>184</v>
      </c>
      <c r="AE1172" t="s">
        <v>316</v>
      </c>
      <c r="AF1172" t="s">
        <v>235</v>
      </c>
      <c r="AG1172">
        <v>871680.50899999996</v>
      </c>
      <c r="AH1172">
        <v>175</v>
      </c>
    </row>
    <row r="1173" spans="1:139" x14ac:dyDescent="0.25">
      <c r="A1173" t="s">
        <v>5082</v>
      </c>
      <c r="B1173" t="e">
        <f>_xlfn.XLOOKUP(C1173,'[1]Image URL'!$E:$E,'[1]Image URL'!$A:$A)</f>
        <v>#N/A</v>
      </c>
      <c r="E1173" t="s">
        <v>4896</v>
      </c>
      <c r="F1173" t="s">
        <v>742</v>
      </c>
      <c r="G1173" t="s">
        <v>1374</v>
      </c>
      <c r="H1173" t="s">
        <v>360</v>
      </c>
      <c r="I1173" t="s">
        <v>194</v>
      </c>
      <c r="J1173" t="s">
        <v>212</v>
      </c>
      <c r="U1173" t="s">
        <v>4888</v>
      </c>
      <c r="V1173" t="s">
        <v>282</v>
      </c>
      <c r="W1173">
        <v>77838895665</v>
      </c>
      <c r="X1173">
        <v>10077838895662</v>
      </c>
      <c r="Y1173" t="s">
        <v>1843</v>
      </c>
      <c r="Z1173" t="s">
        <v>656</v>
      </c>
      <c r="AA1173" t="s">
        <v>633</v>
      </c>
      <c r="AB1173" t="s">
        <v>475</v>
      </c>
      <c r="AC1173" t="s">
        <v>4903</v>
      </c>
      <c r="AD1173" t="s">
        <v>496</v>
      </c>
      <c r="AE1173" t="s">
        <v>164</v>
      </c>
      <c r="AF1173" t="s">
        <v>164</v>
      </c>
      <c r="AG1173">
        <v>392310</v>
      </c>
      <c r="AH1173">
        <v>250</v>
      </c>
      <c r="AL1173" t="s">
        <v>4544</v>
      </c>
      <c r="AM1173" t="s">
        <v>317</v>
      </c>
      <c r="BG1173" t="s">
        <v>463</v>
      </c>
      <c r="DP1173" t="s">
        <v>281</v>
      </c>
    </row>
    <row r="1174" spans="1:139" x14ac:dyDescent="0.25">
      <c r="A1174" t="s">
        <v>5084</v>
      </c>
      <c r="B1174" t="e">
        <f>_xlfn.XLOOKUP(C1174,'[1]Image URL'!$E:$E,'[1]Image URL'!$A:$A)</f>
        <v>#N/A</v>
      </c>
      <c r="D1174" t="s">
        <v>5086</v>
      </c>
      <c r="E1174" t="s">
        <v>4957</v>
      </c>
      <c r="F1174" t="s">
        <v>4958</v>
      </c>
      <c r="G1174" t="s">
        <v>2688</v>
      </c>
      <c r="H1174" t="s">
        <v>4959</v>
      </c>
      <c r="U1174" t="s">
        <v>281</v>
      </c>
      <c r="V1174" t="s">
        <v>282</v>
      </c>
      <c r="W1174">
        <v>77838121603</v>
      </c>
      <c r="X1174">
        <v>10077838121600</v>
      </c>
      <c r="Y1174" t="s">
        <v>2601</v>
      </c>
      <c r="Z1174" t="s">
        <v>4960</v>
      </c>
      <c r="AA1174" t="s">
        <v>932</v>
      </c>
      <c r="AB1174" t="s">
        <v>4911</v>
      </c>
      <c r="AC1174" t="s">
        <v>1010</v>
      </c>
      <c r="AD1174" t="s">
        <v>302</v>
      </c>
      <c r="AE1174" t="s">
        <v>316</v>
      </c>
      <c r="AF1174" t="s">
        <v>316</v>
      </c>
      <c r="AG1174">
        <v>392310</v>
      </c>
      <c r="AH1174">
        <v>175</v>
      </c>
      <c r="AL1174" t="s">
        <v>4961</v>
      </c>
      <c r="DS1174" t="s">
        <v>4962</v>
      </c>
      <c r="DT1174" t="s">
        <v>4963</v>
      </c>
      <c r="DU1174" t="s">
        <v>4964</v>
      </c>
      <c r="ED1174" t="s">
        <v>4888</v>
      </c>
    </row>
    <row r="1175" spans="1:139" x14ac:dyDescent="0.25">
      <c r="A1175" t="s">
        <v>5087</v>
      </c>
      <c r="B1175" t="e">
        <f>_xlfn.XLOOKUP(C1175,'[1]Image URL'!$E:$E,'[1]Image URL'!$A:$A)</f>
        <v>#N/A</v>
      </c>
      <c r="D1175" t="s">
        <v>5089</v>
      </c>
      <c r="E1175" t="s">
        <v>5090</v>
      </c>
      <c r="V1175" t="s">
        <v>282</v>
      </c>
      <c r="W1175">
        <v>77838072448</v>
      </c>
      <c r="X1175">
        <v>10077838072445</v>
      </c>
      <c r="Y1175" t="s">
        <v>3023</v>
      </c>
      <c r="Z1175" t="s">
        <v>1579</v>
      </c>
      <c r="AA1175" t="s">
        <v>4950</v>
      </c>
      <c r="AB1175" t="s">
        <v>900</v>
      </c>
      <c r="AC1175" t="s">
        <v>3011</v>
      </c>
      <c r="AD1175" t="s">
        <v>3183</v>
      </c>
      <c r="AE1175" t="s">
        <v>302</v>
      </c>
      <c r="AF1175" t="s">
        <v>802</v>
      </c>
      <c r="AG1175">
        <v>392310</v>
      </c>
      <c r="AH1175">
        <v>125</v>
      </c>
      <c r="DP1175" t="s">
        <v>281</v>
      </c>
      <c r="EC1175" t="s">
        <v>1982</v>
      </c>
      <c r="ED1175" t="s">
        <v>4888</v>
      </c>
      <c r="EE1175" t="s">
        <v>5009</v>
      </c>
      <c r="EF1175" t="s">
        <v>5009</v>
      </c>
    </row>
    <row r="1176" spans="1:139" x14ac:dyDescent="0.25">
      <c r="A1176" t="s">
        <v>5091</v>
      </c>
      <c r="B1176" t="e">
        <f>_xlfn.XLOOKUP(C1176,'[1]Image URL'!$E:$E,'[1]Image URL'!$A:$A)</f>
        <v>#N/A</v>
      </c>
      <c r="D1176" t="s">
        <v>5093</v>
      </c>
      <c r="E1176" t="s">
        <v>4916</v>
      </c>
      <c r="H1176" t="s">
        <v>4917</v>
      </c>
      <c r="V1176" t="s">
        <v>282</v>
      </c>
      <c r="W1176">
        <v>77838121986</v>
      </c>
      <c r="X1176">
        <v>10077838121983</v>
      </c>
      <c r="Y1176" t="s">
        <v>4918</v>
      </c>
      <c r="Z1176" t="s">
        <v>4919</v>
      </c>
      <c r="AA1176" t="s">
        <v>286</v>
      </c>
      <c r="AB1176" t="s">
        <v>379</v>
      </c>
      <c r="AC1176" t="s">
        <v>4920</v>
      </c>
      <c r="AD1176" t="s">
        <v>302</v>
      </c>
      <c r="AE1176" t="s">
        <v>316</v>
      </c>
      <c r="AF1176" t="s">
        <v>316</v>
      </c>
      <c r="AG1176">
        <v>392310</v>
      </c>
      <c r="AH1176">
        <v>175</v>
      </c>
      <c r="DP1176" t="s">
        <v>281</v>
      </c>
      <c r="DS1176" t="s">
        <v>2658</v>
      </c>
      <c r="DT1176" t="s">
        <v>3617</v>
      </c>
      <c r="DU1176" t="s">
        <v>742</v>
      </c>
      <c r="DW1176" t="s">
        <v>494</v>
      </c>
      <c r="DX1176" t="s">
        <v>742</v>
      </c>
      <c r="ED1176" t="s">
        <v>4888</v>
      </c>
    </row>
    <row r="1177" spans="1:139" x14ac:dyDescent="0.25">
      <c r="A1177" t="s">
        <v>5094</v>
      </c>
      <c r="B1177" t="e">
        <f>_xlfn.XLOOKUP(C1177,'[1]Image URL'!$E:$E,'[1]Image URL'!$A:$A)</f>
        <v>#N/A</v>
      </c>
      <c r="D1177" t="s">
        <v>5096</v>
      </c>
      <c r="E1177" t="s">
        <v>5067</v>
      </c>
      <c r="V1177" t="s">
        <v>282</v>
      </c>
      <c r="W1177">
        <v>77838121931</v>
      </c>
      <c r="X1177">
        <v>10077838121938</v>
      </c>
      <c r="Y1177" t="s">
        <v>5033</v>
      </c>
      <c r="Z1177" t="s">
        <v>5034</v>
      </c>
      <c r="AA1177" t="s">
        <v>360</v>
      </c>
      <c r="AB1177" t="s">
        <v>3114</v>
      </c>
      <c r="AC1177" t="s">
        <v>1194</v>
      </c>
      <c r="AD1177" t="s">
        <v>268</v>
      </c>
      <c r="AE1177" t="s">
        <v>302</v>
      </c>
      <c r="AF1177" t="s">
        <v>316</v>
      </c>
      <c r="AG1177">
        <v>392310</v>
      </c>
      <c r="AH1177">
        <v>175</v>
      </c>
      <c r="DP1177" t="s">
        <v>281</v>
      </c>
      <c r="DS1177" t="s">
        <v>2658</v>
      </c>
      <c r="DT1177" t="s">
        <v>3617</v>
      </c>
      <c r="DU1177" t="s">
        <v>742</v>
      </c>
      <c r="DW1177" t="s">
        <v>494</v>
      </c>
      <c r="DX1177" t="s">
        <v>742</v>
      </c>
      <c r="ED1177" t="s">
        <v>4888</v>
      </c>
      <c r="EH1177" t="s">
        <v>611</v>
      </c>
    </row>
    <row r="1178" spans="1:139" x14ac:dyDescent="0.25">
      <c r="A1178" t="s">
        <v>5097</v>
      </c>
      <c r="B1178" t="e">
        <f>_xlfn.XLOOKUP(C1178,'[1]Image URL'!$E:$E,'[1]Image URL'!$A:$A)</f>
        <v>#N/A</v>
      </c>
      <c r="D1178" t="s">
        <v>5099</v>
      </c>
      <c r="E1178" t="s">
        <v>5067</v>
      </c>
      <c r="V1178" t="s">
        <v>282</v>
      </c>
      <c r="W1178">
        <v>77838121924</v>
      </c>
      <c r="X1178">
        <v>10077838121921</v>
      </c>
      <c r="Y1178" t="s">
        <v>5033</v>
      </c>
      <c r="Z1178" t="s">
        <v>5034</v>
      </c>
      <c r="AA1178" t="s">
        <v>360</v>
      </c>
      <c r="AB1178" t="s">
        <v>3114</v>
      </c>
      <c r="AC1178" t="s">
        <v>1194</v>
      </c>
      <c r="AD1178" t="s">
        <v>268</v>
      </c>
      <c r="AE1178" t="s">
        <v>302</v>
      </c>
      <c r="AF1178" t="s">
        <v>316</v>
      </c>
      <c r="AG1178">
        <v>392310</v>
      </c>
      <c r="AH1178">
        <v>175</v>
      </c>
      <c r="DP1178" t="s">
        <v>281</v>
      </c>
      <c r="DS1178" t="s">
        <v>2658</v>
      </c>
      <c r="DT1178" t="s">
        <v>3617</v>
      </c>
      <c r="DU1178" t="s">
        <v>742</v>
      </c>
      <c r="DW1178" t="s">
        <v>494</v>
      </c>
      <c r="DX1178" t="s">
        <v>742</v>
      </c>
      <c r="ED1178" t="s">
        <v>4888</v>
      </c>
      <c r="EH1178" t="s">
        <v>611</v>
      </c>
    </row>
    <row r="1179" spans="1:139" x14ac:dyDescent="0.25">
      <c r="A1179" t="s">
        <v>5100</v>
      </c>
      <c r="B1179" t="e">
        <f>_xlfn.XLOOKUP(C1179,'[1]Image URL'!$E:$E,'[1]Image URL'!$A:$A)</f>
        <v>#N/A</v>
      </c>
      <c r="D1179" t="s">
        <v>5102</v>
      </c>
      <c r="E1179" t="s">
        <v>4896</v>
      </c>
      <c r="F1179" t="s">
        <v>742</v>
      </c>
      <c r="G1179" t="s">
        <v>1374</v>
      </c>
      <c r="H1179" t="s">
        <v>360</v>
      </c>
      <c r="I1179" t="s">
        <v>194</v>
      </c>
      <c r="J1179" t="s">
        <v>212</v>
      </c>
      <c r="U1179" t="s">
        <v>4888</v>
      </c>
      <c r="V1179" t="s">
        <v>282</v>
      </c>
      <c r="W1179">
        <v>77838150559</v>
      </c>
      <c r="X1179">
        <v>10077838150556</v>
      </c>
      <c r="Y1179" t="s">
        <v>1843</v>
      </c>
      <c r="Z1179" t="s">
        <v>656</v>
      </c>
      <c r="AA1179" t="s">
        <v>633</v>
      </c>
      <c r="AB1179" t="s">
        <v>475</v>
      </c>
      <c r="AC1179" t="s">
        <v>4903</v>
      </c>
      <c r="AD1179" t="s">
        <v>496</v>
      </c>
      <c r="AE1179" t="s">
        <v>164</v>
      </c>
      <c r="AF1179" t="s">
        <v>164</v>
      </c>
      <c r="AG1179">
        <v>392310</v>
      </c>
      <c r="AH1179">
        <v>250</v>
      </c>
      <c r="AL1179" t="s">
        <v>4544</v>
      </c>
      <c r="AM1179" t="s">
        <v>317</v>
      </c>
      <c r="BG1179" t="s">
        <v>463</v>
      </c>
      <c r="DP1179" t="s">
        <v>281</v>
      </c>
    </row>
    <row r="1180" spans="1:139" x14ac:dyDescent="0.25">
      <c r="A1180" t="s">
        <v>5103</v>
      </c>
      <c r="B1180" t="e">
        <f>_xlfn.XLOOKUP(C1180,'[1]Image URL'!$E:$E,'[1]Image URL'!$A:$A)</f>
        <v>#N/A</v>
      </c>
      <c r="D1180" t="s">
        <v>5105</v>
      </c>
      <c r="E1180" t="s">
        <v>5106</v>
      </c>
      <c r="F1180" t="s">
        <v>4065</v>
      </c>
      <c r="G1180" t="s">
        <v>1531</v>
      </c>
      <c r="H1180" t="s">
        <v>1257</v>
      </c>
      <c r="V1180" t="s">
        <v>282</v>
      </c>
      <c r="W1180">
        <v>77838117422</v>
      </c>
      <c r="X1180">
        <v>10077838117429</v>
      </c>
      <c r="Y1180" t="s">
        <v>5107</v>
      </c>
      <c r="Z1180" t="s">
        <v>1008</v>
      </c>
      <c r="AA1180" t="s">
        <v>2688</v>
      </c>
      <c r="AB1180" t="s">
        <v>2970</v>
      </c>
      <c r="AC1180" t="s">
        <v>5108</v>
      </c>
      <c r="AD1180" t="s">
        <v>184</v>
      </c>
      <c r="AE1180" t="s">
        <v>235</v>
      </c>
      <c r="AF1180" t="s">
        <v>316</v>
      </c>
      <c r="AG1180">
        <v>392690.99800000002</v>
      </c>
      <c r="AH1180">
        <v>250</v>
      </c>
      <c r="AL1180" t="s">
        <v>1989</v>
      </c>
      <c r="AM1180" t="s">
        <v>4974</v>
      </c>
      <c r="DP1180" t="s">
        <v>281</v>
      </c>
      <c r="ED1180" t="s">
        <v>4888</v>
      </c>
    </row>
    <row r="1181" spans="1:139" x14ac:dyDescent="0.25">
      <c r="A1181" t="s">
        <v>5109</v>
      </c>
      <c r="B1181" t="e">
        <f>_xlfn.XLOOKUP(C1181,'[1]Image URL'!$E:$E,'[1]Image URL'!$A:$A)</f>
        <v>#N/A</v>
      </c>
      <c r="D1181" t="s">
        <v>5111</v>
      </c>
      <c r="E1181" t="s">
        <v>5112</v>
      </c>
      <c r="I1181" t="s">
        <v>147</v>
      </c>
      <c r="J1181" t="s">
        <v>280</v>
      </c>
      <c r="O1181" t="s">
        <v>494</v>
      </c>
      <c r="P1181" t="s">
        <v>5113</v>
      </c>
      <c r="R1181" t="s">
        <v>5114</v>
      </c>
      <c r="S1181" t="s">
        <v>4002</v>
      </c>
      <c r="U1181" t="s">
        <v>281</v>
      </c>
      <c r="V1181" t="s">
        <v>282</v>
      </c>
      <c r="W1181">
        <v>77838668320</v>
      </c>
      <c r="X1181">
        <v>10077838668327</v>
      </c>
      <c r="Y1181" t="s">
        <v>967</v>
      </c>
      <c r="Z1181" t="s">
        <v>5115</v>
      </c>
      <c r="AA1181" t="s">
        <v>694</v>
      </c>
      <c r="AB1181" t="s">
        <v>1541</v>
      </c>
      <c r="AC1181" t="s">
        <v>5116</v>
      </c>
      <c r="AD1181" t="s">
        <v>184</v>
      </c>
      <c r="AE1181" t="s">
        <v>235</v>
      </c>
      <c r="AF1181" t="s">
        <v>316</v>
      </c>
      <c r="AG1181">
        <v>871680.50899999996</v>
      </c>
      <c r="AH1181">
        <v>175</v>
      </c>
      <c r="EC1181" t="s">
        <v>990</v>
      </c>
      <c r="EI1181" t="s">
        <v>463</v>
      </c>
    </row>
    <row r="1182" spans="1:139" x14ac:dyDescent="0.25">
      <c r="A1182" t="s">
        <v>5117</v>
      </c>
      <c r="B1182" t="e">
        <f>_xlfn.XLOOKUP(C1182,'[1]Image URL'!$E:$E,'[1]Image URL'!$A:$A)</f>
        <v>#N/A</v>
      </c>
      <c r="D1182" t="s">
        <v>5119</v>
      </c>
      <c r="E1182" t="s">
        <v>4896</v>
      </c>
      <c r="F1182" t="s">
        <v>742</v>
      </c>
      <c r="G1182" t="s">
        <v>1374</v>
      </c>
      <c r="H1182" t="s">
        <v>360</v>
      </c>
      <c r="I1182" t="s">
        <v>194</v>
      </c>
      <c r="J1182" t="s">
        <v>212</v>
      </c>
      <c r="U1182" t="s">
        <v>4888</v>
      </c>
      <c r="V1182" t="s">
        <v>282</v>
      </c>
      <c r="W1182">
        <v>77838150672</v>
      </c>
      <c r="X1182">
        <v>10077838150679</v>
      </c>
      <c r="Y1182" t="s">
        <v>1843</v>
      </c>
      <c r="Z1182" t="s">
        <v>656</v>
      </c>
      <c r="AA1182" t="s">
        <v>633</v>
      </c>
      <c r="AB1182" t="s">
        <v>475</v>
      </c>
      <c r="AC1182" t="s">
        <v>4903</v>
      </c>
      <c r="AD1182" t="s">
        <v>496</v>
      </c>
      <c r="AE1182" t="s">
        <v>164</v>
      </c>
      <c r="AF1182" t="s">
        <v>164</v>
      </c>
      <c r="AG1182">
        <v>392310</v>
      </c>
      <c r="AH1182">
        <v>92.5</v>
      </c>
      <c r="AL1182" t="s">
        <v>4544</v>
      </c>
      <c r="AM1182" t="s">
        <v>317</v>
      </c>
      <c r="BG1182" t="s">
        <v>463</v>
      </c>
      <c r="DP1182" t="s">
        <v>281</v>
      </c>
    </row>
    <row r="1183" spans="1:139" x14ac:dyDescent="0.25">
      <c r="A1183" t="s">
        <v>5120</v>
      </c>
      <c r="B1183" t="e">
        <f>_xlfn.XLOOKUP(C1183,'[1]Image URL'!$E:$E,'[1]Image URL'!$A:$A)</f>
        <v>#N/A</v>
      </c>
      <c r="D1183" t="s">
        <v>5122</v>
      </c>
      <c r="E1183" t="s">
        <v>4948</v>
      </c>
      <c r="F1183" t="s">
        <v>4588</v>
      </c>
      <c r="G1183" t="s">
        <v>192</v>
      </c>
      <c r="H1183" t="s">
        <v>443</v>
      </c>
      <c r="V1183" t="s">
        <v>282</v>
      </c>
      <c r="W1183">
        <v>77838117361</v>
      </c>
      <c r="X1183">
        <v>10077838117368</v>
      </c>
      <c r="Y1183" t="s">
        <v>1859</v>
      </c>
      <c r="Z1183" t="s">
        <v>3097</v>
      </c>
      <c r="AA1183" t="s">
        <v>633</v>
      </c>
      <c r="AB1183" t="s">
        <v>1374</v>
      </c>
      <c r="AC1183" t="s">
        <v>4949</v>
      </c>
      <c r="AD1183" t="s">
        <v>496</v>
      </c>
      <c r="AE1183" t="s">
        <v>164</v>
      </c>
      <c r="AF1183" t="s">
        <v>164</v>
      </c>
      <c r="AG1183">
        <v>392310</v>
      </c>
      <c r="AH1183">
        <v>250</v>
      </c>
      <c r="AL1183" t="s">
        <v>1093</v>
      </c>
      <c r="AM1183" t="s">
        <v>317</v>
      </c>
      <c r="AT1183" t="s">
        <v>4950</v>
      </c>
      <c r="DP1183" t="s">
        <v>281</v>
      </c>
      <c r="ED1183" t="s">
        <v>4888</v>
      </c>
    </row>
    <row r="1184" spans="1:139" x14ac:dyDescent="0.25">
      <c r="A1184" t="s">
        <v>5123</v>
      </c>
      <c r="B1184" t="e">
        <f>_xlfn.XLOOKUP(C1184,'[1]Image URL'!$E:$E,'[1]Image URL'!$A:$A)</f>
        <v>#N/A</v>
      </c>
      <c r="E1184" t="s">
        <v>5067</v>
      </c>
      <c r="V1184" t="s">
        <v>282</v>
      </c>
      <c r="W1184">
        <v>77838124451</v>
      </c>
      <c r="X1184">
        <v>10077838124458</v>
      </c>
      <c r="Y1184" t="s">
        <v>5033</v>
      </c>
      <c r="Z1184" t="s">
        <v>5034</v>
      </c>
      <c r="AA1184" t="s">
        <v>360</v>
      </c>
      <c r="AB1184" t="s">
        <v>3114</v>
      </c>
      <c r="AC1184" t="s">
        <v>1194</v>
      </c>
      <c r="AD1184" t="s">
        <v>268</v>
      </c>
      <c r="AE1184" t="s">
        <v>302</v>
      </c>
      <c r="AF1184" t="s">
        <v>316</v>
      </c>
      <c r="AG1184">
        <v>392310</v>
      </c>
      <c r="AH1184">
        <v>150</v>
      </c>
      <c r="DP1184" t="s">
        <v>281</v>
      </c>
      <c r="DS1184" t="s">
        <v>2658</v>
      </c>
      <c r="DT1184" t="s">
        <v>3617</v>
      </c>
      <c r="DU1184" t="s">
        <v>742</v>
      </c>
      <c r="DW1184" t="s">
        <v>494</v>
      </c>
      <c r="DX1184" t="s">
        <v>742</v>
      </c>
      <c r="ED1184" t="s">
        <v>4888</v>
      </c>
      <c r="EH1184" t="s">
        <v>611</v>
      </c>
    </row>
    <row r="1185" spans="1:141" x14ac:dyDescent="0.25">
      <c r="A1185" t="s">
        <v>5125</v>
      </c>
      <c r="B1185" t="e">
        <f>_xlfn.XLOOKUP(C1185,'[1]Image URL'!$E:$E,'[1]Image URL'!$A:$A)</f>
        <v>#N/A</v>
      </c>
      <c r="D1185" t="s">
        <v>5127</v>
      </c>
      <c r="E1185" t="s">
        <v>4896</v>
      </c>
      <c r="F1185" t="s">
        <v>4968</v>
      </c>
      <c r="G1185" t="s">
        <v>652</v>
      </c>
      <c r="H1185" t="s">
        <v>463</v>
      </c>
      <c r="V1185" t="s">
        <v>282</v>
      </c>
      <c r="W1185">
        <v>77838156292</v>
      </c>
      <c r="X1185">
        <v>10077838156299</v>
      </c>
      <c r="Y1185" t="s">
        <v>4969</v>
      </c>
      <c r="Z1185" t="s">
        <v>4970</v>
      </c>
      <c r="AA1185" t="s">
        <v>4971</v>
      </c>
      <c r="AB1185" t="s">
        <v>1258</v>
      </c>
      <c r="AC1185" t="s">
        <v>4972</v>
      </c>
      <c r="AD1185" t="s">
        <v>184</v>
      </c>
      <c r="AE1185" t="s">
        <v>235</v>
      </c>
      <c r="AF1185" t="s">
        <v>316</v>
      </c>
      <c r="AG1185">
        <v>392310</v>
      </c>
      <c r="AH1185">
        <v>250</v>
      </c>
      <c r="AL1185" t="s">
        <v>4973</v>
      </c>
      <c r="AM1185" t="s">
        <v>4974</v>
      </c>
      <c r="DP1185" t="s">
        <v>281</v>
      </c>
      <c r="ED1185" t="s">
        <v>4888</v>
      </c>
    </row>
    <row r="1186" spans="1:141" x14ac:dyDescent="0.25">
      <c r="A1186" t="s">
        <v>5128</v>
      </c>
      <c r="B1186" t="e">
        <f>_xlfn.XLOOKUP(C1186,'[1]Image URL'!$E:$E,'[1]Image URL'!$A:$A)</f>
        <v>#N/A</v>
      </c>
      <c r="D1186" t="s">
        <v>5129</v>
      </c>
      <c r="E1186" t="s">
        <v>5130</v>
      </c>
      <c r="F1186" t="s">
        <v>5131</v>
      </c>
      <c r="G1186" t="s">
        <v>522</v>
      </c>
      <c r="H1186" t="s">
        <v>965</v>
      </c>
      <c r="U1186" t="s">
        <v>4667</v>
      </c>
      <c r="V1186" t="s">
        <v>3290</v>
      </c>
      <c r="W1186" t="s">
        <v>5132</v>
      </c>
      <c r="X1186" t="s">
        <v>5133</v>
      </c>
      <c r="Y1186" t="s">
        <v>5134</v>
      </c>
      <c r="Z1186" t="s">
        <v>5135</v>
      </c>
      <c r="AA1186" t="s">
        <v>5136</v>
      </c>
      <c r="AB1186" t="s">
        <v>535</v>
      </c>
      <c r="AC1186" t="s">
        <v>1797</v>
      </c>
      <c r="AD1186" t="s">
        <v>303</v>
      </c>
      <c r="AE1186" t="s">
        <v>164</v>
      </c>
      <c r="AF1186" t="s">
        <v>456</v>
      </c>
      <c r="AG1186" t="s">
        <v>5137</v>
      </c>
      <c r="AH1186" t="s">
        <v>5138</v>
      </c>
      <c r="AL1186" t="s">
        <v>5139</v>
      </c>
      <c r="AN1186" t="s">
        <v>522</v>
      </c>
      <c r="AO1186" t="s">
        <v>991</v>
      </c>
      <c r="AT1186" t="s">
        <v>145</v>
      </c>
      <c r="BO1186" t="s">
        <v>1729</v>
      </c>
      <c r="EJ1186" t="s">
        <v>5140</v>
      </c>
    </row>
    <row r="1187" spans="1:141" x14ac:dyDescent="0.25">
      <c r="A1187" t="s">
        <v>5141</v>
      </c>
      <c r="B1187" t="e">
        <f>_xlfn.XLOOKUP(C1187,'[1]Image URL'!$E:$E,'[1]Image URL'!$A:$A)</f>
        <v>#N/A</v>
      </c>
      <c r="D1187" t="s">
        <v>5142</v>
      </c>
      <c r="E1187" t="s">
        <v>5130</v>
      </c>
      <c r="F1187" t="s">
        <v>5143</v>
      </c>
      <c r="G1187" t="s">
        <v>536</v>
      </c>
      <c r="H1187" t="s">
        <v>965</v>
      </c>
      <c r="N1187" t="s">
        <v>965</v>
      </c>
      <c r="U1187" t="s">
        <v>4667</v>
      </c>
      <c r="V1187" t="s">
        <v>3290</v>
      </c>
      <c r="W1187" t="s">
        <v>5144</v>
      </c>
      <c r="X1187" t="s">
        <v>5145</v>
      </c>
      <c r="Y1187" t="s">
        <v>5146</v>
      </c>
      <c r="Z1187" t="s">
        <v>383</v>
      </c>
      <c r="AA1187" t="s">
        <v>4469</v>
      </c>
      <c r="AB1187" t="s">
        <v>3110</v>
      </c>
      <c r="AC1187" t="s">
        <v>695</v>
      </c>
      <c r="AD1187" t="s">
        <v>314</v>
      </c>
      <c r="AE1187" t="s">
        <v>235</v>
      </c>
      <c r="AF1187" t="s">
        <v>456</v>
      </c>
      <c r="AG1187" t="s">
        <v>5137</v>
      </c>
      <c r="AH1187" t="s">
        <v>5138</v>
      </c>
      <c r="AL1187" t="s">
        <v>4017</v>
      </c>
      <c r="AN1187" t="s">
        <v>536</v>
      </c>
      <c r="BO1187" t="s">
        <v>1570</v>
      </c>
      <c r="BS1187" t="s">
        <v>242</v>
      </c>
      <c r="EJ1187" t="s">
        <v>5140</v>
      </c>
    </row>
    <row r="1188" spans="1:141" x14ac:dyDescent="0.25">
      <c r="A1188" t="s">
        <v>5147</v>
      </c>
      <c r="B1188" t="e">
        <f>_xlfn.XLOOKUP(C1188,'[1]Image URL'!$E:$E,'[1]Image URL'!$A:$A)</f>
        <v>#N/A</v>
      </c>
      <c r="D1188" t="s">
        <v>5148</v>
      </c>
      <c r="E1188" t="s">
        <v>5149</v>
      </c>
      <c r="F1188" t="s">
        <v>188</v>
      </c>
      <c r="G1188" t="s">
        <v>188</v>
      </c>
      <c r="H1188" t="s">
        <v>334</v>
      </c>
      <c r="I1188" t="s">
        <v>194</v>
      </c>
      <c r="J1188" t="s">
        <v>834</v>
      </c>
      <c r="U1188" t="s">
        <v>5150</v>
      </c>
      <c r="V1188" t="s">
        <v>4094</v>
      </c>
      <c r="W1188" t="s">
        <v>5151</v>
      </c>
      <c r="X1188" t="s">
        <v>5152</v>
      </c>
      <c r="Y1188" t="s">
        <v>240</v>
      </c>
      <c r="Z1188" t="s">
        <v>1764</v>
      </c>
      <c r="AA1188" t="s">
        <v>3311</v>
      </c>
      <c r="AB1188" t="s">
        <v>5153</v>
      </c>
      <c r="AC1188" t="s">
        <v>4577</v>
      </c>
      <c r="AD1188" t="s">
        <v>2560</v>
      </c>
      <c r="AE1188" t="s">
        <v>303</v>
      </c>
      <c r="AF1188" t="s">
        <v>164</v>
      </c>
      <c r="AG1188" t="s">
        <v>5154</v>
      </c>
      <c r="AH1188" t="s">
        <v>5155</v>
      </c>
      <c r="AL1188" t="s">
        <v>2008</v>
      </c>
      <c r="AN1188" t="s">
        <v>188</v>
      </c>
      <c r="AT1188" t="s">
        <v>334</v>
      </c>
      <c r="DN1188" t="s">
        <v>5156</v>
      </c>
      <c r="EK1188" t="s">
        <v>5157</v>
      </c>
    </row>
    <row r="1189" spans="1:141" x14ac:dyDescent="0.25">
      <c r="A1189" t="s">
        <v>5158</v>
      </c>
      <c r="B1189" t="e">
        <f>_xlfn.XLOOKUP(C1189,'[1]Image URL'!$E:$E,'[1]Image URL'!$A:$A)</f>
        <v>#N/A</v>
      </c>
      <c r="D1189" t="s">
        <v>5159</v>
      </c>
      <c r="E1189" t="s">
        <v>5130</v>
      </c>
      <c r="F1189" t="s">
        <v>5160</v>
      </c>
      <c r="G1189" t="s">
        <v>1451</v>
      </c>
      <c r="H1189" t="s">
        <v>345</v>
      </c>
      <c r="U1189" t="s">
        <v>4667</v>
      </c>
      <c r="V1189" t="s">
        <v>3290</v>
      </c>
      <c r="W1189" t="s">
        <v>5161</v>
      </c>
      <c r="X1189" t="s">
        <v>5162</v>
      </c>
      <c r="Y1189" t="s">
        <v>3917</v>
      </c>
      <c r="Z1189" t="s">
        <v>5163</v>
      </c>
      <c r="AA1189" t="s">
        <v>808</v>
      </c>
      <c r="AB1189" t="s">
        <v>181</v>
      </c>
      <c r="AC1189" t="s">
        <v>2893</v>
      </c>
      <c r="AD1189" t="s">
        <v>1113</v>
      </c>
      <c r="AE1189" t="s">
        <v>268</v>
      </c>
      <c r="AF1189" t="s">
        <v>456</v>
      </c>
      <c r="AG1189" t="s">
        <v>5137</v>
      </c>
      <c r="AH1189" t="s">
        <v>5138</v>
      </c>
      <c r="AL1189" t="s">
        <v>5164</v>
      </c>
      <c r="AN1189" t="s">
        <v>1451</v>
      </c>
      <c r="BO1189" t="s">
        <v>332</v>
      </c>
      <c r="BS1189" t="s">
        <v>1457</v>
      </c>
      <c r="CP1189" t="s">
        <v>1301</v>
      </c>
      <c r="EJ1189" t="s">
        <v>5140</v>
      </c>
    </row>
  </sheetData>
  <conditionalFormatting sqref="C1:C1046 C1190:C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2026-04-20T17:49:34Z</dcterms:created>
  <dcterms:modified xsi:type="dcterms:W3CDTF">2026-04-28T19:39:32Z</dcterms:modified>
</cp:coreProperties>
</file>